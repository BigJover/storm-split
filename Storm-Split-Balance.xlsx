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4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39"/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4"/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3"/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7"/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2"/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6"/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7"/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6"/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3"/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6"/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99"/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3"/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09"/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3"/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8"/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0"/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1"/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0"/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29"/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3"/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2"/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7"/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t="inlineStr">
        <is>
          <t>RANGER STATION</t>
        </is>
      </c>
    </row>
    <row r="284">
      <c r="A284" t="inlineStr">
        <is>
          <t>Ranger HP</t>
        </is>
      </c>
      <c r="B284" t="n">
        <v>100</v>
      </c>
    </row>
    <row r="285">
      <c r="A285" t="inlineStr">
        <is>
          <t>Ranger speed</t>
        </is>
      </c>
      <c r="B285" t="n">
        <v>16</v>
      </c>
    </row>
    <row r="286">
      <c r="A286" t="inlineStr">
        <is>
          <t>Ranger reach</t>
        </is>
      </c>
      <c r="B286" t="n">
        <v>14</v>
      </c>
    </row>
    <row r="287">
      <c r="A287" t="inlineStr">
        <is>
          <t>Ranger retreat HP share</t>
        </is>
      </c>
      <c r="B287" t="n">
        <v>0.3</v>
      </c>
    </row>
    <row r="288">
      <c r="A288" t="inlineStr">
        <is>
          <t>Ranger respawn (s)</t>
        </is>
      </c>
      <c r="B288" t="n">
        <v>10</v>
      </c>
    </row>
    <row r="289">
      <c r="A289" t="inlineStr">
        <is>
          <t>Cabin heal (HP/s)</t>
        </is>
      </c>
      <c r="B289" t="n">
        <v>20</v>
      </c>
    </row>
    <row r="290">
      <c r="A290" t="inlineStr">
        <is>
          <t>Ranger leash x</t>
        </is>
      </c>
      <c r="B290" t="n">
        <v>1</v>
      </c>
    </row>
    <row r="291">
      <c r="A291" t="inlineStr">
        <is>
          <t>Max posts</t>
        </is>
      </c>
      <c r="B291" t="n">
        <v>3</v>
      </c>
    </row>
    <row r="292">
      <c r="A292" t="inlineStr">
        <is>
          <t>Trap every (s)</t>
        </is>
      </c>
      <c r="B292" t="n">
        <v>8</v>
      </c>
    </row>
    <row r="293">
      <c r="A293" t="inlineStr">
        <is>
          <t>Trap slow %</t>
        </is>
      </c>
      <c r="B293" t="n">
        <v>40</v>
      </c>
    </row>
    <row r="294">
      <c r="A294" t="inlineStr">
        <is>
          <t>Trap slow (s)</t>
        </is>
      </c>
      <c r="B294" t="n">
        <v>2</v>
      </c>
    </row>
    <row r="295">
      <c r="A295" t="inlineStr">
        <is>
          <t>Trap reach (studs)</t>
        </is>
      </c>
      <c r="B295" t="n">
        <v>3</v>
      </c>
    </row>
    <row r="296">
      <c r="A296" t="inlineStr">
        <is>
          <t>Trap line traps</t>
        </is>
      </c>
      <c r="B296" t="n">
        <v>6</v>
      </c>
    </row>
    <row r="297">
      <c r="A297" t="inlineStr">
        <is>
          <t>Heavy x</t>
        </is>
      </c>
      <c r="B297" t="n">
        <v>3</v>
      </c>
    </row>
    <row r="298">
      <c r="A298" t="inlineStr">
        <is>
          <t>Legend x</t>
        </is>
      </c>
      <c r="B298" t="n">
        <v>3</v>
      </c>
    </row>
    <row r="299">
      <c r="A299" t="inlineStr">
        <is>
          <t>Legend HP x</t>
        </is>
      </c>
      <c r="B299" t="n">
        <v>3</v>
      </c>
    </row>
    <row r="300">
      <c r="A300" t="inlineStr">
        <is>
          <t>Legend dart every (s)</t>
        </is>
      </c>
      <c r="B300" t="n">
        <v>12</v>
      </c>
    </row>
    <row r="301">
      <c r="A301" t="inlineStr">
        <is>
          <t>Legend dart mark %</t>
        </is>
      </c>
      <c r="B301" t="n">
        <v>25</v>
      </c>
    </row>
    <row r="302">
      <c r="A302" t="inlineStr">
        <is>
          <t>Legend dart (s)</t>
        </is>
      </c>
      <c r="B302" t="n">
        <v>8</v>
      </c>
    </row>
    <row r="303">
      <c r="A303" t="inlineStr">
        <is>
          <t>Jeep speed</t>
        </is>
      </c>
      <c r="B303" t="n">
        <v>20</v>
      </c>
    </row>
    <row r="304">
      <c r="A304" t="inlineStr">
        <is>
          <t>Ranger guard reach (studs)</t>
        </is>
      </c>
      <c r="B304" t="n">
        <v>10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t="inlineStr">
        <is>
          <t>Ranger Station</t>
        </is>
      </c>
      <c r="B25" t="inlineStr">
        <is>
          <t>Rangers at posts on the track: shoot, trap, guard</t>
        </is>
      </c>
      <c r="C25" t="n">
        <v>600</v>
      </c>
      <c r="D25" t="n">
        <v>10</v>
      </c>
      <c r="E25" t="n">
        <v>2.3</v>
      </c>
      <c r="F25" t="n">
        <v>1</v>
      </c>
      <c r="G25">
        <f>D25*E25*F25</f>
        <v/>
      </c>
      <c r="H25" t="n">
        <v>30</v>
      </c>
      <c r="I25" t="inlineStr">
        <is>
          <t>No</t>
        </is>
      </c>
      <c r="J25" t="n">
        <v>0</v>
      </c>
      <c r="K25" t="inlineStr">
        <is>
          <t>Trains rangers who stand at posts on the track and shoot; bitten too much, they go back to the cabin to patch up.</t>
        </is>
      </c>
      <c r="L25" t="n">
        <v>0</v>
      </c>
      <c r="M25" t="n">
        <v>0</v>
      </c>
      <c r="N25" t="n">
        <v>500</v>
      </c>
      <c r="O25" t="inlineStr">
        <is>
          <t>RANGER</t>
        </is>
      </c>
      <c r="P25" t="n">
        <v>200</v>
      </c>
      <c r="Q25" t="n">
        <v>0</v>
      </c>
      <c r="R25" t="n">
        <v>0</v>
      </c>
      <c r="Z25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t="inlineStr">
        <is>
          <t>Walker regen</t>
        </is>
      </c>
      <c r="GP4" t="inlineStr">
        <is>
          <t>Heavy ranger</t>
        </is>
      </c>
      <c r="GQ4" t="inlineStr">
        <is>
          <t>Legend</t>
        </is>
      </c>
      <c r="GR4" t="inlineStr">
        <is>
          <t>Jeep</t>
        </is>
      </c>
      <c r="GS4" t="inlineStr">
        <is>
          <t>Trap</t>
        </is>
      </c>
      <c r="GT4" t="inlineStr">
        <is>
          <t>Trap every (s)</t>
        </is>
      </c>
      <c r="GU4" t="inlineStr">
        <is>
          <t>Trap stun (s)</t>
        </is>
      </c>
      <c r="GV4" t="inlineStr">
        <is>
          <t>Trap line</t>
        </is>
      </c>
      <c r="GW4" t="inlineStr">
        <is>
          <t>Decoy (s)</t>
        </is>
      </c>
      <c r="GX4" t="inlineStr">
        <is>
          <t>Post aura</t>
        </is>
      </c>
      <c r="GY4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t="inlineStr">
        <is>
          <t>Ranger Station</t>
        </is>
      </c>
      <c r="B464" t="inlineStr">
        <is>
          <t>Riflemen</t>
        </is>
      </c>
      <c r="C464" t="inlineStr">
        <is>
          <t>damage</t>
        </is>
      </c>
      <c r="D464" t="n">
        <v>1</v>
      </c>
      <c r="E464">
        <f>ROUND('Towers'!$C$25*POWER('Tuning'!$B$12,D464),0)</f>
        <v/>
      </c>
      <c r="F464">
        <f>'Towers'!$C$25+E464</f>
        <v/>
      </c>
      <c r="G464" t="n">
        <v>1</v>
      </c>
      <c r="H464" t="n">
        <v>1</v>
      </c>
      <c r="I464" t="n">
        <v>1</v>
      </c>
      <c r="J464">
        <f>'Towers'!$G$25*G464*H464*I464</f>
        <v/>
      </c>
      <c r="K464">
        <f>IF(J464=0,0,F464/J464)</f>
        <v/>
      </c>
      <c r="L464" t="n">
        <v>1</v>
      </c>
      <c r="M464" t="inlineStr">
        <is>
          <t>Recruit</t>
        </is>
      </c>
      <c r="DN464" t="n">
        <v>2</v>
      </c>
    </row>
    <row r="465">
      <c r="A465" t="inlineStr">
        <is>
          <t>Ranger Station</t>
        </is>
      </c>
      <c r="B465" t="inlineStr">
        <is>
          <t>Riflemen</t>
        </is>
      </c>
      <c r="C465" t="inlineStr">
        <is>
          <t>damage</t>
        </is>
      </c>
      <c r="D465" t="n">
        <v>2</v>
      </c>
      <c r="E465">
        <f>ROUND('Towers'!$C$25*POWER('Tuning'!$B$12,D465),0)</f>
        <v/>
      </c>
      <c r="F465">
        <f>F464+E465</f>
        <v/>
      </c>
      <c r="G465" t="n">
        <v>1.8</v>
      </c>
      <c r="H465" t="n">
        <v>1</v>
      </c>
      <c r="I465" t="n">
        <v>1</v>
      </c>
      <c r="J465">
        <f>'Towers'!$G$25*G465*H465*I465</f>
        <v/>
      </c>
      <c r="K465">
        <f>IF(J465=0,0,F465/J465)</f>
        <v/>
      </c>
      <c r="L465" t="n">
        <v>1.2</v>
      </c>
      <c r="M465" t="inlineStr">
        <is>
          <t>Sharpshooter</t>
        </is>
      </c>
      <c r="DN465" t="n">
        <v>2</v>
      </c>
    </row>
    <row r="466">
      <c r="A466" t="inlineStr">
        <is>
          <t>Ranger Station</t>
        </is>
      </c>
      <c r="B466" t="inlineStr">
        <is>
          <t>Riflemen</t>
        </is>
      </c>
      <c r="C466" t="inlineStr">
        <is>
          <t>damage</t>
        </is>
      </c>
      <c r="D466" t="n">
        <v>3</v>
      </c>
      <c r="E466">
        <f>ROUND('Towers'!$C$25*POWER('Tuning'!$B$12,D466),0)</f>
        <v/>
      </c>
      <c r="F466">
        <f>F465+E466</f>
        <v/>
      </c>
      <c r="G466" t="n">
        <v>2.8</v>
      </c>
      <c r="H466" t="n">
        <v>1</v>
      </c>
      <c r="I466" t="n">
        <v>1</v>
      </c>
      <c r="J466">
        <f>'Towers'!$G$25*G466*H466*I466</f>
        <v/>
      </c>
      <c r="K466">
        <f>IF(J466=0,0,F466/J466)</f>
        <v/>
      </c>
      <c r="L466" t="n">
        <v>1.2</v>
      </c>
      <c r="M466" t="inlineStr">
        <is>
          <t>Squad</t>
        </is>
      </c>
      <c r="DN466" t="n">
        <v>3</v>
      </c>
    </row>
    <row r="467">
      <c r="A467" t="inlineStr">
        <is>
          <t>Ranger Station</t>
        </is>
      </c>
      <c r="B467" t="inlineStr">
        <is>
          <t>Riflemen</t>
        </is>
      </c>
      <c r="C467" t="inlineStr">
        <is>
          <t>damage</t>
        </is>
      </c>
      <c r="D467" t="n">
        <v>4</v>
      </c>
      <c r="E467">
        <f>ROUND('Towers'!$C$25*POWER('Tuning'!$B$12,D467),0)</f>
        <v/>
      </c>
      <c r="F467">
        <f>F466+E467</f>
        <v/>
      </c>
      <c r="G467" t="n">
        <v>1.75</v>
      </c>
      <c r="H467" t="n">
        <v>1</v>
      </c>
      <c r="I467" t="n">
        <v>1</v>
      </c>
      <c r="J467">
        <f>J466*G467*H467*I467</f>
        <v/>
      </c>
      <c r="K467">
        <f>IF(J467=0,0,F467/J467)</f>
        <v/>
      </c>
      <c r="L467" t="n">
        <v>1</v>
      </c>
      <c r="M467" t="inlineStr">
        <is>
          <t>Elite Squad</t>
        </is>
      </c>
      <c r="N467" t="inlineStr">
        <is>
          <t>Yes</t>
        </is>
      </c>
      <c r="CI467" t="inlineStr">
        <is>
          <t>A</t>
        </is>
      </c>
      <c r="CJ467" t="inlineStr">
        <is>
          <t>Rangers shoot through armour</t>
        </is>
      </c>
    </row>
    <row r="468">
      <c r="A468" t="inlineStr">
        <is>
          <t>Ranger Station</t>
        </is>
      </c>
      <c r="B468" t="inlineStr">
        <is>
          <t>Riflemen</t>
        </is>
      </c>
      <c r="C468" t="inlineStr">
        <is>
          <t>damage</t>
        </is>
      </c>
      <c r="D468" t="n">
        <v>5</v>
      </c>
      <c r="E468">
        <f>ROUND('Towers'!$C$25*POWER('Tuning'!$B$12,D468),0)</f>
        <v/>
      </c>
      <c r="F468">
        <f>F467+E468</f>
        <v/>
      </c>
      <c r="G468" t="n">
        <v>1.2</v>
      </c>
      <c r="H468" t="n">
        <v>1</v>
      </c>
      <c r="I468" t="n">
        <v>1</v>
      </c>
      <c r="J468">
        <f>J467*G468*H468*I468</f>
        <v/>
      </c>
      <c r="K468">
        <f>IF(J468=0,0,F468/J468)</f>
        <v/>
      </c>
      <c r="L468" t="n">
        <v>1</v>
      </c>
      <c r="M468" t="inlineStr">
        <is>
          <t>Ranger Troop</t>
        </is>
      </c>
      <c r="CI468" t="inlineStr">
        <is>
          <t>A</t>
        </is>
      </c>
      <c r="CJ468" t="inlineStr">
        <is>
          <t>5 rangers in formation</t>
        </is>
      </c>
      <c r="DN468" t="n">
        <v>5</v>
      </c>
    </row>
    <row r="469">
      <c r="A469" t="inlineStr">
        <is>
          <t>Ranger Station</t>
        </is>
      </c>
      <c r="B469" t="inlineStr">
        <is>
          <t>Trackers</t>
        </is>
      </c>
      <c r="C469" t="inlineStr">
        <is>
          <t>control</t>
        </is>
      </c>
      <c r="D469" t="n">
        <v>1</v>
      </c>
      <c r="E469">
        <f>ROUND('Towers'!$C$25*POWER('Tuning'!$B$12,D469),0)</f>
        <v/>
      </c>
      <c r="F469">
        <f>'Towers'!$C$25+E469</f>
        <v/>
      </c>
      <c r="G469" t="n">
        <v>1</v>
      </c>
      <c r="H469" t="n">
        <v>1</v>
      </c>
      <c r="I469" t="n">
        <v>1</v>
      </c>
      <c r="J469">
        <f>'Towers'!$G$25*G469*H469*I469</f>
        <v/>
      </c>
      <c r="K469">
        <f>IF(J469=0,0,F469/J469)</f>
        <v/>
      </c>
      <c r="L469" t="n">
        <v>1</v>
      </c>
      <c r="M469" t="inlineStr">
        <is>
          <t>Snare Kit</t>
        </is>
      </c>
      <c r="GS469" t="inlineStr">
        <is>
          <t>Yes</t>
        </is>
      </c>
    </row>
    <row r="470">
      <c r="A470" t="inlineStr">
        <is>
          <t>Ranger Station</t>
        </is>
      </c>
      <c r="B470" t="inlineStr">
        <is>
          <t>Trackers</t>
        </is>
      </c>
      <c r="C470" t="inlineStr">
        <is>
          <t>control</t>
        </is>
      </c>
      <c r="D470" t="n">
        <v>2</v>
      </c>
      <c r="E470">
        <f>ROUND('Towers'!$C$25*POWER('Tuning'!$B$12,D470),0)</f>
        <v/>
      </c>
      <c r="F470">
        <f>F469+E470</f>
        <v/>
      </c>
      <c r="G470" t="n">
        <v>1.3</v>
      </c>
      <c r="H470" t="n">
        <v>1</v>
      </c>
      <c r="I470" t="n">
        <v>1</v>
      </c>
      <c r="J470">
        <f>'Towers'!$G$25*G470*H470*I470</f>
        <v/>
      </c>
      <c r="K470">
        <f>IF(J470=0,0,F470/J470)</f>
        <v/>
      </c>
      <c r="L470" t="n">
        <v>1</v>
      </c>
      <c r="M470" t="inlineStr">
        <is>
          <t>Bait</t>
        </is>
      </c>
      <c r="GS470" t="inlineStr">
        <is>
          <t>Yes</t>
        </is>
      </c>
      <c r="GT470" t="n">
        <v>5</v>
      </c>
    </row>
    <row r="471">
      <c r="A471" t="inlineStr">
        <is>
          <t>Ranger Station</t>
        </is>
      </c>
      <c r="B471" t="inlineStr">
        <is>
          <t>Trackers</t>
        </is>
      </c>
      <c r="C471" t="inlineStr">
        <is>
          <t>control</t>
        </is>
      </c>
      <c r="D471" t="n">
        <v>3</v>
      </c>
      <c r="E471">
        <f>ROUND('Towers'!$C$25*POWER('Tuning'!$B$12,D471),0)</f>
        <v/>
      </c>
      <c r="F471">
        <f>F470+E471</f>
        <v/>
      </c>
      <c r="G471" t="n">
        <v>1.6</v>
      </c>
      <c r="H471" t="n">
        <v>1</v>
      </c>
      <c r="I471" t="n">
        <v>1</v>
      </c>
      <c r="J471">
        <f>'Towers'!$G$25*G471*H471*I471</f>
        <v/>
      </c>
      <c r="K471">
        <f>IF(J471=0,0,F471/J471)</f>
        <v/>
      </c>
      <c r="L471" t="n">
        <v>1</v>
      </c>
      <c r="M471" t="inlineStr">
        <is>
          <t>Snap Traps</t>
        </is>
      </c>
      <c r="DN471" t="n">
        <v>2</v>
      </c>
      <c r="GS471" t="inlineStr">
        <is>
          <t>Yes</t>
        </is>
      </c>
      <c r="GT471" t="n">
        <v>5</v>
      </c>
      <c r="GU471" t="n">
        <v>0.6</v>
      </c>
    </row>
    <row r="472">
      <c r="A472" t="inlineStr">
        <is>
          <t>Ranger Station</t>
        </is>
      </c>
      <c r="B472" t="inlineStr">
        <is>
          <t>Trackers</t>
        </is>
      </c>
      <c r="C472" t="inlineStr">
        <is>
          <t>control</t>
        </is>
      </c>
      <c r="D472" t="n">
        <v>4</v>
      </c>
      <c r="E472">
        <f>ROUND('Towers'!$C$25*POWER('Tuning'!$B$12,D472),0)</f>
        <v/>
      </c>
      <c r="F472">
        <f>F471+E472</f>
        <v/>
      </c>
      <c r="G472" t="n">
        <v>1</v>
      </c>
      <c r="H472" t="n">
        <v>1</v>
      </c>
      <c r="I472" t="n">
        <v>1</v>
      </c>
      <c r="J472">
        <f>J471*G472*H472*I472</f>
        <v/>
      </c>
      <c r="K472">
        <f>IF(J472=0,0,F472/J472)</f>
        <v/>
      </c>
      <c r="L472" t="n">
        <v>1</v>
      </c>
      <c r="M472" t="inlineStr">
        <is>
          <t>Pit Traps</t>
        </is>
      </c>
      <c r="CI472" t="inlineStr">
        <is>
          <t>A</t>
        </is>
      </c>
      <c r="CJ472" t="inlineStr">
        <is>
          <t>Traps hold a dino 1.5 s</t>
        </is>
      </c>
      <c r="GU472" t="n">
        <v>1.5</v>
      </c>
    </row>
    <row r="473">
      <c r="A473" t="inlineStr">
        <is>
          <t>Ranger Station</t>
        </is>
      </c>
      <c r="B473" t="inlineStr">
        <is>
          <t>Trackers</t>
        </is>
      </c>
      <c r="C473" t="inlineStr">
        <is>
          <t>control</t>
        </is>
      </c>
      <c r="D473" t="n">
        <v>5</v>
      </c>
      <c r="E473">
        <f>ROUND('Towers'!$C$25*POWER('Tuning'!$B$12,D473),0)</f>
        <v/>
      </c>
      <c r="F473">
        <f>F472+E473</f>
        <v/>
      </c>
      <c r="G473" t="n">
        <v>1</v>
      </c>
      <c r="H473" t="n">
        <v>1</v>
      </c>
      <c r="I473" t="n">
        <v>1</v>
      </c>
      <c r="J473">
        <f>J472*G473*H473*I473</f>
        <v/>
      </c>
      <c r="K473">
        <f>IF(J473=0,0,F473/J473)</f>
        <v/>
      </c>
      <c r="L473" t="n">
        <v>1</v>
      </c>
      <c r="M473" t="inlineStr">
        <is>
          <t>Master Trapper</t>
        </is>
      </c>
      <c r="CI473" t="inlineStr">
        <is>
          <t>A</t>
        </is>
      </c>
      <c r="CJ473" t="inlineStr">
        <is>
          <t>Traps along your whole track each round</t>
        </is>
      </c>
      <c r="GV473" t="inlineStr">
        <is>
          <t>Yes</t>
        </is>
      </c>
    </row>
    <row r="474">
      <c r="A474" t="inlineStr">
        <is>
          <t>Ranger Station</t>
        </is>
      </c>
      <c r="B474" t="inlineStr">
        <is>
          <t>Wardens</t>
        </is>
      </c>
      <c r="C474" t="inlineStr">
        <is>
          <t>support</t>
        </is>
      </c>
      <c r="D474" t="n">
        <v>1</v>
      </c>
      <c r="E474">
        <f>ROUND('Towers'!$C$25*POWER('Tuning'!$B$12,D474),0)</f>
        <v/>
      </c>
      <c r="F474">
        <f>'Towers'!$C$25+E474</f>
        <v/>
      </c>
      <c r="G474" t="n">
        <v>1.3</v>
      </c>
      <c r="H474" t="n">
        <v>1</v>
      </c>
      <c r="I474" t="n">
        <v>1</v>
      </c>
      <c r="J474">
        <f>'Towers'!$G$25*G474*H474*I474</f>
        <v/>
      </c>
      <c r="K474">
        <f>IF(J474=0,0,F474/J474)</f>
        <v/>
      </c>
      <c r="L474" t="n">
        <v>1</v>
      </c>
      <c r="M474" t="inlineStr">
        <is>
          <t>Leather Coats</t>
        </is>
      </c>
      <c r="DO474" t="n">
        <v>1.5</v>
      </c>
    </row>
    <row r="475">
      <c r="A475" t="inlineStr">
        <is>
          <t>Ranger Station</t>
        </is>
      </c>
      <c r="B475" t="inlineStr">
        <is>
          <t>Wardens</t>
        </is>
      </c>
      <c r="C475" t="inlineStr">
        <is>
          <t>support</t>
        </is>
      </c>
      <c r="D475" t="n">
        <v>2</v>
      </c>
      <c r="E475">
        <f>ROUND('Towers'!$C$25*POWER('Tuning'!$B$12,D475),0)</f>
        <v/>
      </c>
      <c r="F475">
        <f>F474+E475</f>
        <v/>
      </c>
      <c r="G475" t="n">
        <v>1.5</v>
      </c>
      <c r="H475" t="n">
        <v>1</v>
      </c>
      <c r="I475" t="n">
        <v>1</v>
      </c>
      <c r="J475">
        <f>'Towers'!$G$25*G475*H475*I475</f>
        <v/>
      </c>
      <c r="K475">
        <f>IF(J475=0,0,F475/J475)</f>
        <v/>
      </c>
      <c r="L475" t="n">
        <v>1</v>
      </c>
      <c r="M475" t="inlineStr">
        <is>
          <t>Medic Bag</t>
        </is>
      </c>
      <c r="DN475" t="n">
        <v>2</v>
      </c>
      <c r="DO475" t="n">
        <v>1.5</v>
      </c>
      <c r="GO475" t="n">
        <v>5</v>
      </c>
    </row>
    <row r="476">
      <c r="A476" t="inlineStr">
        <is>
          <t>Ranger Station</t>
        </is>
      </c>
      <c r="B476" t="inlineStr">
        <is>
          <t>Wardens</t>
        </is>
      </c>
      <c r="C476" t="inlineStr">
        <is>
          <t>support</t>
        </is>
      </c>
      <c r="D476" t="n">
        <v>3</v>
      </c>
      <c r="E476">
        <f>ROUND('Towers'!$C$25*POWER('Tuning'!$B$12,D476),0)</f>
        <v/>
      </c>
      <c r="F476">
        <f>F475+E476</f>
        <v/>
      </c>
      <c r="G476" t="n">
        <v>2</v>
      </c>
      <c r="H476" t="n">
        <v>1</v>
      </c>
      <c r="I476" t="n">
        <v>1</v>
      </c>
      <c r="J476">
        <f>'Towers'!$G$25*G476*H476*I476</f>
        <v/>
      </c>
      <c r="K476">
        <f>IF(J476=0,0,F476/J476)</f>
        <v/>
      </c>
      <c r="L476" t="n">
        <v>1</v>
      </c>
      <c r="M476" t="inlineStr">
        <is>
          <t>Shield Wall</t>
        </is>
      </c>
      <c r="DN476" t="n">
        <v>2</v>
      </c>
      <c r="DO476" t="n">
        <v>1.5</v>
      </c>
      <c r="DQ476" t="n">
        <v>40</v>
      </c>
      <c r="GO476" t="n">
        <v>5</v>
      </c>
    </row>
    <row r="477">
      <c r="A477" t="inlineStr">
        <is>
          <t>Ranger Station</t>
        </is>
      </c>
      <c r="B477" t="inlineStr">
        <is>
          <t>Wardens</t>
        </is>
      </c>
      <c r="C477" t="inlineStr">
        <is>
          <t>support</t>
        </is>
      </c>
      <c r="D477" t="n">
        <v>4</v>
      </c>
      <c r="E477">
        <f>ROUND('Towers'!$C$25*POWER('Tuning'!$B$12,D477),0)</f>
        <v/>
      </c>
      <c r="F477">
        <f>F476+E477</f>
        <v/>
      </c>
      <c r="G477" t="n">
        <v>1</v>
      </c>
      <c r="H477" t="n">
        <v>1</v>
      </c>
      <c r="I477" t="n">
        <v>1</v>
      </c>
      <c r="J477">
        <f>J476*G477*H477*I477</f>
        <v/>
      </c>
      <c r="K477">
        <f>IF(J477=0,0,F477/J477)</f>
        <v/>
      </c>
      <c r="L477" t="n">
        <v>1</v>
      </c>
      <c r="M477" t="inlineStr">
        <is>
          <t>Field Rations</t>
        </is>
      </c>
      <c r="CI477" t="inlineStr">
        <is>
          <t>A</t>
        </is>
      </c>
      <c r="CJ477" t="inlineStr">
        <is>
          <t>Rangers heal fully between rounds</t>
        </is>
      </c>
      <c r="DO477" t="n">
        <v>1.3</v>
      </c>
      <c r="DX477" t="inlineStr">
        <is>
          <t>Yes</t>
        </is>
      </c>
    </row>
    <row r="478">
      <c r="A478" t="inlineStr">
        <is>
          <t>Ranger Station</t>
        </is>
      </c>
      <c r="B478" t="inlineStr">
        <is>
          <t>Wardens</t>
        </is>
      </c>
      <c r="C478" t="inlineStr">
        <is>
          <t>support</t>
        </is>
      </c>
      <c r="D478" t="n">
        <v>5</v>
      </c>
      <c r="E478">
        <f>ROUND('Towers'!$C$25*POWER('Tuning'!$B$12,D478),0)</f>
        <v/>
      </c>
      <c r="F478">
        <f>F477+E478</f>
        <v/>
      </c>
      <c r="G478" t="n">
        <v>1</v>
      </c>
      <c r="H478" t="n">
        <v>1</v>
      </c>
      <c r="I478" t="n">
        <v>1</v>
      </c>
      <c r="J478">
        <f>J477*G478*H478*I478</f>
        <v/>
      </c>
      <c r="K478">
        <f>IF(J478=0,0,F478/J478)</f>
        <v/>
      </c>
      <c r="L478" t="n">
        <v>1</v>
      </c>
      <c r="M478" t="inlineStr">
        <is>
          <t>Hold the Line</t>
        </is>
      </c>
      <c r="CI478" t="inlineStr">
        <is>
          <t>A</t>
        </is>
      </c>
      <c r="CJ478" t="inlineStr">
        <is>
          <t>Rangers can't fall while a boss is out</t>
        </is>
      </c>
      <c r="GY478" t="inlineStr">
        <is>
          <t>Yes</t>
        </is>
      </c>
    </row>
    <row r="479">
      <c r="A479" t="inlineStr">
        <is>
          <t>Ranger Station</t>
        </is>
      </c>
      <c r="B479" t="inlineStr">
        <is>
          <t>Riflemen</t>
        </is>
      </c>
      <c r="C479" t="inlineStr">
        <is>
          <t>damage</t>
        </is>
      </c>
      <c r="D479" t="n">
        <v>4</v>
      </c>
      <c r="E479">
        <f>E467</f>
        <v/>
      </c>
      <c r="F479">
        <f>F467</f>
        <v/>
      </c>
      <c r="G479" t="n">
        <v>1.1</v>
      </c>
      <c r="H479" t="n">
        <v>1</v>
      </c>
      <c r="I479" t="n">
        <v>1</v>
      </c>
      <c r="L479" t="n">
        <v>1</v>
      </c>
      <c r="M479" t="inlineStr">
        <is>
          <t>Heavy Rifle</t>
        </is>
      </c>
      <c r="CI479" t="inlineStr">
        <is>
          <t>B</t>
        </is>
      </c>
      <c r="CJ479" t="inlineStr">
        <is>
          <t>One ranger gets a heavy rifle: ×3, breaks 3</t>
        </is>
      </c>
      <c r="GP479" t="inlineStr">
        <is>
          <t>Yes</t>
        </is>
      </c>
    </row>
    <row r="480">
      <c r="A480" t="inlineStr">
        <is>
          <t>Ranger Station</t>
        </is>
      </c>
      <c r="B480" t="inlineStr">
        <is>
          <t>Riflemen</t>
        </is>
      </c>
      <c r="C480" t="inlineStr">
        <is>
          <t>damage</t>
        </is>
      </c>
      <c r="D480" t="n">
        <v>4</v>
      </c>
      <c r="E480">
        <f>E467</f>
        <v/>
      </c>
      <c r="F480">
        <f>F467</f>
        <v/>
      </c>
      <c r="G480" t="n">
        <v>1.9</v>
      </c>
      <c r="H480" t="n">
        <v>1</v>
      </c>
      <c r="I480" t="n">
        <v>1</v>
      </c>
      <c r="L480" t="n">
        <v>1</v>
      </c>
      <c r="M480" t="inlineStr">
        <is>
          <t>Flare Rounds</t>
        </is>
      </c>
      <c r="CI480" t="inlineStr">
        <is>
          <t>C</t>
        </is>
      </c>
      <c r="CJ480" t="inlineStr">
        <is>
          <t>Rangers can hit low flyers</t>
        </is>
      </c>
      <c r="DW480" t="inlineStr">
        <is>
          <t>Yes</t>
        </is>
      </c>
    </row>
    <row r="481">
      <c r="A481" t="inlineStr">
        <is>
          <t>Ranger Station</t>
        </is>
      </c>
      <c r="B481" t="inlineStr">
        <is>
          <t>Riflemen</t>
        </is>
      </c>
      <c r="C481" t="inlineStr">
        <is>
          <t>damage</t>
        </is>
      </c>
      <c r="D481" t="n">
        <v>5</v>
      </c>
      <c r="E481">
        <f>E468</f>
        <v/>
      </c>
      <c r="F481">
        <f>F468</f>
        <v/>
      </c>
      <c r="G481" t="n">
        <v>1.2</v>
      </c>
      <c r="H481" t="n">
        <v>1</v>
      </c>
      <c r="I481" t="n">
        <v>1</v>
      </c>
      <c r="L481" t="n">
        <v>1</v>
      </c>
      <c r="M481" t="inlineStr">
        <is>
          <t>Legend Ranger</t>
        </is>
      </c>
      <c r="CI481" t="inlineStr">
        <is>
          <t>B</t>
        </is>
      </c>
      <c r="CJ481" t="inlineStr">
        <is>
          <t>One hero-strong ranger with its own dart</t>
        </is>
      </c>
      <c r="GQ481" t="inlineStr">
        <is>
          <t>Yes</t>
        </is>
      </c>
    </row>
    <row r="482">
      <c r="A482" t="inlineStr">
        <is>
          <t>Ranger Station</t>
        </is>
      </c>
      <c r="B482" t="inlineStr">
        <is>
          <t>Riflemen</t>
        </is>
      </c>
      <c r="C482" t="inlineStr">
        <is>
          <t>damage</t>
        </is>
      </c>
      <c r="D482" t="n">
        <v>5</v>
      </c>
      <c r="E482">
        <f>E468</f>
        <v/>
      </c>
      <c r="F482">
        <f>F468</f>
        <v/>
      </c>
      <c r="G482" t="n">
        <v>2.25</v>
      </c>
      <c r="H482" t="n">
        <v>1</v>
      </c>
      <c r="I482" t="n">
        <v>1</v>
      </c>
      <c r="L482" t="n">
        <v>1</v>
      </c>
      <c r="M482" t="inlineStr">
        <is>
          <t>Patrol Jeep</t>
        </is>
      </c>
      <c r="CI482" t="inlineStr">
        <is>
          <t>C</t>
        </is>
      </c>
      <c r="CJ482" t="inlineStr">
        <is>
          <t>Rangers drive the track, firing</t>
        </is>
      </c>
      <c r="GR482" t="inlineStr">
        <is>
          <t>Yes</t>
        </is>
      </c>
    </row>
    <row r="483">
      <c r="A483" t="inlineStr">
        <is>
          <t>Ranger Station</t>
        </is>
      </c>
      <c r="B483" t="inlineStr">
        <is>
          <t>Trackers</t>
        </is>
      </c>
      <c r="C483" t="inlineStr">
        <is>
          <t>control</t>
        </is>
      </c>
      <c r="D483" t="n">
        <v>4</v>
      </c>
      <c r="E483">
        <f>E472</f>
        <v/>
      </c>
      <c r="F483">
        <f>F472</f>
        <v/>
      </c>
      <c r="G483" t="n">
        <v>1</v>
      </c>
      <c r="H483" t="n">
        <v>1</v>
      </c>
      <c r="I483" t="n">
        <v>1</v>
      </c>
      <c r="L483" t="n">
        <v>1</v>
      </c>
      <c r="M483" t="inlineStr">
        <is>
          <t>Decoy Calls</t>
        </is>
      </c>
      <c r="CI483" t="inlineStr">
        <is>
          <t>B</t>
        </is>
      </c>
      <c r="CJ483" t="inlineStr">
        <is>
          <t>Dinos stop to fight rangers</t>
        </is>
      </c>
      <c r="GW483" t="n">
        <v>1</v>
      </c>
    </row>
    <row r="484">
      <c r="A484" t="inlineStr">
        <is>
          <t>Ranger Station</t>
        </is>
      </c>
      <c r="B484" t="inlineStr">
        <is>
          <t>Trackers</t>
        </is>
      </c>
      <c r="C484" t="inlineStr">
        <is>
          <t>control</t>
        </is>
      </c>
      <c r="D484" t="n">
        <v>4</v>
      </c>
      <c r="E484">
        <f>E472</f>
        <v/>
      </c>
      <c r="F484">
        <f>F472</f>
        <v/>
      </c>
      <c r="G484" t="n">
        <v>1</v>
      </c>
      <c r="H484" t="n">
        <v>1</v>
      </c>
      <c r="I484" t="n">
        <v>1</v>
      </c>
      <c r="L484" t="n">
        <v>1</v>
      </c>
      <c r="M484" t="inlineStr">
        <is>
          <t>Tripwire</t>
        </is>
      </c>
      <c r="W484" t="n">
        <v>4</v>
      </c>
      <c r="CI484" t="inlineStr">
        <is>
          <t>C</t>
        </is>
      </c>
      <c r="CJ484" t="inlineStr">
        <is>
          <t>Traps knock dinos 4 studs back</t>
        </is>
      </c>
    </row>
    <row r="485">
      <c r="A485" t="inlineStr">
        <is>
          <t>Ranger Station</t>
        </is>
      </c>
      <c r="B485" t="inlineStr">
        <is>
          <t>Trackers</t>
        </is>
      </c>
      <c r="C485" t="inlineStr">
        <is>
          <t>control</t>
        </is>
      </c>
      <c r="D485" t="n">
        <v>5</v>
      </c>
      <c r="E485">
        <f>E473</f>
        <v/>
      </c>
      <c r="F485">
        <f>F473</f>
        <v/>
      </c>
      <c r="G485" t="n">
        <v>1.3</v>
      </c>
      <c r="H485" t="n">
        <v>1</v>
      </c>
      <c r="I485" t="n">
        <v>1</v>
      </c>
      <c r="L485" t="n">
        <v>1</v>
      </c>
      <c r="M485" t="inlineStr">
        <is>
          <t>Net Launchers</t>
        </is>
      </c>
      <c r="CI485" t="inlineStr">
        <is>
          <t>B</t>
        </is>
      </c>
      <c r="CJ485" t="inlineStr">
        <is>
          <t>Rangers net a boss for 2 s</t>
        </is>
      </c>
      <c r="DT485" t="n">
        <v>2</v>
      </c>
    </row>
    <row r="486">
      <c r="A486" t="inlineStr">
        <is>
          <t>Ranger Station</t>
        </is>
      </c>
      <c r="B486" t="inlineStr">
        <is>
          <t>Trackers</t>
        </is>
      </c>
      <c r="C486" t="inlineStr">
        <is>
          <t>control</t>
        </is>
      </c>
      <c r="D486" t="n">
        <v>5</v>
      </c>
      <c r="E486">
        <f>E473</f>
        <v/>
      </c>
      <c r="F486">
        <f>F473</f>
        <v/>
      </c>
      <c r="G486" t="n">
        <v>1.2</v>
      </c>
      <c r="H486" t="n">
        <v>1</v>
      </c>
      <c r="I486" t="n">
        <v>1</v>
      </c>
      <c r="L486" t="n">
        <v>1</v>
      </c>
      <c r="M486" t="inlineStr">
        <is>
          <t>Head Ranger</t>
        </is>
      </c>
      <c r="CI486" t="inlineStr">
        <is>
          <t>C</t>
        </is>
      </c>
      <c r="CJ486" t="inlineStr">
        <is>
          <t>Ranger take-downs mark nearby dinos +20%</t>
        </is>
      </c>
      <c r="DM486" t="n">
        <v>20</v>
      </c>
    </row>
    <row r="487">
      <c r="A487" t="inlineStr">
        <is>
          <t>Ranger Station</t>
        </is>
      </c>
      <c r="B487" t="inlineStr">
        <is>
          <t>Wardens</t>
        </is>
      </c>
      <c r="C487" t="inlineStr">
        <is>
          <t>support</t>
        </is>
      </c>
      <c r="D487" t="n">
        <v>4</v>
      </c>
      <c r="E487">
        <f>E477</f>
        <v/>
      </c>
      <c r="F487">
        <f>F477</f>
        <v/>
      </c>
      <c r="G487" t="n">
        <v>1</v>
      </c>
      <c r="H487" t="n">
        <v>1</v>
      </c>
      <c r="I487" t="n">
        <v>1</v>
      </c>
      <c r="L487" t="n">
        <v>1</v>
      </c>
      <c r="M487" t="inlineStr">
        <is>
          <t>Rally Point</t>
        </is>
      </c>
      <c r="CI487" t="inlineStr">
        <is>
          <t>B</t>
        </is>
      </c>
      <c r="CJ487" t="inlineStr">
        <is>
          <t>Rangers come back 2× faster</t>
        </is>
      </c>
      <c r="DR487" t="n">
        <v>0.5</v>
      </c>
    </row>
    <row r="488">
      <c r="A488" t="inlineStr">
        <is>
          <t>Ranger Station</t>
        </is>
      </c>
      <c r="B488" t="inlineStr">
        <is>
          <t>Wardens</t>
        </is>
      </c>
      <c r="C488" t="inlineStr">
        <is>
          <t>support</t>
        </is>
      </c>
      <c r="D488" t="n">
        <v>4</v>
      </c>
      <c r="E488">
        <f>E477</f>
        <v/>
      </c>
      <c r="F488">
        <f>F477</f>
        <v/>
      </c>
      <c r="G488" t="n">
        <v>1</v>
      </c>
      <c r="H488" t="n">
        <v>1</v>
      </c>
      <c r="I488" t="n">
        <v>1</v>
      </c>
      <c r="L488" t="n">
        <v>1</v>
      </c>
      <c r="M488" t="inlineStr">
        <is>
          <t>Sandbags</t>
        </is>
      </c>
      <c r="BH488" t="n">
        <v>10</v>
      </c>
      <c r="CI488" t="inlineStr">
        <is>
          <t>C</t>
        </is>
      </c>
      <c r="CJ488" t="inlineStr">
        <is>
          <t>Towers near a post get 10% more HP</t>
        </is>
      </c>
      <c r="GX488" t="inlineStr">
        <is>
          <t>Yes</t>
        </is>
      </c>
    </row>
    <row r="489">
      <c r="A489" t="inlineStr">
        <is>
          <t>Ranger Station</t>
        </is>
      </c>
      <c r="B489" t="inlineStr">
        <is>
          <t>Wardens</t>
        </is>
      </c>
      <c r="C489" t="inlineStr">
        <is>
          <t>support</t>
        </is>
      </c>
      <c r="D489" t="n">
        <v>5</v>
      </c>
      <c r="E489">
        <f>E478</f>
        <v/>
      </c>
      <c r="F489">
        <f>F478</f>
        <v/>
      </c>
      <c r="G489" t="n">
        <v>1</v>
      </c>
      <c r="H489" t="n">
        <v>1</v>
      </c>
      <c r="I489" t="n">
        <v>1</v>
      </c>
      <c r="L489" t="n">
        <v>1</v>
      </c>
      <c r="M489" t="inlineStr">
        <is>
          <t>Bodyguards</t>
        </is>
      </c>
      <c r="CI489" t="inlineStr">
        <is>
          <t>B</t>
        </is>
      </c>
      <c r="CJ489" t="inlineStr">
        <is>
          <t>Rangers take bites for towers</t>
        </is>
      </c>
      <c r="EC489" t="inlineStr">
        <is>
          <t>Yes</t>
        </is>
      </c>
    </row>
    <row r="490">
      <c r="A490" t="inlineStr">
        <is>
          <t>Ranger Station</t>
        </is>
      </c>
      <c r="B490" t="inlineStr">
        <is>
          <t>Wardens</t>
        </is>
      </c>
      <c r="C490" t="inlineStr">
        <is>
          <t>support</t>
        </is>
      </c>
      <c r="D490" t="n">
        <v>5</v>
      </c>
      <c r="E490">
        <f>E478</f>
        <v/>
      </c>
      <c r="F490">
        <f>F478</f>
        <v/>
      </c>
      <c r="G490" t="n">
        <v>1</v>
      </c>
      <c r="H490" t="n">
        <v>1</v>
      </c>
      <c r="I490" t="n">
        <v>1</v>
      </c>
      <c r="L490" t="n">
        <v>1</v>
      </c>
      <c r="M490" t="inlineStr">
        <is>
          <t>Hunter's Lodge</t>
        </is>
      </c>
      <c r="BG490" t="n">
        <v>0.5</v>
      </c>
      <c r="CI490" t="inlineStr">
        <is>
          <t>C</t>
        </is>
      </c>
      <c r="CJ490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2026-10-16T05:41:35Z</dcterms:modified>
</cp:coreProperties>
</file>