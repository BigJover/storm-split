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  <sheet name="Mastery Perks" sheetId="14" state="visible" r:id="rId14"/>
    <sheet name="Cosmetics" sheetId="15" state="visible" r:id="rId15"/>
    <sheet name="Arenas" sheetId="16" state="visible" r:id="rId16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110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  <xf numFmtId="0" fontId="6" fillId="4" borderId="4" applyAlignment="1" pivotButton="0" quotePrefix="0" xfId="0">
      <alignment vertical="bottom"/>
    </xf>
    <xf numFmtId="0" fontId="5" fillId="2" borderId="17" applyAlignment="1" pivotButton="0" quotePrefix="0" xfId="0">
      <alignment vertical="bottom"/>
    </xf>
    <xf numFmtId="0" fontId="8" fillId="5" borderId="12" applyAlignment="1" pivotButton="0" quotePrefix="0" xfId="0">
      <alignment vertical="bottom"/>
    </xf>
    <xf numFmtId="0" fontId="9" fillId="2" borderId="18" applyAlignment="1" pivotButton="0" quotePrefix="0" xfId="0">
      <alignment vertical="bottom"/>
    </xf>
    <xf numFmtId="0" fontId="10" fillId="2" borderId="5" applyAlignment="1" pivotButton="0" quotePrefix="0" xfId="0">
      <alignment vertical="bottom"/>
    </xf>
    <xf numFmtId="0" fontId="7" fillId="3" borderId="12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2" borderId="12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2" borderId="4" applyAlignment="1" pivotButton="0" quotePrefix="0" xfId="0">
      <alignment vertical="bottom"/>
    </xf>
    <xf numFmtId="0" fontId="0" fillId="0" borderId="5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Default: what players have before round 1 on Easy. Each level's own is Difficulty → Starting cash; the exporter checks Easy equals this.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7">
      <c r="A87" s="31" t="inlineStr">
        <is>
          <t>HERO XP</t>
        </is>
      </c>
    </row>
    <row r="88">
      <c r="A88" s="26" t="inlineStr">
        <is>
          <t>XP per level</t>
        </is>
      </c>
      <c r="B88" s="27" t="n">
        <v>500</v>
      </c>
      <c r="C88" s="28" t="inlineStr">
        <is>
          <t>XP</t>
        </is>
      </c>
      <c r="D88" s="29" t="inlineStr">
        <is>
          <t>XP for one hero level: level = 1 + XP / this, rounded down. Must be a whole multiple of Rounds per level, so a cleared round is worth a whole Round XP (DECISIONS #100).</t>
        </is>
      </c>
    </row>
    <row r="89">
      <c r="A89" s="26" t="inlineStr">
        <is>
          <t>XP per pop</t>
        </is>
      </c>
      <c r="B89" s="27" t="n">
        <v>0.25</v>
      </c>
      <c r="C89" s="28" t="inlineStr">
        <is>
          <t>XP</t>
        </is>
      </c>
      <c r="D89" s="29" t="inlineStr">
        <is>
          <t>Pop XP for each take-down credited to the hunter (gun, towers, fire). Pending until the round is cleared.</t>
        </is>
      </c>
    </row>
    <row r="90">
      <c r="A90" s="26" t="inlineStr">
        <is>
          <t>Pop XP cap per round</t>
        </is>
      </c>
      <c r="B90" s="27" t="n">
        <v>15</v>
      </c>
      <c r="C90" s="28" t="inlineStr">
        <is>
          <t>XP</t>
        </is>
      </c>
      <c r="D90" s="29" t="inlineStr">
        <is>
          <t>The most pop XP one round can bank. 0 = the old every-5-rounds curve exactly.</t>
        </is>
      </c>
    </row>
    <row r="91">
      <c r="A91" s="26" t="inlineStr">
        <is>
          <t>Team pop share</t>
        </is>
      </c>
      <c r="B91" s="27" t="n">
        <v>0.25</v>
      </c>
      <c r="C91" s="28" t="inlineStr">
        <is>
          <t>x</t>
        </is>
      </c>
      <c r="D91" s="29" t="inlineStr">
        <is>
          <t>Share of teammates' take-downs that counts toward your pop XP (DECISIONS #102). 0 = own only, 1 = fully shared.</t>
        </is>
      </c>
    </row>
    <row r="92">
      <c r="A92" s="26" t="inlineStr">
        <is>
          <t>Hero level lead cap</t>
        </is>
      </c>
      <c r="B92" s="27" t="n">
        <v>1</v>
      </c>
      <c r="C92" s="28" t="inlineStr">
        <is>
          <t>levels</t>
        </is>
      </c>
      <c r="D92" s="29" t="inlineStr">
        <is>
          <t>A hunter is never more than this many levels above the round level (DECISIONS #101). The export fails if the seeds alone would beat it.</t>
        </is>
      </c>
    </row>
    <row r="94" s="90">
      <c r="A94" s="31" t="inlineStr">
        <is>
          <t>MASTERY PERKS</t>
        </is>
      </c>
    </row>
    <row r="95" s="90">
      <c r="A95" s="26" t="inlineStr">
        <is>
          <t>Mastery perk worth cap</t>
        </is>
      </c>
      <c r="B95" s="27" t="n">
        <v>40</v>
      </c>
      <c r="C95" s="28" t="inlineStr">
        <is>
          <t>%</t>
        </is>
      </c>
      <c r="D95" s="29" t="inlineStr">
        <is>
          <t>The most a mastery perk may be worth, in % of one cast (Mastery Perks sheet, DECISIONS #99). Read by the exporter only.</t>
        </is>
      </c>
    </row>
    <row r="97">
      <c r="A97" s="31" t="inlineStr">
        <is>
          <t>BOSS THROWS</t>
        </is>
      </c>
    </row>
    <row r="98">
      <c r="A98" s="26" t="inlineStr">
        <is>
          <t>Boss ranged vs towers x</t>
        </is>
      </c>
      <c r="B98" s="27" t="n">
        <v>0.3</v>
      </c>
      <c r="C98" s="28" t="inlineStr">
        <is>
          <t>x</t>
        </is>
      </c>
      <c r="D98" s="29" t="inlineStr">
        <is>
          <t>A Boss species' projectile damage to a tower is multiplied by this; hunters take full damage (they can dodge). DECISIONS #138, #154. 1 = off.</t>
        </is>
      </c>
    </row>
    <row r="100">
      <c r="A100" s="99" t="inlineStr">
        <is>
          <t>PIERCE-THROUGH</t>
        </is>
      </c>
    </row>
    <row r="101">
      <c r="A101" s="100" t="inlineStr">
        <is>
          <t>Break level step</t>
        </is>
      </c>
      <c r="B101" s="101" t="n">
        <v>3</v>
      </c>
      <c r="C101" s="102" t="inlineStr">
        <is>
          <t>levels</t>
        </is>
      </c>
      <c r="D101" s="103" t="inlineStr">
        <is>
          <t>Raw-damage tiers (Size breaks 2+) break one more size per this many tower levels above 1: +1 at level 4, +2 at level 7. Heroes never. DECISIONS #126.</t>
        </is>
      </c>
    </row>
    <row r="102">
      <c r="A102" s="100" t="inlineStr">
        <is>
          <t>Max size breaks</t>
        </is>
      </c>
      <c r="B102" s="101" t="n">
        <v>4</v>
      </c>
      <c r="C102" s="102" t="inlineStr">
        <is>
          <t>sizes</t>
        </is>
      </c>
      <c r="D102" s="103" t="inlineStr">
        <is>
          <t>The most sizes one hit may drop (pierce-through cap). 1 = off everywhere. DECISIONS #126.</t>
        </is>
      </c>
    </row>
    <row r="104">
      <c r="A104" s="99" t="inlineStr">
        <is>
          <t>PLAYER LEVEL</t>
        </is>
      </c>
      <c r="B104" s="105" t="n"/>
      <c r="C104" s="105" t="n"/>
      <c r="D104" s="105" t="n"/>
    </row>
    <row r="105">
      <c r="A105" s="100" t="inlineStr">
        <is>
          <t>Player XP base</t>
        </is>
      </c>
      <c r="B105" s="101" t="n">
        <v>500</v>
      </c>
      <c r="C105" s="102" t="inlineStr">
        <is>
          <t>XP</t>
        </is>
      </c>
      <c r="D105" s="103" t="inlineStr">
        <is>
          <t>Player level 1 -&gt; 2 costs this much player XP (DECISIONS #120). Saved between matches; rewards are cosmetic only.</t>
        </is>
      </c>
    </row>
    <row r="106">
      <c r="A106" s="100" t="inlineStr">
        <is>
          <t>Player XP step</t>
        </is>
      </c>
      <c r="B106" s="101" t="n">
        <v>50</v>
      </c>
      <c r="C106" s="102" t="inlineStr">
        <is>
          <t>XP</t>
        </is>
      </c>
      <c r="D106" s="103" t="inlineStr">
        <is>
          <t>Each player level costs this much more than the one before: level n -&gt; n+1 = base + step x (n-1) (DECISIONS #120).</t>
        </is>
      </c>
    </row>
    <row r="107">
      <c r="A107" s="100" t="inlineStr">
        <is>
          <t>Player XP per level max</t>
        </is>
      </c>
      <c r="B107" s="101" t="n">
        <v>10000</v>
      </c>
      <c r="C107" s="102" t="inlineStr">
        <is>
          <t>XP</t>
        </is>
      </c>
      <c r="D107" s="103" t="inlineStr">
        <is>
          <t>No player level costs more than this (reached at level 191 with the seeds); levels never end (DECISIONS #120).</t>
        </is>
      </c>
    </row>
    <row r="108">
      <c r="A108" s="100" t="inlineStr">
        <is>
          <t>Solo take-down XP x</t>
        </is>
      </c>
      <c r="B108" s="101" t="n">
        <v>2</v>
      </c>
      <c r="C108" s="102" t="inlineStr">
        <is>
          <t>x</t>
        </is>
      </c>
      <c r="D108" s="103" t="inlineStr">
        <is>
          <t>In solo, the take-down part of the match's hero XP counts this many times toward player XP only; co-op and the hunter level are unchanged (DECISIONS #124). 1 = off.</t>
        </is>
      </c>
    </row>
    <row r="110">
      <c r="A110" s="99" t="inlineStr">
        <is>
          <t>STORM COIL</t>
        </is>
      </c>
    </row>
    <row r="111">
      <c r="A111" s="100" t="inlineStr">
        <is>
          <t>Coil arcs</t>
        </is>
      </c>
      <c r="B111" s="101" t="n">
        <v>4</v>
      </c>
      <c r="C111" s="102" t="inlineStr">
        <is>
          <t>arcs after the first hit (Copper Wire raises it)</t>
        </is>
      </c>
    </row>
    <row r="112">
      <c r="A112" s="100" t="inlineStr">
        <is>
          <t>Coil arc reach</t>
        </is>
      </c>
      <c r="B112" s="101" t="n">
        <v>10</v>
      </c>
      <c r="C112" s="102" t="inlineStr">
        <is>
          <t>studs from one dino to the next</t>
        </is>
      </c>
    </row>
    <row r="113">
      <c r="A113" s="100" t="inlineStr">
        <is>
          <t>Coil arc falloff</t>
        </is>
      </c>
      <c r="B113" s="101" t="n">
        <v>0.8</v>
      </c>
      <c r="C113" s="102" t="inlineStr">
        <is>
          <t>each arc x this of the last</t>
        </is>
      </c>
    </row>
    <row r="114">
      <c r="A114" s="100" t="inlineStr">
        <is>
          <t>Power Grid range per coil</t>
        </is>
      </c>
      <c r="B114" s="101" t="n">
        <v>0.15</v>
      </c>
      <c r="C114" s="102" t="inlineStr">
        <is>
          <t>range x (1 + this x (n - 1)), DECISIONS #151</t>
        </is>
      </c>
    </row>
    <row r="115">
      <c r="A115" s="100" t="inlineStr">
        <is>
          <t>Power Grid damage base</t>
        </is>
      </c>
      <c r="B115" s="101" t="n">
        <v>0.5</v>
      </c>
      <c r="C115" s="102" t="inlineStr">
        <is>
          <t>damage x (base + per coil x n)</t>
        </is>
      </c>
    </row>
    <row r="116">
      <c r="A116" s="100" t="inlineStr">
        <is>
          <t>Power Grid damage per coil</t>
        </is>
      </c>
      <c r="B116" s="101" t="n">
        <v>0.25</v>
      </c>
    </row>
    <row r="117">
      <c r="A117" s="100" t="inlineStr">
        <is>
          <t>Power Grid coil cap</t>
        </is>
      </c>
      <c r="B117" s="101" t="n">
        <v>6</v>
      </c>
      <c r="C117" s="102" t="inlineStr">
        <is>
          <t>n counted up to this</t>
        </is>
      </c>
    </row>
    <row r="118">
      <c r="A118" s="100" t="inlineStr">
        <is>
          <t>Power Grid every</t>
        </is>
      </c>
      <c r="B118" s="101" t="n">
        <v>6</v>
      </c>
      <c r="C118" s="102" t="inlineStr">
        <is>
          <t>s, one shared grid strike</t>
        </is>
      </c>
    </row>
    <row r="119">
      <c r="A119" s="100" t="inlineStr">
        <is>
          <t>Judgement Bolt every</t>
        </is>
      </c>
      <c r="B119" s="101" t="n">
        <v>10</v>
      </c>
      <c r="C119" s="102" t="inlineStr">
        <is>
          <t>s</t>
        </is>
      </c>
    </row>
    <row r="120">
      <c r="A120" s="100" t="inlineStr">
        <is>
          <t>Judgement Bolt x</t>
        </is>
      </c>
      <c r="B120" s="101" t="n">
        <v>8</v>
      </c>
      <c r="C120" s="102" t="inlineStr">
        <is>
          <t>x the coil damage, biggest dino in range</t>
        </is>
      </c>
    </row>
    <row r="121">
      <c r="A121" s="100" t="inlineStr">
        <is>
          <t>Judgement Bolt breaks</t>
        </is>
      </c>
      <c r="B121" s="101" t="n">
        <v>3</v>
      </c>
      <c r="C121" s="102" t="inlineStr">
        <is>
          <t>sizes (pierce-through)</t>
        </is>
      </c>
    </row>
    <row r="122">
      <c r="A122" s="100" t="inlineStr">
        <is>
          <t>Judgement Bolt stun</t>
        </is>
      </c>
      <c r="B122" s="101" t="n">
        <v>0.5</v>
      </c>
      <c r="C122" s="102" t="inlineStr">
        <is>
          <t>s, bosses too</t>
        </is>
      </c>
    </row>
    <row r="124">
      <c r="A124" s="99" t="inlineStr">
        <is>
          <t>FALCON ROOST</t>
        </is>
      </c>
      <c r="C124" s="102" t="n"/>
    </row>
    <row r="125">
      <c r="A125" s="81" t="inlineStr">
        <is>
          <t>Falcon speed</t>
        </is>
      </c>
      <c r="B125" s="81" t="n">
        <v>40</v>
      </c>
      <c r="C125" s="81" t="inlineStr">
        <is>
          <t>studs/s a bird flies out and back (travel time)</t>
        </is>
      </c>
    </row>
    <row r="126">
      <c r="A126" s="81" t="inlineStr">
        <is>
          <t>Eagle dive x</t>
        </is>
      </c>
      <c r="B126" s="81" t="n">
        <v>6</v>
      </c>
      <c r="C126" s="81" t="inlineStr">
        <is>
          <t>x the roost's damage, Eagle of the Peak's one bird</t>
        </is>
      </c>
    </row>
    <row r="127">
      <c r="A127" s="81" t="inlineStr">
        <is>
          <t>Falcon Bells mark</t>
        </is>
      </c>
      <c r="B127" s="81" t="n">
        <v>2</v>
      </c>
      <c r="C127" s="81" t="inlineStr">
        <is>
          <t>s a struck dino stays marked (Falcon Bells)</t>
        </is>
      </c>
    </row>
    <row r="129">
      <c r="A129" s="99" t="inlineStr">
        <is>
          <t>TAR PIT</t>
        </is>
      </c>
    </row>
    <row r="130">
      <c r="A130" s="100" t="inlineStr">
        <is>
          <t>Eruption every</t>
        </is>
      </c>
      <c r="B130" s="101" t="n">
        <v>10</v>
      </c>
      <c r="C130" s="102" t="inlineStr">
        <is>
          <t>s, DECISIONS #150</t>
        </is>
      </c>
    </row>
    <row r="131">
      <c r="A131" s="100" t="inlineStr">
        <is>
          <t>Eruption sizes</t>
        </is>
      </c>
      <c r="B131" s="101" t="n">
        <v>2</v>
      </c>
      <c r="C131" s="102" t="inlineStr">
        <is>
          <t>sizes dropped outright, Break resist ignored</t>
        </is>
      </c>
    </row>
    <row r="132">
      <c r="A132" s="100" t="inlineStr">
        <is>
          <t>Tar sink seconds</t>
        </is>
      </c>
      <c r="B132" s="101" t="n">
        <v>1</v>
      </c>
      <c r="C132" s="102" t="inlineStr">
        <is>
          <t>s a last-size dino stays in the tar before it sinks (Fast Sink lowers it)</t>
        </is>
      </c>
    </row>
    <row r="133">
      <c r="A133" s="100" t="inlineStr">
        <is>
          <t>Tar Tracks length</t>
        </is>
      </c>
      <c r="B133" s="101" t="n">
        <v>12</v>
      </c>
      <c r="C133" s="102" t="inlineStr">
        <is>
          <t>studs of track past the pool that Tar Tracks' footprints cover</t>
        </is>
      </c>
    </row>
    <row r="134">
      <c r="A134" s="100" t="inlineStr">
        <is>
          <t>Tar Tracks seconds</t>
        </is>
      </c>
      <c r="B134" s="101" t="n">
        <v>3</v>
      </c>
      <c r="C134" s="102" t="inlineStr">
        <is>
          <t>s the footprints stay after a dino walks out</t>
        </is>
      </c>
    </row>
    <row r="135">
      <c r="A135" s="100" t="n"/>
      <c r="B135" s="101" t="n"/>
      <c r="C135" s="102" t="n"/>
    </row>
    <row r="136">
      <c r="A136" s="99" t="inlineStr">
        <is>
          <t>HARPOON BALLISTA</t>
        </is>
      </c>
    </row>
    <row r="137">
      <c r="A137" s="100" t="inlineStr">
        <is>
          <t>Tow Line every</t>
        </is>
      </c>
      <c r="B137" s="101" t="n">
        <v>15</v>
      </c>
      <c r="C137" s="102" t="inlineStr">
        <is>
          <t>s</t>
        </is>
      </c>
    </row>
    <row r="138">
      <c r="A138" s="100" t="inlineStr">
        <is>
          <t>Tow Line pull</t>
        </is>
      </c>
      <c r="B138" s="101" t="n">
        <v>10</v>
      </c>
      <c r="C138" s="102" t="inlineStr">
        <is>
          <t>studs back along the track (bosses)</t>
        </is>
      </c>
    </row>
    <row r="139">
      <c r="A139" s="100" t="inlineStr">
        <is>
          <t>Bolt width</t>
        </is>
      </c>
      <c r="B139" s="101" t="n">
        <v>3</v>
      </c>
      <c r="C139" s="102" t="inlineStr">
        <is>
          <t>studs from a bolt's line (Skewer) or a chain (Chain Harpoons) that still counts as hit</t>
        </is>
      </c>
    </row>
    <row r="141">
      <c r="A141" s="99" t="inlineStr">
        <is>
          <t>BATTLE MODES</t>
        </is>
      </c>
    </row>
    <row r="142">
      <c r="A142" s="100" t="inlineStr">
        <is>
          <t>Battle build time</t>
        </is>
      </c>
      <c r="B142" s="101" t="n">
        <v>30</v>
      </c>
      <c r="C142" s="102" t="inlineStr">
        <is>
          <t>s, the one build phase before the rounds (no per-side Start; DECISIONS #210)</t>
        </is>
      </c>
    </row>
    <row r="143">
      <c r="A143" s="100" t="inlineStr">
        <is>
          <t>Battle round time</t>
        </is>
      </c>
      <c r="B143" s="101" t="n">
        <v>60</v>
      </c>
      <c r="C143" s="102" t="inlineStr">
        <is>
          <t>s after a round starts, the next starts for every live side even if not all cleared (lockstep; ≥ the longest paced Normal and Chaos round, 56 s; DECISIONS #251)</t>
        </is>
      </c>
    </row>
    <row r="144">
      <c r="A144" s="100" t="inlineStr">
        <is>
          <t>Battle side density</t>
        </is>
      </c>
      <c r="B144" s="101" t="n">
        <v>0.6</v>
      </c>
      <c r="C144" s="102" t="inlineStr">
        <is>
          <t>x dinos per side in Royale and 3-side Team, so every track fits the live cap</t>
        </is>
      </c>
    </row>
    <row r="145">
      <c r="A145" s="100" t="inlineStr">
        <is>
          <t>PvP tower damage</t>
        </is>
      </c>
      <c r="B145" s="101" t="n">
        <v>0.35</v>
      </c>
      <c r="C145" s="102" t="inlineStr">
        <is>
          <t>x a hunter's damage on an enemy side's tower (0 &lt; x &lt;= 1)</t>
        </is>
      </c>
    </row>
    <row r="146">
      <c r="A146" s="100" t="inlineStr">
        <is>
          <t>PvP hunter damage</t>
        </is>
      </c>
      <c r="B146" s="101" t="n">
        <v>0.5</v>
      </c>
      <c r="C146" s="102" t="inlineStr">
        <is>
          <t>x a hunter's damage on an enemy hunter (0 &lt; x &lt;= 1)</t>
        </is>
      </c>
    </row>
    <row r="147">
      <c r="A147" s="100" t="inlineStr">
        <is>
          <t>Spawn shield</t>
        </is>
      </c>
      <c r="B147" s="101" t="n">
        <v>3</v>
      </c>
      <c r="C147" s="102" t="inlineStr">
        <is>
          <t>s of no damage after a battle respawn</t>
        </is>
      </c>
    </row>
    <row r="148">
      <c r="A148" s="100" t="inlineStr">
        <is>
          <t>Overtime HP step</t>
        </is>
      </c>
      <c r="B148" s="101" t="n">
        <v>1.25</v>
      </c>
      <c r="C148" s="102" t="inlineStr">
        <is>
          <t>x dino HP per Team overtime repeat after the last round, compounding</t>
        </is>
      </c>
    </row>
    <row r="149">
      <c r="A149" s="100" t="inlineStr">
        <is>
          <t>Survivor bonus</t>
        </is>
      </c>
      <c r="B149" s="101" t="n">
        <v>0.1</v>
      </c>
      <c r="C149" s="102" t="inlineStr">
        <is>
          <t>x Bones added for the last Royale hunter alive</t>
        </is>
      </c>
    </row>
    <row r="150">
      <c r="A150" s="100" t="inlineStr">
        <is>
          <t>Raid bones</t>
        </is>
      </c>
      <c r="B150" s="101" t="n">
        <v>0</v>
      </c>
      <c r="C150" s="102" t="inlineStr">
        <is>
          <t>Bones for knocking out an enemy tower</t>
        </is>
      </c>
    </row>
    <row r="151">
      <c r="A151" s="100" t="inlineStr">
        <is>
          <t>Team min players</t>
        </is>
      </c>
      <c r="B151" s="101" t="n">
        <v>2</v>
      </c>
      <c r="C151" s="102" t="inlineStr">
        <is>
          <t>players for a Team Battle (1v1 allowed); 3 sides need 3</t>
        </is>
      </c>
    </row>
    <row r="152">
      <c r="A152" s="100" t="inlineStr">
        <is>
          <t>Royale min players</t>
        </is>
      </c>
      <c r="B152" s="101" t="n">
        <v>3</v>
      </c>
      <c r="C152" s="102" t="inlineStr">
        <is>
          <t>players for a competitive Royale (72/23/5 needs 3)</t>
        </is>
      </c>
    </row>
    <row r="153">
      <c r="A153" s="100" t="inlineStr">
        <is>
          <t>Battle max players</t>
        </is>
      </c>
      <c r="B153" s="101" t="n">
        <v>10</v>
      </c>
      <c r="C153" s="102" t="inlineStr">
        <is>
          <t>players in one battle (Royale: one side each)</t>
        </is>
      </c>
    </row>
    <row r="154">
      <c r="A154" s="100" t="inlineStr">
        <is>
          <t>Competitive buy-in</t>
        </is>
      </c>
      <c r="B154" s="101" t="n">
        <v>15</v>
      </c>
      <c r="C154" s="102" t="inlineStr">
        <is>
          <t>Amber each player stakes (exporter: 10-20)</t>
        </is>
      </c>
    </row>
    <row r="155">
      <c r="A155" s="100" t="inlineStr">
        <is>
          <t>Team win payout</t>
        </is>
      </c>
      <c r="B155" s="101" t="n">
        <v>50</v>
      </c>
      <c r="C155" s="102" t="inlineStr">
        <is>
          <t>Amber, casual Team Battle, each winner (competitive adds the pot share)</t>
        </is>
      </c>
    </row>
    <row r="156">
      <c r="A156" s="100" t="inlineStr">
        <is>
          <t>Team loss payout</t>
        </is>
      </c>
      <c r="B156" s="101" t="n">
        <v>5</v>
      </c>
      <c r="C156" s="102" t="inlineStr">
        <is>
          <t>Amber, casual Team Battle, each loser</t>
        </is>
      </c>
    </row>
    <row r="157">
      <c r="A157" s="100" t="inlineStr">
        <is>
          <t>Royale 1st payout</t>
        </is>
      </c>
      <c r="B157" s="101" t="n">
        <v>60</v>
      </c>
      <c r="C157" s="102" t="inlineStr">
        <is>
          <t>Amber, casual Royale 1st (competitive adds the pot share)</t>
        </is>
      </c>
    </row>
    <row r="158">
      <c r="A158" s="100" t="inlineStr">
        <is>
          <t>Royale 2nd payout</t>
        </is>
      </c>
      <c r="B158" s="101" t="n">
        <v>30</v>
      </c>
      <c r="C158" s="102" t="inlineStr">
        <is>
          <t>Amber, casual Royale 2nd</t>
        </is>
      </c>
    </row>
    <row r="159">
      <c r="A159" s="100" t="inlineStr">
        <is>
          <t>Royale 3rd payout</t>
        </is>
      </c>
      <c r="B159" s="101" t="n">
        <v>10</v>
      </c>
      <c r="C159" s="102" t="inlineStr">
        <is>
          <t>Amber, casual Royale 3rd</t>
        </is>
      </c>
    </row>
    <row r="160">
      <c r="A160" s="100" t="inlineStr">
        <is>
          <t>Royale rest payout</t>
        </is>
      </c>
      <c r="B160" s="101" t="n">
        <v>5</v>
      </c>
      <c r="C160" s="102" t="inlineStr">
        <is>
          <t>Amber, casual Royale 4th and below</t>
        </is>
      </c>
    </row>
    <row r="161">
      <c r="A161" s="100" t="inlineStr">
        <is>
          <t>Royale pot 1st</t>
        </is>
      </c>
      <c r="B161" s="101" t="n">
        <v>72</v>
      </c>
      <c r="C161" s="102" t="inlineStr">
        <is>
          <t>% of the competitive pot, rounded down (the three add to 100)</t>
        </is>
      </c>
    </row>
    <row r="162">
      <c r="A162" s="100" t="inlineStr">
        <is>
          <t>Royale pot 2nd</t>
        </is>
      </c>
      <c r="B162" s="101" t="n">
        <v>23</v>
      </c>
      <c r="C162" s="102" t="inlineStr">
        <is>
          <t>% of the pot, rounded down</t>
        </is>
      </c>
    </row>
    <row r="163">
      <c r="A163" s="100" t="inlineStr">
        <is>
          <t>Royale pot 3rd</t>
        </is>
      </c>
      <c r="B163" s="101" t="n">
        <v>5</v>
      </c>
      <c r="C163" s="102" t="inlineStr">
        <is>
          <t>% of the pot, rounded down; unused shares go to 1st</t>
        </is>
      </c>
    </row>
    <row r="164">
      <c r="A164" s="100" t="inlineStr">
        <is>
          <t>Team win trophies</t>
        </is>
      </c>
      <c r="B164" s="101" t="n">
        <v>30</v>
      </c>
      <c r="C164" s="102" t="inlineStr">
        <is>
          <t>Trophies each winner gains (competitive only)</t>
        </is>
      </c>
    </row>
    <row r="165">
      <c r="A165" s="100" t="inlineStr">
        <is>
          <t>Team loss trophies</t>
        </is>
      </c>
      <c r="B165" s="101" t="n">
        <v>-30</v>
      </c>
      <c r="C165" s="102" t="inlineStr">
        <is>
          <t>Trophies each loser gains (negative = lost)</t>
        </is>
      </c>
    </row>
    <row r="166">
      <c r="A166" s="100" t="inlineStr">
        <is>
          <t>Royale 1st trophies</t>
        </is>
      </c>
      <c r="B166" s="101" t="n">
        <v>30</v>
      </c>
      <c r="C166" s="102" t="inlineStr">
        <is>
          <t>Trophies 1st gains; the rest of the top third less, the middle 0</t>
        </is>
      </c>
    </row>
    <row r="167">
      <c r="A167" s="100" t="inlineStr">
        <is>
          <t>Royale last trophies</t>
        </is>
      </c>
      <c r="B167" s="101" t="n">
        <v>-20</v>
      </c>
      <c r="C167" s="102" t="inlineStr">
        <is>
          <t>Trophies last gains (negative = lost); the rest of the bottom third less</t>
        </is>
      </c>
    </row>
    <row r="168">
      <c r="A168" s="100" t="inlineStr">
        <is>
          <t>Competitive edge max</t>
        </is>
      </c>
      <c r="B168" s="101" t="n">
        <v>0.1</v>
      </c>
      <c r="C168" s="102" t="inlineStr">
        <is>
          <t>x most a maxed hunter's perks may add over mastery 0 (PvP parity bar, T84)</t>
        </is>
      </c>
    </row>
    <row r="169">
      <c r="A169" s="100" t="inlineStr">
        <is>
          <t>Perk parity band</t>
        </is>
      </c>
      <c r="B169" s="101" t="n">
        <v>0.15</v>
      </c>
      <c r="C169" s="102" t="inlineStr">
        <is>
          <t>x every hero's perks within this of each other at mastery 10/15/20 (T84)</t>
        </is>
      </c>
    </row>
    <row r="170">
      <c r="A170" s="81" t="inlineStr">
        <is>
          <t>Battle round break</t>
        </is>
      </c>
      <c r="B170" s="81" t="n">
        <v>5</v>
      </c>
      <c r="C170" s="81" t="inlineStr">
        <is>
          <t>s after the last living side clears a round before the next starts (battles only; the round time still caps it, DECISIONS #232)</t>
        </is>
      </c>
    </row>
    <row r="171">
      <c r="A171" s="81" t="inlineStr">
        <is>
          <t>Battle results time</t>
        </is>
      </c>
      <c r="B171" s="81" t="n">
        <v>15</v>
      </c>
      <c r="C171" s="81" t="inlineStr">
        <is>
          <t>s the battle results card shows before everyone returns home (battles only; co-op keeps Results time, DECISIONS #236)</t>
        </is>
      </c>
    </row>
    <row r="172">
      <c r="A172" s="81" t="inlineStr">
        <is>
          <t>Round pace</t>
        </is>
      </c>
      <c r="B172" s="81" t="n">
        <v>0.4</v>
      </c>
      <c r="C172" s="81" t="inlineStr">
        <is>
          <t>x every species' count per round (half up, min 1; bosses kept), spawn gaps unchanged; dino HP x (unpaced round EHP x the pace factor (pace·S + W) / (S + W)) / paced round EHP, kill cash x the count ratio; S = enemies x spawn gap, W = Track walk seconds / difficulty speed; every mode (DECISIONS #250, #258)</t>
        </is>
      </c>
    </row>
    <row r="173">
      <c r="A173" s="81" t="inlineStr">
        <is>
          <t>Track walk seconds</t>
        </is>
      </c>
      <c r="B173" s="81" t="n">
        <v>14</v>
      </c>
      <c r="C173" s="81" t="inlineStr">
        <is>
          <t>s, the Rounds sheet's round length = enemies x spawn gap + this; W in the pace factor and the models (DECISIONS #250)</t>
        </is>
      </c>
    </row>
    <row r="174">
      <c r="A174" s="81" t="inlineStr">
        <is>
          <t>Casual round step</t>
        </is>
      </c>
      <c r="B174" s="81" t="n">
        <v>3</v>
      </c>
      <c r="C174" s="81" t="inlineStr">
        <is>
          <t>casual battles play every 3rd round, ending at the last: 1, 4, 7 … 40 (DECISIONS #251)</t>
        </is>
      </c>
    </row>
    <row r="175">
      <c r="A175" s="81" t="inlineStr">
        <is>
          <t>Ranked round step</t>
        </is>
      </c>
      <c r="B175" s="81" t="n">
        <v>2</v>
      </c>
      <c r="C175" s="81" t="inlineStr">
        <is>
          <t>Ranked battles play every 2nd round: 2, 4 … 40 (DECISIONS #251)</t>
        </is>
      </c>
    </row>
    <row r="176">
      <c r="A176" s="81" t="inlineStr">
        <is>
          <t>Casual match cap</t>
        </is>
      </c>
      <c r="B176" s="81" t="n">
        <v>900</v>
      </c>
      <c r="C176" s="81" t="inlineStr">
        <is>
          <t>s from Building: casual battles end here at the latest, the tie-break chain ranks everyone standing (DECISIONS #252)</t>
        </is>
      </c>
    </row>
    <row r="177">
      <c r="A177" s="81" t="inlineStr">
        <is>
          <t>Ranked match cap</t>
        </is>
      </c>
      <c r="B177" s="81" t="n">
        <v>1800</v>
      </c>
      <c r="C177" s="81" t="inlineStr">
        <is>
          <t>s from Building, Final Stampede included (DECISIONS #252)</t>
        </is>
      </c>
    </row>
    <row r="178">
      <c r="A178" s="81" t="inlineStr">
        <is>
          <t>Clock warning</t>
        </is>
      </c>
      <c r="B178" s="81" t="n">
        <v>60</v>
      </c>
      <c r="C178" s="81" t="inlineStr">
        <is>
          <t>s before the match cap: a warning banner (DECISIONS #252)</t>
        </is>
      </c>
    </row>
    <row r="179">
      <c r="A179" s="81" t="inlineStr">
        <is>
          <t>Late join cash x</t>
        </is>
      </c>
      <c r="B179" s="81" t="n">
        <v>1.1</v>
      </c>
      <c r="C179" s="81" t="inlineStr">
        <is>
          <t>x one more hunter's expected income for the rounds before the join; at least Starting cash per extra player (DECISIONS #254)</t>
        </is>
      </c>
    </row>
    <row r="180">
      <c r="A180" s="81" t="inlineStr">
        <is>
          <t>Late join last round</t>
        </is>
      </c>
      <c r="B180" s="81" t="n">
        <v>30</v>
      </c>
      <c r="C180" s="81" t="inlineStr">
        <is>
          <t>casual battles seat joiners until the end of this round (DECISIONS #254)</t>
        </is>
      </c>
    </row>
    <row r="181">
      <c r="A181" s="81" t="inlineStr">
        <is>
          <t>Bone Rush spare plots</t>
        </is>
      </c>
      <c r="B181" s="81" t="n">
        <v>2</v>
      </c>
      <c r="C181" s="81" t="inlineStr">
        <is>
          <t>extra Bone Rush plots for late joiners, within Battle max players (DECISIONS #254)</t>
        </is>
      </c>
    </row>
    <row r="182">
      <c r="A182" s="81" t="inlineStr">
        <is>
          <t>Co-op length max</t>
        </is>
      </c>
      <c r="B182" s="81" t="n">
        <v>2100</v>
      </c>
      <c r="C182" s="81" t="inlineStr">
        <is>
          <t>s, model bar only (value.py --pacing: Normal solo, 40 rounds with breaks); not a game clock (DECISIONS #250)</t>
        </is>
      </c>
    </row>
    <row r="183">
      <c r="A183" s="81" t="inlineStr">
        <is>
          <t>Battle crowd x</t>
        </is>
      </c>
      <c r="B183" s="81" t="n">
        <v>0.7</v>
      </c>
      <c r="C183" s="81" t="inlineStr">
        <is>
          <t>x every battle round's dino counts on top of Round pace (bosses kept); HP and kill cash scaled so round EHP and cash are unchanged; keeps peak live dinos under Max concurrent enemies (DECISIONS #258)</t>
        </is>
      </c>
    </row>
    <row r="184">
      <c r="A184" s="81" t="inlineStr">
        <is>
          <t>Ability tempo</t>
        </is>
      </c>
      <c r="B184" s="81" t="n">
        <v>2</v>
      </c>
      <c r="C184" s="81" t="inlineStr">
        <is>
          <t>hero ability cooldowns / this (on top of mastery), Field Hospital heal rate x this: paced rounds are shorter (DECISIONS #259); 1 to 1 / Round pace</t>
        </is>
      </c>
    </row>
    <row r="185">
      <c r="A185" s="109" t="inlineStr">
        <is>
          <t>Battle Fence drain</t>
        </is>
      </c>
      <c r="B185" s="109" t="n">
        <v>4</v>
      </c>
      <c r="C185" s="109" t="inlineStr">
        <is>
          <t>Fence per second, per side: battles only; a leak adds its cost to the side's pending loss, which comes off the Fence at most this fast and is applied in full before any match-end ranking (DECISIONS #267); co-op unchanged</t>
        </is>
      </c>
    </row>
    <row r="186">
      <c r="A186" s="109" t="inlineStr">
        <is>
          <t>Strip (s)</t>
        </is>
      </c>
      <c r="B186" s="109" t="n">
        <v>3</v>
      </c>
      <c r="C186" s="109" t="inlineStr">
        <is>
          <t>s a dino hit by a Strips armour shot stays unarmoured (Blind, Perch, Mortar options; PLAN 9c, #290)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  <c r="T4" s="21" t="inlineStr">
        <is>
          <t>Untouchable</t>
        </is>
      </c>
      <c r="U4" s="21" t="inlineStr">
        <is>
          <t>On track</t>
        </is>
      </c>
      <c r="V4" s="21" t="inlineStr">
        <is>
          <t>Chains</t>
        </is>
      </c>
      <c r="W4" s="81" t="inlineStr">
        <is>
          <t>Birds</t>
        </is>
      </c>
      <c r="X4" s="81" t="inlineStr">
        <is>
          <t>Harpoons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  <row r="15">
      <c r="A15" s="43" t="inlineStr">
        <is>
          <t>Storm Coil</t>
        </is>
      </c>
      <c r="B15" s="43" t="inlineStr">
        <is>
          <t>Chain lightning: crowds and air</t>
        </is>
      </c>
      <c r="C15" s="27" t="n">
        <v>400</v>
      </c>
      <c r="D15" s="91" t="n">
        <v>6</v>
      </c>
      <c r="E15" s="30" t="n">
        <v>1</v>
      </c>
      <c r="F15" s="27" t="n">
        <v>1</v>
      </c>
      <c r="G15" s="92">
        <f>D15*E15*F15</f>
        <v/>
      </c>
      <c r="H15" s="27" t="n">
        <v>14</v>
      </c>
      <c r="I15" s="46" t="inlineStr">
        <is>
          <t>Yes</t>
        </is>
      </c>
      <c r="J15" s="27" t="n">
        <v>0</v>
      </c>
      <c r="K15" s="47" t="inlineStr">
        <is>
          <t>Each strike arcs from dino to dino (falloff per arc, breaks 1). Short own range. TOWERS_NEXT.md.</t>
        </is>
      </c>
      <c r="L15" s="27" t="n">
        <v>0</v>
      </c>
      <c r="M15" s="27" t="n">
        <v>0</v>
      </c>
      <c r="N15" s="27" t="n">
        <v>300</v>
      </c>
      <c r="O15" s="43" t="inlineStr">
        <is>
          <t>COIL</t>
        </is>
      </c>
      <c r="P15" s="27" t="n">
        <v>150</v>
      </c>
      <c r="Q15" s="27" t="n">
        <v>0</v>
      </c>
      <c r="R15" s="27" t="n">
        <v>0</v>
      </c>
      <c r="V15" s="46" t="inlineStr">
        <is>
          <t>Yes</t>
        </is>
      </c>
    </row>
    <row r="16">
      <c r="A16" s="43" t="inlineStr">
        <is>
          <t>Falcon Roost</t>
        </is>
      </c>
      <c r="B16" s="43" t="inlineStr">
        <is>
          <t>Birds of prey: huge range, can't be damaged</t>
        </is>
      </c>
      <c r="C16" s="27" t="n">
        <v>400</v>
      </c>
      <c r="D16" s="91" t="n">
        <v>3</v>
      </c>
      <c r="E16" s="30" t="n">
        <v>1.33</v>
      </c>
      <c r="F16" s="27" t="n">
        <v>1</v>
      </c>
      <c r="G16" s="92">
        <f>D16*E16*F16</f>
        <v/>
      </c>
      <c r="H16" s="27" t="n">
        <v>40</v>
      </c>
      <c r="I16" s="46" t="inlineStr">
        <is>
          <t>Yes</t>
        </is>
      </c>
      <c r="J16" s="27" t="n">
        <v>0</v>
      </c>
      <c r="K16" s="47" t="inlineStr">
        <is>
          <t>Falcons fly out, dive and return. No HP: dinos ignore it, never repaired (DECISIONS #148).</t>
        </is>
      </c>
      <c r="L16" s="27" t="n">
        <v>0</v>
      </c>
      <c r="M16" s="27" t="n">
        <v>0</v>
      </c>
      <c r="N16" s="27" t="n">
        <v>200</v>
      </c>
      <c r="O16" s="43" t="inlineStr">
        <is>
          <t>FALCON</t>
        </is>
      </c>
      <c r="P16" s="27" t="n">
        <v>0</v>
      </c>
      <c r="Q16" s="27" t="n">
        <v>0</v>
      </c>
      <c r="R16" s="27" t="n">
        <v>0</v>
      </c>
      <c r="T16" s="46" t="inlineStr">
        <is>
          <t>Yes</t>
        </is>
      </c>
      <c r="W16" s="81" t="n">
        <v>2</v>
      </c>
    </row>
    <row r="17">
      <c r="A17" s="43" t="inlineStr">
        <is>
          <t>Tar Pit</t>
        </is>
      </c>
      <c r="B17" s="43" t="inlineStr">
        <is>
          <t>Tar on the track: slows and sinks, can't be damaged</t>
        </is>
      </c>
      <c r="C17" s="27" t="n">
        <v>450</v>
      </c>
      <c r="D17" s="91" t="n">
        <v>0</v>
      </c>
      <c r="E17" s="30" t="n">
        <v>0</v>
      </c>
      <c r="F17" s="27" t="n">
        <v>0</v>
      </c>
      <c r="G17" s="92">
        <f>D17*E17*F17</f>
        <v/>
      </c>
      <c r="H17" s="27" t="n">
        <v>12</v>
      </c>
      <c r="I17" s="46" t="inlineStr">
        <is>
          <t>No</t>
        </is>
      </c>
      <c r="J17" s="27" t="n">
        <v>0</v>
      </c>
      <c r="K17" s="47" t="inlineStr">
        <is>
          <t>Placed ON the track (DECISIONS #152); Range = the pool's length of track. No HP (#148).</t>
        </is>
      </c>
      <c r="L17" s="27" t="n">
        <v>0</v>
      </c>
      <c r="M17" s="27" t="n">
        <v>25</v>
      </c>
      <c r="N17" s="27" t="n">
        <v>250</v>
      </c>
      <c r="O17" s="43" t="inlineStr">
        <is>
          <t>TARPIT</t>
        </is>
      </c>
      <c r="P17" s="27" t="n">
        <v>0</v>
      </c>
      <c r="Q17" s="27" t="n">
        <v>0</v>
      </c>
      <c r="R17" s="27" t="n">
        <v>0</v>
      </c>
      <c r="T17" s="46" t="inlineStr">
        <is>
          <t>Yes</t>
        </is>
      </c>
      <c r="U17" s="46" t="inlineStr">
        <is>
          <t>Yes</t>
        </is>
      </c>
    </row>
    <row r="18">
      <c r="A18" s="43" t="inlineStr">
        <is>
          <t>Harpoon Ballista</t>
        </is>
      </c>
      <c r="B18" s="43" t="inlineStr">
        <is>
          <t>The heaviest single hit: pierce-through</t>
        </is>
      </c>
      <c r="C18" s="27" t="n">
        <v>500</v>
      </c>
      <c r="D18" s="91" t="n">
        <v>12</v>
      </c>
      <c r="E18" s="30" t="n">
        <v>0.5</v>
      </c>
      <c r="F18" s="27" t="n">
        <v>1</v>
      </c>
      <c r="G18" s="92">
        <f>D18*E18*F18</f>
        <v/>
      </c>
      <c r="H18" s="27" t="n">
        <v>24</v>
      </c>
      <c r="I18" s="46" t="inlineStr">
        <is>
          <t>Yes</t>
        </is>
      </c>
      <c r="J18" s="27" t="n">
        <v>0</v>
      </c>
      <c r="K18" s="47" t="inlineStr">
        <is>
          <t>One heavy bolt every 2.5 s; its Spearhead path breaks several sizes (pierce-through).</t>
        </is>
      </c>
      <c r="L18" s="27" t="n">
        <v>0</v>
      </c>
      <c r="M18" s="27" t="n">
        <v>0</v>
      </c>
      <c r="N18" s="27" t="n">
        <v>300</v>
      </c>
      <c r="O18" s="43" t="inlineStr">
        <is>
          <t>BALLISTA</t>
        </is>
      </c>
      <c r="P18" s="27" t="n">
        <v>150</v>
      </c>
      <c r="Q18" s="27" t="n">
        <v>0</v>
      </c>
      <c r="R18" s="27" t="n">
        <v>0</v>
      </c>
      <c r="X18" s="81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K20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11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 A/B/C (PLAN Phase 9, DECISIONS #275): tiers 1-3 rows are cumulative; a tier-4 or tier-5 row is one option (Option A/B/C, Blurb = its card line, max 60 chars) and holds ONLY ITS OWN STEP over the tier below (x columns multiply, amounts take the higher, flags add, overrides replace; blank = no change). The exporter composes every build. New options are appended at the bottom.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  <c r="BJ4" s="104" t="inlineStr">
        <is>
          <t>Size breaks</t>
        </is>
      </c>
      <c r="BK4" s="104" t="inlineStr">
        <is>
          <t>Arcs</t>
        </is>
      </c>
      <c r="BL4" s="104" t="inlineStr">
        <is>
          <t>Arc reach</t>
        </is>
      </c>
      <c r="BM4" s="104" t="inlineStr">
        <is>
          <t>Arc forks</t>
        </is>
      </c>
      <c r="BN4" s="104" t="inlineStr">
        <is>
          <t>Arc jumps</t>
        </is>
      </c>
      <c r="BO4" s="104" t="inlineStr">
        <is>
          <t>Power grid</t>
        </is>
      </c>
      <c r="BP4" s="104" t="inlineStr">
        <is>
          <t>Static %</t>
        </is>
      </c>
      <c r="BQ4" s="104" t="inlineStr">
        <is>
          <t>Judgement bolt</t>
        </is>
      </c>
      <c r="BR4" s="104" t="inlineStr">
        <is>
          <t>Grounding every (s)</t>
        </is>
      </c>
      <c r="BS4" s="104" t="inlineStr">
        <is>
          <t>Aura arc %</t>
        </is>
      </c>
      <c r="BT4" s="81" t="inlineStr">
        <is>
          <t>Birds</t>
        </is>
      </c>
      <c r="BU4" s="81" t="inlineStr">
        <is>
          <t>First dive x</t>
        </is>
      </c>
      <c r="BV4" s="81" t="inlineStr">
        <is>
          <t>Eagle</t>
        </is>
      </c>
      <c r="BW4" s="81" t="inlineStr">
        <is>
          <t>Murmuration</t>
        </is>
      </c>
      <c r="BX4" s="81" t="inlineStr">
        <is>
          <t>Boss mark %</t>
        </is>
      </c>
      <c r="BY4" s="81" t="inlineStr">
        <is>
          <t>Dive aura rate %</t>
        </is>
      </c>
      <c r="BZ4" s="81" t="inlineStr">
        <is>
          <t>Skewer</t>
        </is>
      </c>
      <c r="CA4" s="81" t="inlineStr">
        <is>
          <t>Tow line</t>
        </is>
      </c>
      <c r="CB4" s="81" t="inlineStr">
        <is>
          <t>Chain harpoons</t>
        </is>
      </c>
      <c r="CC4" s="81" t="inlineStr">
        <is>
          <t>Sink seconds</t>
        </is>
      </c>
      <c r="CD4" s="81" t="inlineStr">
        <is>
          <t>Sink cash</t>
        </is>
      </c>
      <c r="CE4" s="81" t="inlineStr">
        <is>
          <t>Sink chest cash</t>
        </is>
      </c>
      <c r="CF4" s="81" t="inlineStr">
        <is>
          <t>Eruption</t>
        </is>
      </c>
      <c r="CG4" s="81" t="inlineStr">
        <is>
          <t>Tracks slow %</t>
        </is>
      </c>
      <c r="CH4" s="81" t="inlineStr">
        <is>
          <t>Aura vs slowed %</t>
        </is>
      </c>
      <c r="CI4" s="81" t="inlineStr">
        <is>
          <t>Option</t>
        </is>
      </c>
      <c r="CJ4" s="81" t="inlineStr">
        <is>
          <t>Blurb</t>
        </is>
      </c>
      <c r="CK4" s="109" t="inlineStr">
        <is>
          <t>PvP effect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1.3</v>
      </c>
      <c r="H8" s="57" t="n">
        <v>1.151315789474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1.166666666667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  <c r="CI8" s="81" t="inlineStr">
        <is>
          <t>A</t>
        </is>
      </c>
      <c r="CJ8" s="81" t="inlineStr">
        <is>
          <t>Sees further, and shoots faster and harder</t>
        </is>
      </c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1.297202797203</v>
      </c>
      <c r="H9" s="57" t="n">
        <v>1.148571428571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1.142857142857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CI9" s="81" t="inlineStr">
        <is>
          <t>A</t>
        </is>
      </c>
      <c r="CJ9" s="81" t="inlineStr">
        <is>
          <t>Towers in range hit harder and can hurt armour</t>
        </is>
      </c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1.349593495935</v>
      </c>
      <c r="H13" s="57" t="n">
        <v>1.423076923077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  <c r="CI13" s="81" t="inlineStr">
        <is>
          <t>A</t>
        </is>
      </c>
      <c r="CJ13" s="81" t="inlineStr">
        <is>
          <t>Fires much faster and hits harder</t>
        </is>
      </c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1.349397590361</v>
      </c>
      <c r="H14" s="57" t="n">
        <v>1.41769041769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  <c r="CI14" s="81" t="inlineStr">
        <is>
          <t>A</t>
        </is>
      </c>
      <c r="CJ14" s="81" t="inlineStr">
        <is>
          <t>The fastest fire in the game</t>
        </is>
      </c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1.899416909621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n"/>
      <c r="O18" s="57" t="n">
        <v>1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  <c r="BJ18" s="105" t="n">
        <v>2</v>
      </c>
      <c r="CI18" s="81" t="inlineStr">
        <is>
          <t>A</t>
        </is>
      </c>
      <c r="CJ18" s="81" t="inlineStr">
        <is>
          <t>Each bullet goes through 3 dinos</t>
        </is>
      </c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1.900230237913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n"/>
      <c r="O19" s="57" t="n">
        <v>2</v>
      </c>
      <c r="P19" s="57" t="n">
        <v>4</v>
      </c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BJ19" s="105" t="n"/>
      <c r="CI19" s="81" t="inlineStr">
        <is>
          <t>A</t>
        </is>
      </c>
      <c r="CJ19" s="81" t="inlineStr">
        <is>
          <t>Hits armoured dinos and bosses 4 times as hard</t>
        </is>
      </c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1.449180327869</v>
      </c>
      <c r="H23" s="57" t="n">
        <v>1</v>
      </c>
      <c r="I23" s="57" t="n">
        <v>1.321739130435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n"/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BJ23" s="105" t="n">
        <v>2</v>
      </c>
      <c r="CI23" s="81" t="inlineStr">
        <is>
          <t>A</t>
        </is>
      </c>
      <c r="CJ23" s="81" t="inlineStr">
        <is>
          <t>Shots go through more dinos, shrinking each 2 sizes</t>
        </is>
      </c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2</v>
      </c>
      <c r="H24" s="57" t="n">
        <v>1</v>
      </c>
      <c r="I24" s="57" t="n">
        <v>1.319078947368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n"/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  <c r="BJ24" s="105" t="n">
        <v>3</v>
      </c>
      <c r="CI24" s="81" t="inlineStr">
        <is>
          <t>A</t>
        </is>
      </c>
      <c r="CJ24" s="81" t="inlineStr">
        <is>
          <t>Each shot hits 10 dinos in a line, double damage</t>
        </is>
      </c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1.349593495935</v>
      </c>
      <c r="H28" s="57" t="n">
        <v>1.423076923077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Game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  <c r="CI28" s="81" t="inlineStr">
        <is>
          <t>A</t>
        </is>
      </c>
      <c r="CJ28" s="81" t="inlineStr">
        <is>
          <t>Fires faster, and its mark hits harder</t>
        </is>
      </c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1.349397590361</v>
      </c>
      <c r="H29" s="57" t="n">
        <v>1.41769041769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  <c r="CI29" s="81" t="inlineStr">
        <is>
          <t>A</t>
        </is>
      </c>
      <c r="CJ29" s="81" t="inlineStr">
        <is>
          <t>A bigger mark, and towers in range shoot faster</t>
        </is>
      </c>
    </row>
    <row r="30" ht="13.65" customHeight="1" s="90">
      <c r="A30" s="43" t="inlineStr">
        <is>
          <t>Longshot Perch</t>
        </is>
      </c>
      <c r="B30" s="43" t="inlineStr">
        <is>
          <t>Big Bore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Big Bore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Bone Breaker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  <c r="BJ31" s="105" t="n">
        <v>2</v>
      </c>
    </row>
    <row r="32" ht="13.65" customHeight="1" s="90">
      <c r="A32" s="43" t="inlineStr">
        <is>
          <t>Longshot Perch</t>
        </is>
      </c>
      <c r="B32" s="43" t="inlineStr">
        <is>
          <t>Big Bore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  <c r="BJ32" s="105" t="n">
        <v>2</v>
      </c>
    </row>
    <row r="33" ht="13.65" customHeight="1" s="90">
      <c r="A33" s="43" t="inlineStr">
        <is>
          <t>Longshot Perch</t>
        </is>
      </c>
      <c r="B33" s="43" t="inlineStr">
        <is>
          <t>Big Bore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1.899416909621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Punt Gun</t>
        </is>
      </c>
      <c r="N33" s="57" t="n"/>
      <c r="O33" s="57" t="n"/>
      <c r="P33" s="57" t="n">
        <v>1.666666666667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  <c r="BJ33" s="105" t="n">
        <v>3</v>
      </c>
      <c r="CI33" s="81" t="inlineStr">
        <is>
          <t>A</t>
        </is>
      </c>
      <c r="CJ33" s="81" t="inlineStr">
        <is>
          <t>Huge shots that stun and shrink a dino 3 sizes</t>
        </is>
      </c>
    </row>
    <row r="34" ht="13.65" customHeight="1" s="90">
      <c r="A34" s="43" t="inlineStr">
        <is>
          <t>Longshot Perch</t>
        </is>
      </c>
      <c r="B34" s="43" t="inlineStr">
        <is>
          <t>Big Bore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1.900230237913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2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  <c r="BJ34" s="105" t="n">
        <v>4</v>
      </c>
      <c r="CI34" s="81" t="inlineStr">
        <is>
          <t>A</t>
        </is>
      </c>
      <c r="CJ34" s="81" t="inlineStr">
        <is>
          <t>10 times damage to bosses, and stuns them</t>
        </is>
      </c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1.449180327869</v>
      </c>
      <c r="H38" s="57" t="n">
        <v>1</v>
      </c>
      <c r="I38" s="57" t="n">
        <v>1.321739130435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1.066666666667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  <c r="CI38" s="81" t="inlineStr">
        <is>
          <t>A</t>
        </is>
      </c>
      <c r="CJ38" s="81" t="inlineStr">
        <is>
          <t>Bigger blasts that leave dinos burning</t>
        </is>
      </c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1.450226244344</v>
      </c>
      <c r="H39" s="57" t="n">
        <v>1</v>
      </c>
      <c r="I39" s="57" t="n">
        <v>1.319078947368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1.125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  <c r="CI39" s="81" t="inlineStr">
        <is>
          <t>A</t>
        </is>
      </c>
      <c r="CJ39" s="81" t="inlineStr">
        <is>
          <t>Leaves a long burning stretch of track</t>
        </is>
      </c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1.449180327869</v>
      </c>
      <c r="H43" s="57" t="n">
        <v>1</v>
      </c>
      <c r="I43" s="57" t="n">
        <v>1.321739130435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  <c r="CI43" s="81" t="inlineStr">
        <is>
          <t>A</t>
        </is>
      </c>
      <c r="CJ43" s="81" t="inlineStr">
        <is>
          <t>More bomblets and harder blasts</t>
        </is>
      </c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1.450226244344</v>
      </c>
      <c r="H44" s="57" t="n">
        <v>1</v>
      </c>
      <c r="I44" s="57" t="n">
        <v>1.319078947368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  <c r="CI44" s="81" t="inlineStr">
        <is>
          <t>A</t>
        </is>
      </c>
      <c r="CJ44" s="81" t="inlineStr">
        <is>
          <t>Even more bomblets rain down</t>
        </is>
      </c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1.899416909621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n"/>
      <c r="O48" s="57" t="n">
        <v>1</v>
      </c>
      <c r="P48" s="57" t="n"/>
      <c r="Q48" s="57" t="n"/>
      <c r="R48" s="57" t="n"/>
      <c r="S48" s="57" t="n"/>
      <c r="T48" s="57" t="n"/>
      <c r="U48" s="57" t="n"/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  <c r="CI48" s="81" t="inlineStr">
        <is>
          <t>A</t>
        </is>
      </c>
      <c r="CJ48" s="81" t="inlineStr">
        <is>
          <t>Hits much harder and knocks dinos further back</t>
        </is>
      </c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2.609363008442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n"/>
      <c r="O49" s="57" t="n">
        <v>1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/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  <c r="CI49" s="81" t="inlineStr">
        <is>
          <t>A</t>
        </is>
      </c>
      <c r="CJ49" s="81" t="inlineStr">
        <is>
          <t>Stuns every dino it hits for a second</t>
        </is>
      </c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1.3</v>
      </c>
      <c r="H53" s="57" t="n">
        <v>1.151315789474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1.166666666667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/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  <c r="CI53" s="81" t="inlineStr">
        <is>
          <t>A</t>
        </is>
      </c>
      <c r="CJ53" s="81" t="inlineStr">
        <is>
          <t>A much stronger slow over a wider area</t>
        </is>
      </c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1.297202797203</v>
      </c>
      <c r="H54" s="57" t="n">
        <v>1.148571428571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1.142857142857</v>
      </c>
      <c r="M54" s="43" t="inlineStr">
        <is>
          <t>Deep Sleep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  <c r="CI54" s="81" t="inlineStr">
        <is>
          <t>A</t>
        </is>
      </c>
      <c r="CJ54" s="81" t="inlineStr">
        <is>
          <t>Its slow works on bosses too</t>
        </is>
      </c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1.349593495935</v>
      </c>
      <c r="H58" s="57" t="n">
        <v>1.423076923077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/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  <c r="CI58" s="81" t="inlineStr">
        <is>
          <t>A</t>
        </is>
      </c>
      <c r="CJ58" s="81" t="inlineStr">
        <is>
          <t>Knockouts come sooner and hurt more</t>
        </is>
      </c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1.349397590361</v>
      </c>
      <c r="H59" s="57" t="n">
        <v>1.41769041769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  <c r="CI59" s="81" t="inlineStr">
        <is>
          <t>A</t>
        </is>
      </c>
      <c r="CJ59" s="81" t="inlineStr">
        <is>
          <t>A long knockout that even holds bosses</t>
        </is>
      </c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1.899416909621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n"/>
      <c r="AN63" s="57" t="n"/>
      <c r="AO63" s="57" t="n"/>
      <c r="AP63" s="57" t="n"/>
      <c r="AQ63" s="57" t="n"/>
      <c r="AR63" s="57" t="n"/>
      <c r="AS63" s="57" t="n"/>
      <c r="AT63" s="57" t="n"/>
      <c r="CI63" s="81" t="inlineStr">
        <is>
          <t>A</t>
        </is>
      </c>
      <c r="CJ63" s="81" t="inlineStr">
        <is>
          <t>Sedated dinos take even more damage</t>
        </is>
      </c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1.900230237913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n"/>
      <c r="AN64" s="57" t="n"/>
      <c r="AO64" s="57" t="n"/>
      <c r="AP64" s="57" t="n"/>
      <c r="AQ64" s="57" t="n"/>
      <c r="AR64" s="57" t="n"/>
      <c r="AS64" s="57" t="n"/>
      <c r="AT64" s="57" t="n"/>
      <c r="CI64" s="81" t="inlineStr">
        <is>
          <t>A</t>
        </is>
      </c>
      <c r="CJ64" s="81" t="inlineStr">
        <is>
          <t>Dinos take much more damage; towers in range hit harder</t>
        </is>
      </c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1.681818181818</v>
      </c>
      <c r="AO68" s="57" t="n"/>
      <c r="AP68" s="57" t="n"/>
      <c r="AQ68" s="57" t="n"/>
      <c r="AR68" s="57" t="n"/>
      <c r="AS68" s="57" t="n"/>
      <c r="AT68" s="57" t="n"/>
      <c r="CI68" s="81" t="inlineStr">
        <is>
          <t>A</t>
        </is>
      </c>
      <c r="CJ68" s="81" t="inlineStr">
        <is>
          <t>Pays a lot more cash every round</t>
        </is>
      </c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1.612612612613</v>
      </c>
      <c r="AO69" s="57" t="n">
        <v>5</v>
      </c>
      <c r="AP69" s="57" t="n">
        <v>500</v>
      </c>
      <c r="AQ69" s="57" t="n"/>
      <c r="AR69" s="57" t="n"/>
      <c r="AS69" s="57" t="n"/>
      <c r="AT69" s="57" t="n"/>
      <c r="CI69" s="81" t="inlineStr">
        <is>
          <t>A</t>
        </is>
      </c>
      <c r="CJ69" s="81" t="inlineStr">
        <is>
          <t>Earns interest on your banked cash</t>
        </is>
      </c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Chopper Drop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  <c r="CI73" s="81" t="inlineStr">
        <is>
          <t>A</t>
        </is>
      </c>
      <c r="CJ73" s="81" t="inlineStr">
        <is>
          <t>More chests land each round, worth more</t>
        </is>
      </c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  <c r="CI74" s="81" t="inlineStr">
        <is>
          <t>A</t>
        </is>
      </c>
      <c r="CJ74" s="81" t="inlineStr">
        <is>
          <t>The richest chests, and more of them</t>
        </is>
      </c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Camp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/>
      <c r="AT78" s="57" t="n"/>
      <c r="CI78" s="81" t="inlineStr">
        <is>
          <t>A</t>
        </is>
      </c>
      <c r="CJ78" s="81" t="inlineStr">
        <is>
          <t>Towers in range shoot faster</t>
        </is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Base Camp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/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  <c r="CI79" s="81" t="inlineStr">
        <is>
          <t>A</t>
        </is>
      </c>
      <c r="CJ79" s="81" t="inlineStr">
        <is>
          <t>Towers in range cost less and sell for full price</t>
        </is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  <c r="CI83" s="81" t="inlineStr">
        <is>
          <t>A</t>
        </is>
      </c>
      <c r="CJ83" s="81" t="inlineStr">
        <is>
          <t>Tougher armour, and biters take more damage back</t>
        </is>
      </c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/>
      <c r="AW84" s="57" t="n">
        <v>0.5</v>
      </c>
      <c r="AX84" s="57" t="n"/>
      <c r="AY84" s="57" t="n"/>
      <c r="AZ84" s="57" t="n"/>
      <c r="BA84" s="57" t="n"/>
      <c r="CI84" s="81" t="inlineStr">
        <is>
          <t>A</t>
        </is>
      </c>
      <c r="CJ84" s="81" t="inlineStr">
        <is>
          <t>The best armour; biting dinos get stunned (not bosses)</t>
        </is>
      </c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n"/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  <c r="CI88" s="81" t="inlineStr">
        <is>
          <t>A</t>
        </is>
      </c>
      <c r="CJ88" s="81" t="inlineStr">
        <is>
          <t>Towers in range hit harder and shoot faster</t>
        </is>
      </c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n"/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  <c r="CI89" s="81" t="inlineStr">
        <is>
          <t>A</t>
        </is>
      </c>
      <c r="CJ89" s="81" t="inlineStr">
        <is>
          <t>Towers in range hit much harder and faster</t>
        </is>
      </c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1</v>
      </c>
      <c r="AY93" s="57" t="n">
        <v>1</v>
      </c>
      <c r="AZ93" s="57" t="n">
        <v>0.7</v>
      </c>
      <c r="BA93" s="57" t="n"/>
      <c r="CI93" s="81" t="inlineStr">
        <is>
          <t>A</t>
        </is>
      </c>
      <c r="CJ93" s="81" t="inlineStr">
        <is>
          <t>Hunters in range shoot straighter</t>
        </is>
      </c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1.153846153846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1</v>
      </c>
      <c r="AY94" s="57" t="n">
        <v>1</v>
      </c>
      <c r="AZ94" s="57" t="n">
        <v>1</v>
      </c>
      <c r="BA94" s="57" t="n">
        <v>20</v>
      </c>
      <c r="CI94" s="81" t="inlineStr">
        <is>
          <t>A</t>
        </is>
      </c>
      <c r="CJ94" s="81" t="inlineStr">
        <is>
          <t>Wider reach, and hunters in range fire faster</t>
        </is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1.2</v>
      </c>
      <c r="BC98" s="57" t="n"/>
      <c r="BD98" s="57" t="n"/>
      <c r="BE98" s="57" t="n"/>
      <c r="BF98" s="57" t="n"/>
      <c r="BG98" s="57" t="n"/>
      <c r="BH98" s="57" t="n"/>
      <c r="BI98" s="57" t="n"/>
      <c r="CI98" s="81" t="inlineStr">
        <is>
          <t>A</t>
        </is>
      </c>
      <c r="CJ98" s="81" t="inlineStr">
        <is>
          <t>Heals towers and hunters even faster</t>
        </is>
      </c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1.5</v>
      </c>
      <c r="BC99" s="57" t="n"/>
      <c r="BD99" s="57" t="n">
        <v>1</v>
      </c>
      <c r="BE99" s="57" t="n"/>
      <c r="BF99" s="57" t="n"/>
      <c r="BG99" s="57" t="n"/>
      <c r="BH99" s="57" t="n"/>
      <c r="BI99" s="57" t="n"/>
      <c r="CI99" s="81" t="inlineStr">
        <is>
          <t>A</t>
        </is>
      </c>
      <c r="CJ99" s="81" t="inlineStr">
        <is>
          <t>The fastest heals; trampled towers revive at full speed</t>
        </is>
      </c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  <c r="CI103" s="81" t="inlineStr">
        <is>
          <t>A</t>
        </is>
      </c>
      <c r="CJ103" s="81" t="inlineStr">
        <is>
          <t>Three med kits a round, and each heals more</t>
        </is>
      </c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1.285714285714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/>
      <c r="BF104" s="57" t="n">
        <v>50</v>
      </c>
      <c r="BG104" s="57" t="n">
        <v>0.5</v>
      </c>
      <c r="BH104" s="57" t="n"/>
      <c r="BI104" s="57" t="n"/>
      <c r="CI104" s="81" t="inlineStr">
        <is>
          <t>A</t>
        </is>
      </c>
      <c r="CJ104" s="81" t="inlineStr">
        <is>
          <t>Bigger kits and reach; downed hunters return sooner</t>
        </is>
      </c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/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  <c r="CI108" s="81" t="inlineStr">
        <is>
          <t>A</t>
        </is>
      </c>
      <c r="CJ108" s="81" t="inlineStr">
        <is>
          <t>Towers in range get much more health</t>
        </is>
      </c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/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  <c r="CI109" s="81" t="inlineStr">
        <is>
          <t>A</t>
        </is>
      </c>
      <c r="CJ109" s="81" t="inlineStr">
        <is>
          <t>More health; once a round, saves a tower from trampling</t>
        </is>
      </c>
    </row>
    <row r="110">
      <c r="A110" s="43" t="inlineStr">
        <is>
          <t>Storm Coil</t>
        </is>
      </c>
      <c r="B110" s="43" t="inlineStr">
        <is>
          <t>Arc</t>
        </is>
      </c>
      <c r="C110" s="43" t="inlineStr">
        <is>
          <t>more arcs, reach</t>
        </is>
      </c>
      <c r="D110" s="56" t="n">
        <v>1</v>
      </c>
      <c r="E110" s="56">
        <f>ROUND('Towers'!$C$15*POWER('Tuning'!$B$12,D110),0)</f>
        <v/>
      </c>
      <c r="F110" s="56">
        <f>'Towers'!$C$15+E110</f>
        <v/>
      </c>
      <c r="G110" s="57" t="n">
        <v>1.45</v>
      </c>
      <c r="H110" s="57" t="n">
        <v>1</v>
      </c>
      <c r="I110" s="57" t="n">
        <v>1</v>
      </c>
      <c r="J110" s="92">
        <f>'Towers'!$G$15*G110*H110*I110</f>
        <v/>
      </c>
      <c r="K110" s="92">
        <f>IF(J110=0,0,F110/J110)</f>
        <v/>
      </c>
      <c r="L110" s="57" t="n">
        <v>1</v>
      </c>
      <c r="M110" s="43" t="inlineStr">
        <is>
          <t>Copper Wire</t>
        </is>
      </c>
      <c r="BK110" s="81" t="n">
        <v>6</v>
      </c>
    </row>
    <row r="111">
      <c r="A111" s="43" t="inlineStr">
        <is>
          <t>Storm Coil</t>
        </is>
      </c>
      <c r="B111" s="43" t="inlineStr">
        <is>
          <t>Arc</t>
        </is>
      </c>
      <c r="C111" s="43" t="inlineStr">
        <is>
          <t>more arcs, reach</t>
        </is>
      </c>
      <c r="D111" s="56" t="n">
        <v>2</v>
      </c>
      <c r="E111" s="56">
        <f>ROUND('Towers'!$C$15*POWER('Tuning'!$B$12,D111),0)</f>
        <v/>
      </c>
      <c r="F111" s="56">
        <f>F110+E111</f>
        <v/>
      </c>
      <c r="G111" s="57" t="n">
        <v>2.1</v>
      </c>
      <c r="H111" s="57" t="n">
        <v>1</v>
      </c>
      <c r="I111" s="57" t="n">
        <v>1</v>
      </c>
      <c r="J111" s="92">
        <f>'Towers'!$G$15*G111*H111*I111</f>
        <v/>
      </c>
      <c r="K111" s="92">
        <f>IF(J111=0,0,F111/J111)</f>
        <v/>
      </c>
      <c r="L111" s="57" t="n">
        <v>1</v>
      </c>
      <c r="M111" s="43" t="inlineStr">
        <is>
          <t>Long Arc</t>
        </is>
      </c>
      <c r="BK111" s="81" t="n">
        <v>6</v>
      </c>
      <c r="BL111" s="81" t="n">
        <v>15</v>
      </c>
    </row>
    <row r="112">
      <c r="A112" s="43" t="inlineStr">
        <is>
          <t>Storm Coil</t>
        </is>
      </c>
      <c r="B112" s="43" t="inlineStr">
        <is>
          <t>Arc</t>
        </is>
      </c>
      <c r="C112" s="43" t="inlineStr">
        <is>
          <t>more arcs, reach</t>
        </is>
      </c>
      <c r="D112" s="56" t="n">
        <v>3</v>
      </c>
      <c r="E112" s="56">
        <f>ROUND('Towers'!$C$15*POWER('Tuning'!$B$12,D112),0)</f>
        <v/>
      </c>
      <c r="F112" s="56">
        <f>F111+E112</f>
        <v/>
      </c>
      <c r="G112" s="57" t="n">
        <v>3.05</v>
      </c>
      <c r="H112" s="57" t="n">
        <v>1</v>
      </c>
      <c r="I112" s="57" t="n">
        <v>1</v>
      </c>
      <c r="J112" s="92">
        <f>'Towers'!$G$15*G112*H112*I112</f>
        <v/>
      </c>
      <c r="K112" s="92">
        <f>IF(J112=0,0,F112/J112)</f>
        <v/>
      </c>
      <c r="L112" s="57" t="n">
        <v>1</v>
      </c>
      <c r="M112" s="43" t="inlineStr">
        <is>
          <t>Fork Lightning</t>
        </is>
      </c>
      <c r="BK112" s="81" t="n">
        <v>6</v>
      </c>
      <c r="BL112" s="81" t="n">
        <v>15</v>
      </c>
      <c r="BM112" s="81" t="n">
        <v>2</v>
      </c>
    </row>
    <row r="113">
      <c r="A113" s="43" t="inlineStr">
        <is>
          <t>Storm Coil</t>
        </is>
      </c>
      <c r="B113" s="43" t="inlineStr">
        <is>
          <t>Arc</t>
        </is>
      </c>
      <c r="C113" s="43" t="inlineStr">
        <is>
          <t>more arcs, reach</t>
        </is>
      </c>
      <c r="D113" s="56" t="n">
        <v>4</v>
      </c>
      <c r="E113" s="56">
        <f>ROUND('Towers'!$C$15*POWER('Tuning'!$B$12,D113),0)</f>
        <v/>
      </c>
      <c r="F113" s="56">
        <f>F112+E113</f>
        <v/>
      </c>
      <c r="G113" s="57" t="n">
        <v>1.449180327869</v>
      </c>
      <c r="H113" s="57" t="n">
        <v>1</v>
      </c>
      <c r="I113" s="57" t="n">
        <v>1</v>
      </c>
      <c r="J113" s="92">
        <f>J112*G113*H113*I113</f>
        <v/>
      </c>
      <c r="K113" s="92">
        <f>IF(J113=0,0,F113/J113)</f>
        <v/>
      </c>
      <c r="L113" s="57" t="n">
        <v>1</v>
      </c>
      <c r="M113" s="43" t="inlineStr">
        <is>
          <t>Jump Spark</t>
        </is>
      </c>
      <c r="BK113" s="81" t="n"/>
      <c r="BL113" s="81" t="n"/>
      <c r="BM113" s="81" t="n"/>
      <c r="BN113" s="46" t="inlineStr">
        <is>
          <t>Yes</t>
        </is>
      </c>
      <c r="CI113" s="81" t="inlineStr">
        <is>
          <t>A</t>
        </is>
      </c>
      <c r="CJ113" s="81" t="inlineStr">
        <is>
          <t>Arcs can jump from one coil's range to another's</t>
        </is>
      </c>
    </row>
    <row r="114">
      <c r="A114" s="43" t="inlineStr">
        <is>
          <t>Storm Coil</t>
        </is>
      </c>
      <c r="B114" s="43" t="inlineStr">
        <is>
          <t>Arc</t>
        </is>
      </c>
      <c r="C114" s="43" t="inlineStr">
        <is>
          <t>more arcs, reach</t>
        </is>
      </c>
      <c r="D114" s="56" t="n">
        <v>5</v>
      </c>
      <c r="E114" s="56">
        <f>ROUND('Towers'!$C$15*POWER('Tuning'!$B$12,D114),0)</f>
        <v/>
      </c>
      <c r="F114" s="56">
        <f>F113+E114</f>
        <v/>
      </c>
      <c r="G114" s="57" t="n">
        <v>1.450226244344</v>
      </c>
      <c r="H114" s="57" t="n">
        <v>1</v>
      </c>
      <c r="I114" s="57" t="n">
        <v>1</v>
      </c>
      <c r="J114" s="92">
        <f>J113*G114*H114*I114</f>
        <v/>
      </c>
      <c r="K114" s="92">
        <f>IF(J114=0,0,F114/J114)</f>
        <v/>
      </c>
      <c r="L114" s="57" t="n">
        <v>1</v>
      </c>
      <c r="M114" s="43" t="inlineStr">
        <is>
          <t>Power Grid</t>
        </is>
      </c>
      <c r="BK114" s="81" t="n"/>
      <c r="BL114" s="81" t="n"/>
      <c r="BM114" s="81" t="n"/>
      <c r="BN114" s="46" t="n"/>
      <c r="BO114" s="46" t="inlineStr">
        <is>
          <t>Yes</t>
        </is>
      </c>
      <c r="CI114" s="81" t="inlineStr">
        <is>
          <t>A</t>
        </is>
      </c>
      <c r="CJ114" s="81" t="inlineStr">
        <is>
          <t>Strikes every dino near every coil; more coils, more power</t>
        </is>
      </c>
    </row>
    <row r="115">
      <c r="A115" s="43" t="inlineStr">
        <is>
          <t>Storm Coil</t>
        </is>
      </c>
      <c r="B115" s="43" t="inlineStr">
        <is>
          <t>Charge</t>
        </is>
      </c>
      <c r="C115" s="43" t="inlineStr">
        <is>
          <t>power, armour, stun</t>
        </is>
      </c>
      <c r="D115" s="56" t="n">
        <v>1</v>
      </c>
      <c r="E115" s="56">
        <f>ROUND('Towers'!$C$15*POWER('Tuning'!$B$12,D115),0)</f>
        <v/>
      </c>
      <c r="F115" s="56">
        <f>'Towers'!$C$15+E115</f>
        <v/>
      </c>
      <c r="G115" s="57" t="n">
        <v>1.3</v>
      </c>
      <c r="H115" s="57" t="n">
        <v>1</v>
      </c>
      <c r="I115" s="57" t="n">
        <v>1</v>
      </c>
      <c r="J115" s="92">
        <f>'Towers'!$G$15*G115*H115*I115</f>
        <v/>
      </c>
      <c r="K115" s="92">
        <f>IF(J115=0,0,F115/J115)</f>
        <v/>
      </c>
      <c r="L115" s="57" t="n">
        <v>1</v>
      </c>
      <c r="M115" s="43" t="inlineStr">
        <is>
          <t>Battery Pack</t>
        </is>
      </c>
    </row>
    <row r="116">
      <c r="A116" s="43" t="inlineStr">
        <is>
          <t>Storm Coil</t>
        </is>
      </c>
      <c r="B116" s="43" t="inlineStr">
        <is>
          <t>Charge</t>
        </is>
      </c>
      <c r="C116" s="43" t="inlineStr">
        <is>
          <t>power, armour, stun</t>
        </is>
      </c>
      <c r="D116" s="56" t="n">
        <v>2</v>
      </c>
      <c r="E116" s="56">
        <f>ROUND('Towers'!$C$15*POWER('Tuning'!$B$12,D116),0)</f>
        <v/>
      </c>
      <c r="F116" s="56">
        <f>F115+E116</f>
        <v/>
      </c>
      <c r="G116" s="57" t="n">
        <v>2.47</v>
      </c>
      <c r="H116" s="57" t="n">
        <v>1</v>
      </c>
      <c r="I116" s="57" t="n">
        <v>1</v>
      </c>
      <c r="J116" s="92">
        <f>'Towers'!$G$15*G116*H116*I116</f>
        <v/>
      </c>
      <c r="K116" s="92">
        <f>IF(J116=0,0,F116/J116)</f>
        <v/>
      </c>
      <c r="L116" s="57" t="n">
        <v>1</v>
      </c>
      <c r="M116" s="43" t="inlineStr">
        <is>
          <t>Static Shock</t>
        </is>
      </c>
      <c r="BP116" s="81" t="n">
        <v>10</v>
      </c>
    </row>
    <row r="117">
      <c r="A117" s="43" t="inlineStr">
        <is>
          <t>Storm Coil</t>
        </is>
      </c>
      <c r="B117" s="43" t="inlineStr">
        <is>
          <t>Charge</t>
        </is>
      </c>
      <c r="C117" s="43" t="inlineStr">
        <is>
          <t>power, armour, stun</t>
        </is>
      </c>
      <c r="D117" s="56" t="n">
        <v>3</v>
      </c>
      <c r="E117" s="56">
        <f>ROUND('Towers'!$C$15*POWER('Tuning'!$B$12,D117),0)</f>
        <v/>
      </c>
      <c r="F117" s="56">
        <f>F116+E117</f>
        <v/>
      </c>
      <c r="G117" s="57" t="n">
        <v>4.7</v>
      </c>
      <c r="H117" s="57" t="n">
        <v>1</v>
      </c>
      <c r="I117" s="57" t="n">
        <v>1</v>
      </c>
      <c r="J117" s="92">
        <f>'Towers'!$G$15*G117*H117*I117</f>
        <v/>
      </c>
      <c r="K117" s="92">
        <f>IF(J117=0,0,F117/J117)</f>
        <v/>
      </c>
      <c r="L117" s="57" t="n">
        <v>1</v>
      </c>
      <c r="M117" s="43" t="inlineStr">
        <is>
          <t>Thunderclap</t>
        </is>
      </c>
      <c r="U117" s="57" t="n">
        <v>0.4</v>
      </c>
      <c r="BP117" s="81" t="n">
        <v>10</v>
      </c>
    </row>
    <row r="118">
      <c r="A118" s="43" t="inlineStr">
        <is>
          <t>Storm Coil</t>
        </is>
      </c>
      <c r="B118" s="43" t="inlineStr">
        <is>
          <t>Charge</t>
        </is>
      </c>
      <c r="C118" s="43" t="inlineStr">
        <is>
          <t>power, armour, stun</t>
        </is>
      </c>
      <c r="D118" s="56" t="n">
        <v>4</v>
      </c>
      <c r="E118" s="56">
        <f>ROUND('Towers'!$C$15*POWER('Tuning'!$B$12,D118),0)</f>
        <v/>
      </c>
      <c r="F118" s="56">
        <f>F117+E118</f>
        <v/>
      </c>
      <c r="G118" s="57" t="n">
        <v>1.4</v>
      </c>
      <c r="H118" s="57" t="n">
        <v>1</v>
      </c>
      <c r="I118" s="57" t="n">
        <v>1</v>
      </c>
      <c r="J118" s="92">
        <f>J117*G118*H118*I118</f>
        <v/>
      </c>
      <c r="K118" s="92">
        <f>IF(J118=0,0,F118/J118)</f>
        <v/>
      </c>
      <c r="L118" s="57" t="n">
        <v>1</v>
      </c>
      <c r="M118" s="43" t="inlineStr">
        <is>
          <t>High Voltage</t>
        </is>
      </c>
      <c r="N118" s="46" t="inlineStr">
        <is>
          <t>Yes</t>
        </is>
      </c>
      <c r="U118" s="57" t="n"/>
      <c r="BP118" s="81" t="n"/>
      <c r="CI118" s="81" t="inlineStr">
        <is>
          <t>A</t>
        </is>
      </c>
      <c r="CJ118" s="81" t="inlineStr">
        <is>
          <t>Hurts armoured dinos, and hits harder</t>
        </is>
      </c>
    </row>
    <row r="119">
      <c r="A119" s="43" t="inlineStr">
        <is>
          <t>Storm Coil</t>
        </is>
      </c>
      <c r="B119" s="43" t="inlineStr">
        <is>
          <t>Charge</t>
        </is>
      </c>
      <c r="C119" s="43" t="inlineStr">
        <is>
          <t>power, armour, stun</t>
        </is>
      </c>
      <c r="D119" s="56" t="n">
        <v>5</v>
      </c>
      <c r="E119" s="56">
        <f>ROUND('Towers'!$C$15*POWER('Tuning'!$B$12,D119),0)</f>
        <v/>
      </c>
      <c r="F119" s="56">
        <f>F118+E119</f>
        <v/>
      </c>
      <c r="G119" s="57" t="n">
        <v>1.899696048632</v>
      </c>
      <c r="H119" s="57" t="n">
        <v>1</v>
      </c>
      <c r="I119" s="57" t="n">
        <v>1</v>
      </c>
      <c r="J119" s="92">
        <f>J118*G119*H119*I119</f>
        <v/>
      </c>
      <c r="K119" s="92">
        <f>IF(J119=0,0,F119/J119)</f>
        <v/>
      </c>
      <c r="L119" s="57" t="n">
        <v>1</v>
      </c>
      <c r="M119" s="43" t="inlineStr">
        <is>
          <t>Judgement Bolt</t>
        </is>
      </c>
      <c r="N119" s="46" t="n"/>
      <c r="U119" s="57" t="n"/>
      <c r="BP119" s="81" t="n"/>
      <c r="BQ119" s="46" t="inlineStr">
        <is>
          <t>Yes</t>
        </is>
      </c>
      <c r="CI119" s="81" t="inlineStr">
        <is>
          <t>A</t>
        </is>
      </c>
      <c r="CJ119" s="81" t="inlineStr">
        <is>
          <t>A huge bolt shrinks the biggest dino 3 sizes</t>
        </is>
      </c>
    </row>
    <row r="120">
      <c r="A120" s="43" t="inlineStr">
        <is>
          <t>Storm Coil</t>
        </is>
      </c>
      <c r="B120" s="43" t="inlineStr">
        <is>
          <t>Lightning Rod</t>
        </is>
      </c>
      <c r="C120" s="43" t="inlineStr">
        <is>
          <t>support, defence</t>
        </is>
      </c>
      <c r="D120" s="56" t="n">
        <v>1</v>
      </c>
      <c r="E120" s="56">
        <f>ROUND('Towers'!$C$15*POWER('Tuning'!$B$12,D120),0)</f>
        <v/>
      </c>
      <c r="F120" s="56">
        <f>'Towers'!$C$15+E120</f>
        <v/>
      </c>
      <c r="G120" s="57" t="n">
        <v>1.3</v>
      </c>
      <c r="H120" s="57" t="n">
        <v>1</v>
      </c>
      <c r="I120" s="57" t="n">
        <v>1</v>
      </c>
      <c r="J120" s="92">
        <f>'Towers'!$G$15*G120*H120*I120</f>
        <v/>
      </c>
      <c r="K120" s="92">
        <f>IF(J120=0,0,F120/J120)</f>
        <v/>
      </c>
      <c r="L120" s="57" t="n">
        <v>1.2</v>
      </c>
      <c r="M120" s="43" t="inlineStr">
        <is>
          <t>Tall Mast</t>
        </is>
      </c>
    </row>
    <row r="121">
      <c r="A121" s="43" t="inlineStr">
        <is>
          <t>Storm Coil</t>
        </is>
      </c>
      <c r="B121" s="43" t="inlineStr">
        <is>
          <t>Lightning Rod</t>
        </is>
      </c>
      <c r="C121" s="43" t="inlineStr">
        <is>
          <t>support, defence</t>
        </is>
      </c>
      <c r="D121" s="56" t="n">
        <v>2</v>
      </c>
      <c r="E121" s="56">
        <f>ROUND('Towers'!$C$15*POWER('Tuning'!$B$12,D121),0)</f>
        <v/>
      </c>
      <c r="F121" s="56">
        <f>F120+E121</f>
        <v/>
      </c>
      <c r="G121" s="57" t="n">
        <v>1.69</v>
      </c>
      <c r="H121" s="57" t="n">
        <v>1</v>
      </c>
      <c r="I121" s="57" t="n">
        <v>1</v>
      </c>
      <c r="J121" s="92">
        <f>'Towers'!$G$15*G121*H121*I121</f>
        <v/>
      </c>
      <c r="K121" s="92">
        <f>IF(J121=0,0,F121/J121)</f>
        <v/>
      </c>
      <c r="L121" s="57" t="n">
        <v>1.2</v>
      </c>
      <c r="M121" s="43" t="inlineStr">
        <is>
          <t>Charged Air</t>
        </is>
      </c>
      <c r="AB121" s="57" t="n">
        <v>10</v>
      </c>
    </row>
    <row r="122">
      <c r="A122" s="43" t="inlineStr">
        <is>
          <t>Storm Coil</t>
        </is>
      </c>
      <c r="B122" s="43" t="inlineStr">
        <is>
          <t>Lightning Rod</t>
        </is>
      </c>
      <c r="C122" s="43" t="inlineStr">
        <is>
          <t>support, defence</t>
        </is>
      </c>
      <c r="D122" s="56" t="n">
        <v>3</v>
      </c>
      <c r="E122" s="56">
        <f>ROUND('Towers'!$C$15*POWER('Tuning'!$B$12,D122),0)</f>
        <v/>
      </c>
      <c r="F122" s="56">
        <f>F121+E122</f>
        <v/>
      </c>
      <c r="G122" s="57" t="n">
        <v>2.2</v>
      </c>
      <c r="H122" s="57" t="n">
        <v>1</v>
      </c>
      <c r="I122" s="57" t="n">
        <v>1</v>
      </c>
      <c r="J122" s="92">
        <f>'Towers'!$G$15*G122*H122*I122</f>
        <v/>
      </c>
      <c r="K122" s="92">
        <f>IF(J122=0,0,F122/J122)</f>
        <v/>
      </c>
      <c r="L122" s="57" t="n">
        <v>1.2</v>
      </c>
      <c r="M122" s="43" t="inlineStr">
        <is>
          <t>Grounding Spike</t>
        </is>
      </c>
      <c r="AB122" s="57" t="n">
        <v>10</v>
      </c>
      <c r="BR122" s="81" t="n">
        <v>4</v>
      </c>
    </row>
    <row r="123">
      <c r="A123" s="43" t="inlineStr">
        <is>
          <t>Storm Coil</t>
        </is>
      </c>
      <c r="B123" s="43" t="inlineStr">
        <is>
          <t>Lightning Rod</t>
        </is>
      </c>
      <c r="C123" s="43" t="inlineStr">
        <is>
          <t>support, defence</t>
        </is>
      </c>
      <c r="D123" s="56" t="n">
        <v>4</v>
      </c>
      <c r="E123" s="56">
        <f>ROUND('Towers'!$C$15*POWER('Tuning'!$B$12,D123),0)</f>
        <v/>
      </c>
      <c r="F123" s="56">
        <f>F122+E123</f>
        <v/>
      </c>
      <c r="G123" s="57" t="n">
        <v>1.3</v>
      </c>
      <c r="H123" s="57" t="n">
        <v>1</v>
      </c>
      <c r="I123" s="57" t="n">
        <v>1</v>
      </c>
      <c r="J123" s="92">
        <f>J122*G123*H123*I123</f>
        <v/>
      </c>
      <c r="K123" s="92">
        <f>IF(J123=0,0,F123/J123)</f>
        <v/>
      </c>
      <c r="L123" s="57" t="n">
        <v>1</v>
      </c>
      <c r="M123" s="43" t="inlineStr">
        <is>
          <t>Storm Warning</t>
        </is>
      </c>
      <c r="AB123" s="57" t="n"/>
      <c r="AC123" s="57" t="n">
        <v>15</v>
      </c>
      <c r="BR123" s="81" t="n"/>
      <c r="CI123" s="81" t="inlineStr">
        <is>
          <t>A</t>
        </is>
      </c>
      <c r="CJ123" s="81" t="inlineStr">
        <is>
          <t>Towers in range hit harder</t>
        </is>
      </c>
    </row>
    <row r="124">
      <c r="A124" s="43" t="inlineStr">
        <is>
          <t>Storm Coil</t>
        </is>
      </c>
      <c r="B124" s="43" t="inlineStr">
        <is>
          <t>Lightning Rod</t>
        </is>
      </c>
      <c r="C124" s="43" t="inlineStr">
        <is>
          <t>support, defence</t>
        </is>
      </c>
      <c r="D124" s="56" t="n">
        <v>5</v>
      </c>
      <c r="E124" s="56">
        <f>ROUND('Towers'!$C$15*POWER('Tuning'!$B$12,D124),0)</f>
        <v/>
      </c>
      <c r="F124" s="56">
        <f>F123+E124</f>
        <v/>
      </c>
      <c r="G124" s="57" t="n">
        <v>1.297202797203</v>
      </c>
      <c r="H124" s="57" t="n">
        <v>1</v>
      </c>
      <c r="I124" s="57" t="n">
        <v>1</v>
      </c>
      <c r="J124" s="92">
        <f>J123*G124*H124*I124</f>
        <v/>
      </c>
      <c r="K124" s="92">
        <f>IF(J124=0,0,F124/J124)</f>
        <v/>
      </c>
      <c r="L124" s="57" t="n">
        <v>1</v>
      </c>
      <c r="M124" s="43" t="inlineStr">
        <is>
          <t>Lightning Rodeo</t>
        </is>
      </c>
      <c r="AB124" s="57" t="n"/>
      <c r="AC124" s="57" t="n"/>
      <c r="BR124" s="81" t="n"/>
      <c r="BS124" s="81" t="n">
        <v>50</v>
      </c>
      <c r="CI124" s="81" t="inlineStr">
        <is>
          <t>A</t>
        </is>
      </c>
      <c r="CJ124" s="81" t="inlineStr">
        <is>
          <t>Towers in range chain their shots to one more dino</t>
        </is>
      </c>
    </row>
    <row r="125">
      <c r="A125" s="43" t="inlineStr">
        <is>
          <t>Falcon Roost</t>
        </is>
      </c>
      <c r="B125" s="43" t="inlineStr">
        <is>
          <t>Talons</t>
        </is>
      </c>
      <c r="C125" s="43" t="inlineStr">
        <is>
          <t>raw damage, pierces armour</t>
        </is>
      </c>
      <c r="D125" s="56" t="n">
        <v>1</v>
      </c>
      <c r="E125" s="56">
        <f>ROUND('Towers'!$C$16*POWER('Tuning'!$B$12,D125),0)</f>
        <v/>
      </c>
      <c r="F125" s="56">
        <f>'Towers'!$C$16+E125</f>
        <v/>
      </c>
      <c r="G125" s="57" t="n">
        <v>1.9</v>
      </c>
      <c r="H125" s="57" t="n">
        <v>1</v>
      </c>
      <c r="I125" s="57" t="n">
        <v>1</v>
      </c>
      <c r="J125" s="92">
        <f>'Towers'!$G$16*G125*H125*I125</f>
        <v/>
      </c>
      <c r="K125" s="92">
        <f>IF(J125=0,0,F125/J125)</f>
        <v/>
      </c>
      <c r="L125" s="57" t="n">
        <v>1</v>
      </c>
      <c r="M125" s="43" t="inlineStr">
        <is>
          <t>Sharp Talons</t>
        </is>
      </c>
    </row>
    <row r="126">
      <c r="A126" s="43" t="inlineStr">
        <is>
          <t>Falcon Roost</t>
        </is>
      </c>
      <c r="B126" s="43" t="inlineStr">
        <is>
          <t>Talons</t>
        </is>
      </c>
      <c r="C126" s="43" t="inlineStr">
        <is>
          <t>raw damage, pierces armour</t>
        </is>
      </c>
      <c r="D126" s="56" t="n">
        <v>2</v>
      </c>
      <c r="E126" s="56">
        <f>ROUND('Towers'!$C$16*POWER('Tuning'!$B$12,D126),0)</f>
        <v/>
      </c>
      <c r="F126" s="56">
        <f>F125+E126</f>
        <v/>
      </c>
      <c r="G126" s="57" t="n">
        <v>3.61</v>
      </c>
      <c r="H126" s="57" t="n">
        <v>1</v>
      </c>
      <c r="I126" s="57" t="n">
        <v>1</v>
      </c>
      <c r="J126" s="92">
        <f>'Towers'!$G$16*G126*H126*I126</f>
        <v/>
      </c>
      <c r="K126" s="92">
        <f>IF(J126=0,0,F126/J126)</f>
        <v/>
      </c>
      <c r="L126" s="57" t="n">
        <v>1</v>
      </c>
      <c r="M126" s="43" t="inlineStr">
        <is>
          <t>Hooked Beak</t>
        </is>
      </c>
    </row>
    <row r="127">
      <c r="A127" s="43" t="inlineStr">
        <is>
          <t>Falcon Roost</t>
        </is>
      </c>
      <c r="B127" s="43" t="inlineStr">
        <is>
          <t>Talons</t>
        </is>
      </c>
      <c r="C127" s="43" t="inlineStr">
        <is>
          <t>raw damage, pierces armour</t>
        </is>
      </c>
      <c r="D127" s="56" t="n">
        <v>3</v>
      </c>
      <c r="E127" s="56">
        <f>ROUND('Towers'!$C$16*POWER('Tuning'!$B$12,D127),0)</f>
        <v/>
      </c>
      <c r="F127" s="56">
        <f>F126+E127</f>
        <v/>
      </c>
      <c r="G127" s="57" t="n">
        <v>6.86</v>
      </c>
      <c r="H127" s="57" t="n">
        <v>1</v>
      </c>
      <c r="I127" s="57" t="n">
        <v>1</v>
      </c>
      <c r="J127" s="92">
        <f>'Towers'!$G$16*G127*H127*I127</f>
        <v/>
      </c>
      <c r="K127" s="92">
        <f>IF(J127=0,0,F127/J127)</f>
        <v/>
      </c>
      <c r="L127" s="57" t="n">
        <v>1</v>
      </c>
      <c r="M127" s="43" t="inlineStr">
        <is>
          <t>Power Dive</t>
        </is>
      </c>
      <c r="BJ127" s="81" t="n">
        <v>2</v>
      </c>
      <c r="BU127" s="81" t="n">
        <v>3</v>
      </c>
    </row>
    <row r="128">
      <c r="A128" s="43" t="inlineStr">
        <is>
          <t>Falcon Roost</t>
        </is>
      </c>
      <c r="B128" s="43" t="inlineStr">
        <is>
          <t>Talons</t>
        </is>
      </c>
      <c r="C128" s="43" t="inlineStr">
        <is>
          <t>raw damage, pierces armour</t>
        </is>
      </c>
      <c r="D128" s="56" t="n">
        <v>4</v>
      </c>
      <c r="E128" s="56">
        <f>ROUND('Towers'!$C$16*POWER('Tuning'!$B$12,D128),0)</f>
        <v/>
      </c>
      <c r="F128" s="56">
        <f>F127+E128</f>
        <v/>
      </c>
      <c r="G128" s="57" t="n">
        <v>1.899416909621</v>
      </c>
      <c r="H128" s="57" t="n">
        <v>1</v>
      </c>
      <c r="I128" s="57" t="n">
        <v>1</v>
      </c>
      <c r="J128" s="92">
        <f>J127*G128*H128*I128</f>
        <v/>
      </c>
      <c r="K128" s="92">
        <f>IF(J128=0,0,F128/J128)</f>
        <v/>
      </c>
      <c r="L128" s="57" t="n">
        <v>1</v>
      </c>
      <c r="M128" s="43" t="inlineStr">
        <is>
          <t>Iron Talons</t>
        </is>
      </c>
      <c r="N128" s="81" t="inlineStr">
        <is>
          <t>Yes</t>
        </is>
      </c>
      <c r="BJ128" s="81" t="n">
        <v>3</v>
      </c>
      <c r="BU128" s="81" t="n"/>
      <c r="CI128" s="81" t="inlineStr">
        <is>
          <t>A</t>
        </is>
      </c>
      <c r="CJ128" s="81" t="inlineStr">
        <is>
          <t>Hurts armoured dinos; dives shrink a dino 3 sizes</t>
        </is>
      </c>
    </row>
    <row r="129">
      <c r="A129" s="43" t="inlineStr">
        <is>
          <t>Falcon Roost</t>
        </is>
      </c>
      <c r="B129" s="43" t="inlineStr">
        <is>
          <t>Talons</t>
        </is>
      </c>
      <c r="C129" s="43" t="inlineStr">
        <is>
          <t>raw damage, pierces armour</t>
        </is>
      </c>
      <c r="D129" s="56" t="n">
        <v>5</v>
      </c>
      <c r="E129" s="56">
        <f>ROUND('Towers'!$C$16*POWER('Tuning'!$B$12,D129),0)</f>
        <v/>
      </c>
      <c r="F129" s="56">
        <f>F128+E129</f>
        <v/>
      </c>
      <c r="G129" s="57" t="n">
        <v>0.9209516500379999</v>
      </c>
      <c r="H129" s="57" t="n">
        <v>1</v>
      </c>
      <c r="I129" s="57" t="n">
        <v>1</v>
      </c>
      <c r="J129" s="92">
        <f>J128*G129*H129*I129</f>
        <v/>
      </c>
      <c r="K129" s="92">
        <f>IF(J129=0,0,F129/J129)</f>
        <v/>
      </c>
      <c r="L129" s="57" t="n">
        <v>1</v>
      </c>
      <c r="M129" s="43" t="inlineStr">
        <is>
          <t>Eagle of the Peak</t>
        </is>
      </c>
      <c r="N129" s="81" t="n"/>
      <c r="U129" s="81" t="n">
        <v>0.5</v>
      </c>
      <c r="BJ129" s="81" t="n"/>
      <c r="BU129" s="81" t="n"/>
      <c r="BV129" s="81" t="inlineStr">
        <is>
          <t>Yes</t>
        </is>
      </c>
      <c r="CI129" s="81" t="inlineStr">
        <is>
          <t>A</t>
        </is>
      </c>
      <c r="CJ129" s="81" t="inlineStr">
        <is>
          <t>One giant eagle dives, stuns and shrinks a dino 3 sizes</t>
        </is>
      </c>
    </row>
    <row r="130">
      <c r="A130" s="43" t="inlineStr">
        <is>
          <t>Falcon Roost</t>
        </is>
      </c>
      <c r="B130" s="43" t="inlineStr">
        <is>
          <t>Flock</t>
        </is>
      </c>
      <c r="C130" s="43" t="inlineStr">
        <is>
          <t>more birds</t>
        </is>
      </c>
      <c r="D130" s="56" t="n">
        <v>1</v>
      </c>
      <c r="E130" s="56">
        <f>ROUND('Towers'!$C$16*POWER('Tuning'!$B$12,D130),0)</f>
        <v/>
      </c>
      <c r="F130" s="56">
        <f>'Towers'!$C$16+E130</f>
        <v/>
      </c>
      <c r="G130" s="57" t="n">
        <v>1</v>
      </c>
      <c r="H130" s="57" t="n">
        <v>2</v>
      </c>
      <c r="I130" s="57" t="n">
        <v>1</v>
      </c>
      <c r="J130" s="92">
        <f>'Towers'!$G$16*G130*H130*I130</f>
        <v/>
      </c>
      <c r="K130" s="92">
        <f>IF(J130=0,0,F130/J130)</f>
        <v/>
      </c>
      <c r="L130" s="57" t="n">
        <v>1</v>
      </c>
      <c r="M130" s="43" t="inlineStr">
        <is>
          <t>Second Pair</t>
        </is>
      </c>
      <c r="BT130" s="81" t="n">
        <v>4</v>
      </c>
    </row>
    <row r="131">
      <c r="A131" s="43" t="inlineStr">
        <is>
          <t>Falcon Roost</t>
        </is>
      </c>
      <c r="B131" s="43" t="inlineStr">
        <is>
          <t>Flock</t>
        </is>
      </c>
      <c r="C131" s="43" t="inlineStr">
        <is>
          <t>more birds</t>
        </is>
      </c>
      <c r="D131" s="56" t="n">
        <v>2</v>
      </c>
      <c r="E131" s="56">
        <f>ROUND('Towers'!$C$16*POWER('Tuning'!$B$12,D131),0)</f>
        <v/>
      </c>
      <c r="F131" s="56">
        <f>F130+E131</f>
        <v/>
      </c>
      <c r="G131" s="57" t="n">
        <v>1.5</v>
      </c>
      <c r="H131" s="57" t="n">
        <v>2.5</v>
      </c>
      <c r="I131" s="57" t="n">
        <v>1</v>
      </c>
      <c r="J131" s="92">
        <f>'Towers'!$G$16*G131*H131*I131</f>
        <v/>
      </c>
      <c r="K131" s="92">
        <f>IF(J131=0,0,F131/J131)</f>
        <v/>
      </c>
      <c r="L131" s="57" t="n">
        <v>1</v>
      </c>
      <c r="M131" s="43" t="inlineStr">
        <is>
          <t>Quick Return</t>
        </is>
      </c>
      <c r="BT131" s="81" t="n">
        <v>4</v>
      </c>
    </row>
    <row r="132">
      <c r="A132" s="43" t="inlineStr">
        <is>
          <t>Falcon Roost</t>
        </is>
      </c>
      <c r="B132" s="43" t="inlineStr">
        <is>
          <t>Flock</t>
        </is>
      </c>
      <c r="C132" s="43" t="inlineStr">
        <is>
          <t>more birds</t>
        </is>
      </c>
      <c r="D132" s="56" t="n">
        <v>3</v>
      </c>
      <c r="E132" s="56">
        <f>ROUND('Towers'!$C$16*POWER('Tuning'!$B$12,D132),0)</f>
        <v/>
      </c>
      <c r="F132" s="56">
        <f>F131+E132</f>
        <v/>
      </c>
      <c r="G132" s="57" t="n">
        <v>1.85</v>
      </c>
      <c r="H132" s="57" t="n">
        <v>3.75</v>
      </c>
      <c r="I132" s="57" t="n">
        <v>1</v>
      </c>
      <c r="J132" s="92">
        <f>'Towers'!$G$16*G132*H132*I132</f>
        <v/>
      </c>
      <c r="K132" s="92">
        <f>IF(J132=0,0,F132/J132)</f>
        <v/>
      </c>
      <c r="L132" s="57" t="n">
        <v>1</v>
      </c>
      <c r="M132" s="43" t="inlineStr">
        <is>
          <t>Flock of Six</t>
        </is>
      </c>
      <c r="BT132" s="81" t="n">
        <v>6</v>
      </c>
    </row>
    <row r="133">
      <c r="A133" s="43" t="inlineStr">
        <is>
          <t>Falcon Roost</t>
        </is>
      </c>
      <c r="B133" s="43" t="inlineStr">
        <is>
          <t>Flock</t>
        </is>
      </c>
      <c r="C133" s="43" t="inlineStr">
        <is>
          <t>more birds</t>
        </is>
      </c>
      <c r="D133" s="56" t="n">
        <v>4</v>
      </c>
      <c r="E133" s="56">
        <f>ROUND('Towers'!$C$16*POWER('Tuning'!$B$12,D133),0)</f>
        <v/>
      </c>
      <c r="F133" s="56">
        <f>F132+E133</f>
        <v/>
      </c>
      <c r="G133" s="57" t="n">
        <v>2.810810810811</v>
      </c>
      <c r="H133" s="57" t="n">
        <v>1</v>
      </c>
      <c r="I133" s="57" t="n">
        <v>1</v>
      </c>
      <c r="J133" s="92">
        <f>J132*G133*H133*I133</f>
        <v/>
      </c>
      <c r="K133" s="92">
        <f>IF(J133=0,0,F133/J133)</f>
        <v/>
      </c>
      <c r="L133" s="57" t="n">
        <v>1.5</v>
      </c>
      <c r="M133" s="43" t="inlineStr">
        <is>
          <t>Wide Circle</t>
        </is>
      </c>
      <c r="BT133" s="81" t="n"/>
      <c r="CI133" s="81" t="inlineStr">
        <is>
          <t>A</t>
        </is>
      </c>
      <c r="CJ133" s="81" t="inlineStr">
        <is>
          <t>The birds hunt much further out</t>
        </is>
      </c>
    </row>
    <row r="134">
      <c r="A134" s="43" t="inlineStr">
        <is>
          <t>Falcon Roost</t>
        </is>
      </c>
      <c r="B134" s="43" t="inlineStr">
        <is>
          <t>Flock</t>
        </is>
      </c>
      <c r="C134" s="43" t="inlineStr">
        <is>
          <t>more birds</t>
        </is>
      </c>
      <c r="D134" s="56" t="n">
        <v>5</v>
      </c>
      <c r="E134" s="56">
        <f>ROUND('Towers'!$C$16*POWER('Tuning'!$B$12,D134),0)</f>
        <v/>
      </c>
      <c r="F134" s="56">
        <f>F133+E134</f>
        <v/>
      </c>
      <c r="G134" s="57" t="n">
        <v>0.846153846154</v>
      </c>
      <c r="H134" s="57" t="n">
        <v>1</v>
      </c>
      <c r="I134" s="57" t="n">
        <v>1</v>
      </c>
      <c r="J134" s="92">
        <f>J133*G134*H134*I134</f>
        <v/>
      </c>
      <c r="K134" s="92">
        <f>IF(J134=0,0,F134/J134)</f>
        <v/>
      </c>
      <c r="L134" s="57" t="n">
        <v>1</v>
      </c>
      <c r="M134" s="43" t="inlineStr">
        <is>
          <t>Murmuration</t>
        </is>
      </c>
      <c r="BT134" s="81" t="n">
        <v>12</v>
      </c>
      <c r="BW134" s="81" t="inlineStr">
        <is>
          <t>Yes</t>
        </is>
      </c>
      <c r="CI134" s="81" t="inlineStr">
        <is>
          <t>A</t>
        </is>
      </c>
      <c r="CJ134" s="81" t="inlineStr">
        <is>
          <t>A swarm of small birds pecks every dino in range</t>
        </is>
      </c>
    </row>
    <row r="135">
      <c r="A135" s="43" t="inlineStr">
        <is>
          <t>Falcon Roost</t>
        </is>
      </c>
      <c r="B135" s="43" t="inlineStr">
        <is>
          <t>Falconer</t>
        </is>
      </c>
      <c r="C135" s="43" t="inlineStr">
        <is>
          <t>support</t>
        </is>
      </c>
      <c r="D135" s="56" t="n">
        <v>1</v>
      </c>
      <c r="E135" s="56">
        <f>ROUND('Towers'!$C$16*POWER('Tuning'!$B$12,D135),0)</f>
        <v/>
      </c>
      <c r="F135" s="56">
        <f>'Towers'!$C$16+E135</f>
        <v/>
      </c>
      <c r="G135" s="57" t="n">
        <v>1.3</v>
      </c>
      <c r="H135" s="57" t="n">
        <v>1</v>
      </c>
      <c r="I135" s="57" t="n">
        <v>1</v>
      </c>
      <c r="J135" s="92">
        <f>'Towers'!$G$16*G135*H135*I135</f>
        <v/>
      </c>
      <c r="K135" s="92">
        <f>IF(J135=0,0,F135/J135)</f>
        <v/>
      </c>
      <c r="L135" s="57" t="n">
        <v>1.1</v>
      </c>
      <c r="M135" s="43" t="inlineStr">
        <is>
          <t>Long Leash</t>
        </is>
      </c>
    </row>
    <row r="136">
      <c r="A136" s="43" t="inlineStr">
        <is>
          <t>Falcon Roost</t>
        </is>
      </c>
      <c r="B136" s="43" t="inlineStr">
        <is>
          <t>Falconer</t>
        </is>
      </c>
      <c r="C136" s="43" t="inlineStr">
        <is>
          <t>support</t>
        </is>
      </c>
      <c r="D136" s="56" t="n">
        <v>2</v>
      </c>
      <c r="E136" s="56">
        <f>ROUND('Towers'!$C$16*POWER('Tuning'!$B$12,D136),0)</f>
        <v/>
      </c>
      <c r="F136" s="56">
        <f>F135+E136</f>
        <v/>
      </c>
      <c r="G136" s="57" t="n">
        <v>1.69</v>
      </c>
      <c r="H136" s="57" t="n">
        <v>1</v>
      </c>
      <c r="I136" s="57" t="n">
        <v>1</v>
      </c>
      <c r="J136" s="92">
        <f>'Towers'!$G$16*G136*H136*I136</f>
        <v/>
      </c>
      <c r="K136" s="92">
        <f>IF(J136=0,0,F136/J136)</f>
        <v/>
      </c>
      <c r="L136" s="57" t="n">
        <v>1.1</v>
      </c>
      <c r="M136" s="43" t="inlineStr">
        <is>
          <t>Falcon Bells</t>
        </is>
      </c>
      <c r="T136" s="81" t="n">
        <v>10</v>
      </c>
    </row>
    <row r="137">
      <c r="A137" s="43" t="inlineStr">
        <is>
          <t>Falcon Roost</t>
        </is>
      </c>
      <c r="B137" s="43" t="inlineStr">
        <is>
          <t>Falconer</t>
        </is>
      </c>
      <c r="C137" s="43" t="inlineStr">
        <is>
          <t>support</t>
        </is>
      </c>
      <c r="D137" s="56" t="n">
        <v>3</v>
      </c>
      <c r="E137" s="56">
        <f>ROUND('Towers'!$C$16*POWER('Tuning'!$B$12,D137),0)</f>
        <v/>
      </c>
      <c r="F137" s="56">
        <f>F136+E137</f>
        <v/>
      </c>
      <c r="G137" s="57" t="n">
        <v>2.2</v>
      </c>
      <c r="H137" s="57" t="n">
        <v>1</v>
      </c>
      <c r="I137" s="57" t="n">
        <v>1</v>
      </c>
      <c r="J137" s="92">
        <f>'Towers'!$G$16*G137*H137*I137</f>
        <v/>
      </c>
      <c r="K137" s="92">
        <f>IF(J137=0,0,F137/J137)</f>
        <v/>
      </c>
      <c r="L137" s="57" t="n">
        <v>1.1</v>
      </c>
      <c r="M137" s="43" t="inlineStr">
        <is>
          <t>Hooded Scout</t>
        </is>
      </c>
      <c r="T137" s="81" t="n">
        <v>10</v>
      </c>
      <c r="BX137" s="81" t="n">
        <v>25</v>
      </c>
    </row>
    <row r="138">
      <c r="A138" s="43" t="inlineStr">
        <is>
          <t>Falcon Roost</t>
        </is>
      </c>
      <c r="B138" s="43" t="inlineStr">
        <is>
          <t>Falconer</t>
        </is>
      </c>
      <c r="C138" s="43" t="inlineStr">
        <is>
          <t>support</t>
        </is>
      </c>
      <c r="D138" s="56" t="n">
        <v>4</v>
      </c>
      <c r="E138" s="56">
        <f>ROUND('Towers'!$C$16*POWER('Tuning'!$B$12,D138),0)</f>
        <v/>
      </c>
      <c r="F138" s="56">
        <f>F137+E138</f>
        <v/>
      </c>
      <c r="G138" s="57" t="n">
        <v>1.3</v>
      </c>
      <c r="H138" s="57" t="n">
        <v>1</v>
      </c>
      <c r="I138" s="57" t="n">
        <v>1</v>
      </c>
      <c r="J138" s="92">
        <f>J137*G138*H138*I138</f>
        <v/>
      </c>
      <c r="K138" s="92">
        <f>IF(J138=0,0,F138/J138)</f>
        <v/>
      </c>
      <c r="L138" s="57" t="n">
        <v>1</v>
      </c>
      <c r="M138" s="43" t="inlineStr">
        <is>
          <t>Lure</t>
        </is>
      </c>
      <c r="T138" s="81" t="n"/>
      <c r="W138" s="81" t="n">
        <v>2</v>
      </c>
      <c r="BX138" s="81" t="n"/>
      <c r="CI138" s="81" t="inlineStr">
        <is>
          <t>A</t>
        </is>
      </c>
      <c r="CJ138" s="81" t="inlineStr">
        <is>
          <t>Struck dinos get pulled back (not bosses)</t>
        </is>
      </c>
    </row>
    <row r="139">
      <c r="A139" s="43" t="inlineStr">
        <is>
          <t>Falcon Roost</t>
        </is>
      </c>
      <c r="B139" s="43" t="inlineStr">
        <is>
          <t>Falconer</t>
        </is>
      </c>
      <c r="C139" s="43" t="inlineStr">
        <is>
          <t>support</t>
        </is>
      </c>
      <c r="D139" s="56" t="n">
        <v>5</v>
      </c>
      <c r="E139" s="56">
        <f>ROUND('Towers'!$C$16*POWER('Tuning'!$B$12,D139),0)</f>
        <v/>
      </c>
      <c r="F139" s="56">
        <f>F138+E139</f>
        <v/>
      </c>
      <c r="G139" s="57" t="n">
        <v>1.297202797203</v>
      </c>
      <c r="H139" s="57" t="n">
        <v>1</v>
      </c>
      <c r="I139" s="57" t="n">
        <v>1</v>
      </c>
      <c r="J139" s="92">
        <f>J138*G139*H139*I139</f>
        <v/>
      </c>
      <c r="K139" s="92">
        <f>IF(J139=0,0,F139/J139)</f>
        <v/>
      </c>
      <c r="L139" s="57" t="n">
        <v>1</v>
      </c>
      <c r="M139" s="43" t="inlineStr">
        <is>
          <t>Hunting Party</t>
        </is>
      </c>
      <c r="T139" s="81" t="n"/>
      <c r="W139" s="81" t="n"/>
      <c r="BX139" s="81" t="n"/>
      <c r="BY139" s="81" t="n">
        <v>15</v>
      </c>
      <c r="CI139" s="81" t="inlineStr">
        <is>
          <t>A</t>
        </is>
      </c>
      <c r="CJ139" s="81" t="inlineStr">
        <is>
          <t>Towers in range shoot faster while a bird dives</t>
        </is>
      </c>
    </row>
    <row r="140">
      <c r="A140" s="43" t="inlineStr">
        <is>
          <t>Tar Pit</t>
        </is>
      </c>
      <c r="B140" s="43" t="inlineStr">
        <is>
          <t>Deep Tar</t>
        </is>
      </c>
      <c r="C140" s="43" t="inlineStr">
        <is>
          <t>slow and sink</t>
        </is>
      </c>
      <c r="D140" s="56" t="n">
        <v>1</v>
      </c>
      <c r="E140" s="56">
        <f>ROUND('Towers'!$C$17*POWER('Tuning'!$B$12,D140),0)</f>
        <v/>
      </c>
      <c r="F140" s="56">
        <f>'Towers'!$C$17+E140</f>
        <v/>
      </c>
      <c r="G140" s="57" t="n">
        <v>1</v>
      </c>
      <c r="H140" s="57" t="n">
        <v>1</v>
      </c>
      <c r="I140" s="57" t="n">
        <v>1</v>
      </c>
      <c r="J140" s="92">
        <f>'Towers'!$G$17*G140*H140*I140</f>
        <v/>
      </c>
      <c r="K140" s="92">
        <f>IF(J140=0,0,F140/J140)</f>
        <v/>
      </c>
      <c r="L140" s="57" t="n">
        <v>1</v>
      </c>
      <c r="M140" s="43" t="inlineStr">
        <is>
          <t>Thick Tar</t>
        </is>
      </c>
      <c r="AE140" s="81" t="n">
        <v>35</v>
      </c>
    </row>
    <row r="141">
      <c r="A141" s="43" t="inlineStr">
        <is>
          <t>Tar Pit</t>
        </is>
      </c>
      <c r="B141" s="43" t="inlineStr">
        <is>
          <t>Deep Tar</t>
        </is>
      </c>
      <c r="C141" s="43" t="inlineStr">
        <is>
          <t>slow and sink</t>
        </is>
      </c>
      <c r="D141" s="56" t="n">
        <v>2</v>
      </c>
      <c r="E141" s="56">
        <f>ROUND('Towers'!$C$17*POWER('Tuning'!$B$12,D141),0)</f>
        <v/>
      </c>
      <c r="F141" s="56">
        <f>F140+E141</f>
        <v/>
      </c>
      <c r="G141" s="57" t="n">
        <v>1</v>
      </c>
      <c r="H141" s="57" t="n">
        <v>1</v>
      </c>
      <c r="I141" s="57" t="n">
        <v>1</v>
      </c>
      <c r="J141" s="92">
        <f>'Towers'!$G$17*G141*H141*I141</f>
        <v/>
      </c>
      <c r="K141" s="92">
        <f>IF(J141=0,0,F141/J141)</f>
        <v/>
      </c>
      <c r="L141" s="57" t="n">
        <v>1.5</v>
      </c>
      <c r="M141" s="43" t="inlineStr">
        <is>
          <t>Wide Pool</t>
        </is>
      </c>
      <c r="AE141" s="81" t="n">
        <v>35</v>
      </c>
    </row>
    <row r="142">
      <c r="A142" s="43" t="inlineStr">
        <is>
          <t>Tar Pit</t>
        </is>
      </c>
      <c r="B142" s="43" t="inlineStr">
        <is>
          <t>Deep Tar</t>
        </is>
      </c>
      <c r="C142" s="43" t="inlineStr">
        <is>
          <t>slow and sink</t>
        </is>
      </c>
      <c r="D142" s="56" t="n">
        <v>3</v>
      </c>
      <c r="E142" s="56">
        <f>ROUND('Towers'!$C$17*POWER('Tuning'!$B$12,D142),0)</f>
        <v/>
      </c>
      <c r="F142" s="56">
        <f>F141+E142</f>
        <v/>
      </c>
      <c r="G142" s="57" t="n">
        <v>1</v>
      </c>
      <c r="H142" s="57" t="n">
        <v>1</v>
      </c>
      <c r="I142" s="57" t="n">
        <v>1</v>
      </c>
      <c r="J142" s="92">
        <f>'Towers'!$G$17*G142*H142*I142</f>
        <v/>
      </c>
      <c r="K142" s="92">
        <f>IF(J142=0,0,F142/J142)</f>
        <v/>
      </c>
      <c r="L142" s="57" t="n">
        <v>1.5</v>
      </c>
      <c r="M142" s="43" t="inlineStr">
        <is>
          <t>Fast Sink</t>
        </is>
      </c>
      <c r="AE142" s="81" t="n">
        <v>35</v>
      </c>
      <c r="CC142" s="81" t="n">
        <v>0.5</v>
      </c>
    </row>
    <row r="143">
      <c r="A143" s="43" t="inlineStr">
        <is>
          <t>Tar Pit</t>
        </is>
      </c>
      <c r="B143" s="43" t="inlineStr">
        <is>
          <t>Deep Tar</t>
        </is>
      </c>
      <c r="C143" s="43" t="inlineStr">
        <is>
          <t>slow and sink</t>
        </is>
      </c>
      <c r="D143" s="56" t="n">
        <v>4</v>
      </c>
      <c r="E143" s="56">
        <f>ROUND('Towers'!$C$17*POWER('Tuning'!$B$12,D143),0)</f>
        <v/>
      </c>
      <c r="F143" s="56">
        <f>F142+E143</f>
        <v/>
      </c>
      <c r="G143" s="57" t="n">
        <v>1</v>
      </c>
      <c r="H143" s="57" t="n">
        <v>1</v>
      </c>
      <c r="I143" s="57" t="n">
        <v>1</v>
      </c>
      <c r="J143" s="92">
        <f>J142*G143*H143*I143</f>
        <v/>
      </c>
      <c r="K143" s="92">
        <f>IF(J143=0,0,F143/J143)</f>
        <v/>
      </c>
      <c r="L143" s="57" t="n">
        <v>1</v>
      </c>
      <c r="M143" s="43" t="inlineStr">
        <is>
          <t>Clinging Tar</t>
        </is>
      </c>
      <c r="AE143" s="81" t="n"/>
      <c r="AF143" s="81" t="n">
        <v>3</v>
      </c>
      <c r="CC143" s="81" t="n"/>
      <c r="CI143" s="81" t="inlineStr">
        <is>
          <t>A</t>
        </is>
      </c>
      <c r="CJ143" s="81" t="inlineStr">
        <is>
          <t>Dinos stay slowed for a while after they leave</t>
        </is>
      </c>
    </row>
    <row r="144">
      <c r="A144" s="43" t="inlineStr">
        <is>
          <t>Tar Pit</t>
        </is>
      </c>
      <c r="B144" s="43" t="inlineStr">
        <is>
          <t>Deep Tar</t>
        </is>
      </c>
      <c r="C144" s="43" t="inlineStr">
        <is>
          <t>slow and sink</t>
        </is>
      </c>
      <c r="D144" s="56" t="n">
        <v>5</v>
      </c>
      <c r="E144" s="56">
        <f>ROUND('Towers'!$C$17*POWER('Tuning'!$B$12,D144),0)</f>
        <v/>
      </c>
      <c r="F144" s="56">
        <f>F143+E144</f>
        <v/>
      </c>
      <c r="G144" s="57" t="n">
        <v>1</v>
      </c>
      <c r="H144" s="57" t="n">
        <v>1</v>
      </c>
      <c r="I144" s="57" t="n">
        <v>1</v>
      </c>
      <c r="J144" s="92">
        <f>J143*G144*H144*I144</f>
        <v/>
      </c>
      <c r="K144" s="92">
        <f>IF(J144=0,0,F144/J144)</f>
        <v/>
      </c>
      <c r="L144" s="57" t="n">
        <v>3</v>
      </c>
      <c r="M144" s="43" t="inlineStr">
        <is>
          <t>Tar Lake</t>
        </is>
      </c>
      <c r="AE144" s="81" t="n"/>
      <c r="AF144" s="81" t="n"/>
      <c r="CC144" s="81" t="n"/>
      <c r="CI144" s="81" t="inlineStr">
        <is>
          <t>A</t>
        </is>
      </c>
      <c r="CJ144" s="81" t="inlineStr">
        <is>
          <t>The pool covers three times as much track</t>
        </is>
      </c>
    </row>
    <row r="145">
      <c r="A145" s="43" t="inlineStr">
        <is>
          <t>Tar Pit</t>
        </is>
      </c>
      <c r="B145" s="43" t="inlineStr">
        <is>
          <t>Bubbling</t>
        </is>
      </c>
      <c r="C145" s="43" t="inlineStr">
        <is>
          <t>damage</t>
        </is>
      </c>
      <c r="D145" s="56" t="n">
        <v>1</v>
      </c>
      <c r="E145" s="56">
        <f>ROUND('Towers'!$C$17*POWER('Tuning'!$B$12,D145),0)</f>
        <v/>
      </c>
      <c r="F145" s="56">
        <f>'Towers'!$C$17+E145</f>
        <v/>
      </c>
      <c r="G145" s="57" t="n">
        <v>1</v>
      </c>
      <c r="H145" s="57" t="n">
        <v>1</v>
      </c>
      <c r="I145" s="57" t="n">
        <v>1</v>
      </c>
      <c r="J145" s="92">
        <f>'Towers'!$G$17*G145*H145*I145</f>
        <v/>
      </c>
      <c r="K145" s="92">
        <f>IF(J145=0,0,F145/J145)</f>
        <v/>
      </c>
      <c r="L145" s="57" t="n">
        <v>1</v>
      </c>
      <c r="M145" s="43" t="inlineStr">
        <is>
          <t>Warm Tar</t>
        </is>
      </c>
      <c r="X145" s="81" t="n">
        <v>8</v>
      </c>
    </row>
    <row r="146">
      <c r="A146" s="43" t="inlineStr">
        <is>
          <t>Tar Pit</t>
        </is>
      </c>
      <c r="B146" s="43" t="inlineStr">
        <is>
          <t>Bubbling</t>
        </is>
      </c>
      <c r="C146" s="43" t="inlineStr">
        <is>
          <t>damage</t>
        </is>
      </c>
      <c r="D146" s="56" t="n">
        <v>2</v>
      </c>
      <c r="E146" s="56">
        <f>ROUND('Towers'!$C$17*POWER('Tuning'!$B$12,D146),0)</f>
        <v/>
      </c>
      <c r="F146" s="56">
        <f>F145+E146</f>
        <v/>
      </c>
      <c r="G146" s="57" t="n">
        <v>1</v>
      </c>
      <c r="H146" s="57" t="n">
        <v>1</v>
      </c>
      <c r="I146" s="57" t="n">
        <v>1</v>
      </c>
      <c r="J146" s="92">
        <f>'Towers'!$G$17*G146*H146*I146</f>
        <v/>
      </c>
      <c r="K146" s="92">
        <f>IF(J146=0,0,F146/J146)</f>
        <v/>
      </c>
      <c r="L146" s="57" t="n">
        <v>1</v>
      </c>
      <c r="M146" s="43" t="inlineStr">
        <is>
          <t>Simmer</t>
        </is>
      </c>
      <c r="X146" s="81" t="n">
        <v>22</v>
      </c>
    </row>
    <row r="147">
      <c r="A147" s="43" t="inlineStr">
        <is>
          <t>Tar Pit</t>
        </is>
      </c>
      <c r="B147" s="43" t="inlineStr">
        <is>
          <t>Bubbling</t>
        </is>
      </c>
      <c r="C147" s="43" t="inlineStr">
        <is>
          <t>damage</t>
        </is>
      </c>
      <c r="D147" s="56" t="n">
        <v>3</v>
      </c>
      <c r="E147" s="56">
        <f>ROUND('Towers'!$C$17*POWER('Tuning'!$B$12,D147),0)</f>
        <v/>
      </c>
      <c r="F147" s="56">
        <f>F146+E147</f>
        <v/>
      </c>
      <c r="G147" s="57" t="n">
        <v>1</v>
      </c>
      <c r="H147" s="57" t="n">
        <v>1</v>
      </c>
      <c r="I147" s="57" t="n">
        <v>1</v>
      </c>
      <c r="J147" s="92">
        <f>'Towers'!$G$17*G147*H147*I147</f>
        <v/>
      </c>
      <c r="K147" s="92">
        <f>IF(J147=0,0,F147/J147)</f>
        <v/>
      </c>
      <c r="L147" s="57" t="n">
        <v>1</v>
      </c>
      <c r="M147" s="43" t="inlineStr">
        <is>
          <t>Boiling Pit</t>
        </is>
      </c>
      <c r="X147" s="81" t="n">
        <v>80</v>
      </c>
    </row>
    <row r="148">
      <c r="A148" s="43" t="inlineStr">
        <is>
          <t>Tar Pit</t>
        </is>
      </c>
      <c r="B148" s="43" t="inlineStr">
        <is>
          <t>Bubbling</t>
        </is>
      </c>
      <c r="C148" s="43" t="inlineStr">
        <is>
          <t>damage</t>
        </is>
      </c>
      <c r="D148" s="56" t="n">
        <v>4</v>
      </c>
      <c r="E148" s="56">
        <f>ROUND('Towers'!$C$17*POWER('Tuning'!$B$12,D148),0)</f>
        <v/>
      </c>
      <c r="F148" s="56">
        <f>F147+E148</f>
        <v/>
      </c>
      <c r="G148" s="57" t="n">
        <v>1</v>
      </c>
      <c r="H148" s="57" t="n">
        <v>1</v>
      </c>
      <c r="I148" s="57" t="n">
        <v>1</v>
      </c>
      <c r="J148" s="92">
        <f>J147*G148*H148*I148</f>
        <v/>
      </c>
      <c r="K148" s="92">
        <f>IF(J148=0,0,F148/J148)</f>
        <v/>
      </c>
      <c r="L148" s="57" t="n">
        <v>1</v>
      </c>
      <c r="M148" s="43" t="inlineStr">
        <is>
          <t>Tar Fire</t>
        </is>
      </c>
      <c r="X148" s="81" t="n"/>
      <c r="Y148" s="81" t="n">
        <v>2</v>
      </c>
      <c r="CI148" s="81" t="inlineStr">
        <is>
          <t>A</t>
        </is>
      </c>
      <c r="CJ148" s="81" t="inlineStr">
        <is>
          <t>Dinos walk out of the tar still burning</t>
        </is>
      </c>
    </row>
    <row r="149">
      <c r="A149" s="43" t="inlineStr">
        <is>
          <t>Tar Pit</t>
        </is>
      </c>
      <c r="B149" s="43" t="inlineStr">
        <is>
          <t>Bubbling</t>
        </is>
      </c>
      <c r="C149" s="43" t="inlineStr">
        <is>
          <t>damage</t>
        </is>
      </c>
      <c r="D149" s="56" t="n">
        <v>5</v>
      </c>
      <c r="E149" s="56">
        <f>ROUND('Towers'!$C$17*POWER('Tuning'!$B$12,D149),0)</f>
        <v/>
      </c>
      <c r="F149" s="56">
        <f>F148+E149</f>
        <v/>
      </c>
      <c r="G149" s="57" t="n">
        <v>1</v>
      </c>
      <c r="H149" s="57" t="n">
        <v>1</v>
      </c>
      <c r="I149" s="57" t="n">
        <v>1</v>
      </c>
      <c r="J149" s="92">
        <f>J148*G149*H149*I149</f>
        <v/>
      </c>
      <c r="K149" s="92">
        <f>IF(J149=0,0,F149/J149)</f>
        <v/>
      </c>
      <c r="L149" s="57" t="n">
        <v>1</v>
      </c>
      <c r="M149" s="43" t="inlineStr">
        <is>
          <t>Eruption</t>
        </is>
      </c>
      <c r="X149" s="81" t="n"/>
      <c r="Y149" s="81" t="n"/>
      <c r="CF149" s="81" t="inlineStr">
        <is>
          <t>Yes</t>
        </is>
      </c>
      <c r="CI149" s="81" t="inlineStr">
        <is>
          <t>A</t>
        </is>
      </c>
      <c r="CJ149" s="81" t="inlineStr">
        <is>
          <t>A geyser shrinks every dino in the pool 2 sizes</t>
        </is>
      </c>
    </row>
    <row r="150">
      <c r="A150" s="43" t="inlineStr">
        <is>
          <t>Tar Pit</t>
        </is>
      </c>
      <c r="B150" s="43" t="inlineStr">
        <is>
          <t>Dig Site</t>
        </is>
      </c>
      <c r="C150" s="43" t="inlineStr">
        <is>
          <t>cash and support</t>
        </is>
      </c>
      <c r="D150" s="56" t="n">
        <v>1</v>
      </c>
      <c r="E150" s="56">
        <f>ROUND('Towers'!$C$17*POWER('Tuning'!$B$12,D150),0)</f>
        <v/>
      </c>
      <c r="F150" s="56">
        <f>'Towers'!$C$17+E150</f>
        <v/>
      </c>
      <c r="G150" s="57" t="n">
        <v>1</v>
      </c>
      <c r="H150" s="57" t="n">
        <v>1</v>
      </c>
      <c r="I150" s="57" t="n">
        <v>1</v>
      </c>
      <c r="J150" s="92">
        <f>'Towers'!$G$17*G150*H150*I150</f>
        <v/>
      </c>
      <c r="K150" s="92">
        <f>IF(J150=0,0,F150/J150)</f>
        <v/>
      </c>
      <c r="L150" s="57" t="n">
        <v>1</v>
      </c>
      <c r="M150" s="43" t="inlineStr">
        <is>
          <t>Pick and Shovel</t>
        </is>
      </c>
      <c r="CD150" s="81" t="n">
        <v>2</v>
      </c>
    </row>
    <row r="151">
      <c r="A151" s="43" t="inlineStr">
        <is>
          <t>Tar Pit</t>
        </is>
      </c>
      <c r="B151" s="43" t="inlineStr">
        <is>
          <t>Dig Site</t>
        </is>
      </c>
      <c r="C151" s="43" t="inlineStr">
        <is>
          <t>cash and support</t>
        </is>
      </c>
      <c r="D151" s="56" t="n">
        <v>2</v>
      </c>
      <c r="E151" s="56">
        <f>ROUND('Towers'!$C$17*POWER('Tuning'!$B$12,D151),0)</f>
        <v/>
      </c>
      <c r="F151" s="56">
        <f>F150+E151</f>
        <v/>
      </c>
      <c r="G151" s="57" t="n">
        <v>1</v>
      </c>
      <c r="H151" s="57" t="n">
        <v>1</v>
      </c>
      <c r="I151" s="57" t="n">
        <v>1</v>
      </c>
      <c r="J151" s="92">
        <f>'Towers'!$G$17*G151*H151*I151</f>
        <v/>
      </c>
      <c r="K151" s="92">
        <f>IF(J151=0,0,F151/J151)</f>
        <v/>
      </c>
      <c r="L151" s="57" t="n">
        <v>1</v>
      </c>
      <c r="M151" s="43" t="inlineStr">
        <is>
          <t>Fossil Hunter</t>
        </is>
      </c>
      <c r="CD151" s="81" t="n">
        <v>6</v>
      </c>
    </row>
    <row r="152">
      <c r="A152" s="43" t="inlineStr">
        <is>
          <t>Tar Pit</t>
        </is>
      </c>
      <c r="B152" s="43" t="inlineStr">
        <is>
          <t>Dig Site</t>
        </is>
      </c>
      <c r="C152" s="43" t="inlineStr">
        <is>
          <t>cash and support</t>
        </is>
      </c>
      <c r="D152" s="56" t="n">
        <v>3</v>
      </c>
      <c r="E152" s="56">
        <f>ROUND('Towers'!$C$17*POWER('Tuning'!$B$12,D152),0)</f>
        <v/>
      </c>
      <c r="F152" s="56">
        <f>F151+E152</f>
        <v/>
      </c>
      <c r="G152" s="57" t="n">
        <v>1</v>
      </c>
      <c r="H152" s="57" t="n">
        <v>1</v>
      </c>
      <c r="I152" s="57" t="n">
        <v>1</v>
      </c>
      <c r="J152" s="92">
        <f>'Towers'!$G$17*G152*H152*I152</f>
        <v/>
      </c>
      <c r="K152" s="92">
        <f>IF(J152=0,0,F152/J152)</f>
        <v/>
      </c>
      <c r="L152" s="57" t="n">
        <v>1</v>
      </c>
      <c r="M152" s="43" t="inlineStr">
        <is>
          <t>Lucky Finds</t>
        </is>
      </c>
      <c r="CD152" s="81" t="n">
        <v>6</v>
      </c>
      <c r="CE152" s="81" t="n">
        <v>10</v>
      </c>
    </row>
    <row r="153">
      <c r="A153" s="43" t="inlineStr">
        <is>
          <t>Tar Pit</t>
        </is>
      </c>
      <c r="B153" s="43" t="inlineStr">
        <is>
          <t>Dig Site</t>
        </is>
      </c>
      <c r="C153" s="43" t="inlineStr">
        <is>
          <t>cash and support</t>
        </is>
      </c>
      <c r="D153" s="56" t="n">
        <v>4</v>
      </c>
      <c r="E153" s="56">
        <f>ROUND('Towers'!$C$17*POWER('Tuning'!$B$12,D153),0)</f>
        <v/>
      </c>
      <c r="F153" s="56">
        <f>F152+E153</f>
        <v/>
      </c>
      <c r="G153" s="57" t="n">
        <v>1</v>
      </c>
      <c r="H153" s="57" t="n">
        <v>1</v>
      </c>
      <c r="I153" s="57" t="n">
        <v>1</v>
      </c>
      <c r="J153" s="92">
        <f>J152*G153*H153*I153</f>
        <v/>
      </c>
      <c r="K153" s="92">
        <f>IF(J153=0,0,F153/J153)</f>
        <v/>
      </c>
      <c r="L153" s="57" t="n">
        <v>1</v>
      </c>
      <c r="M153" s="43" t="inlineStr">
        <is>
          <t>Tar Tracks</t>
        </is>
      </c>
      <c r="CD153" s="81" t="n">
        <v>25</v>
      </c>
      <c r="CE153" s="81" t="n">
        <v>40</v>
      </c>
      <c r="CG153" s="81" t="n">
        <v>15</v>
      </c>
      <c r="CI153" s="81" t="inlineStr">
        <is>
          <t>A</t>
        </is>
      </c>
      <c r="CJ153" s="81" t="inlineStr">
        <is>
          <t>Dinos leaving the tar leave a slowing trail</t>
        </is>
      </c>
    </row>
    <row r="154">
      <c r="A154" s="43" t="inlineStr">
        <is>
          <t>Tar Pit</t>
        </is>
      </c>
      <c r="B154" s="43" t="inlineStr">
        <is>
          <t>Dig Site</t>
        </is>
      </c>
      <c r="C154" s="43" t="inlineStr">
        <is>
          <t>cash and support</t>
        </is>
      </c>
      <c r="D154" s="56" t="n">
        <v>5</v>
      </c>
      <c r="E154" s="56">
        <f>ROUND('Towers'!$C$17*POWER('Tuning'!$B$12,D154),0)</f>
        <v/>
      </c>
      <c r="F154" s="56">
        <f>F153+E154</f>
        <v/>
      </c>
      <c r="G154" s="57" t="n">
        <v>1</v>
      </c>
      <c r="H154" s="57" t="n">
        <v>1</v>
      </c>
      <c r="I154" s="57" t="n">
        <v>1</v>
      </c>
      <c r="J154" s="92">
        <f>J153*G154*H154*I154</f>
        <v/>
      </c>
      <c r="K154" s="92">
        <f>IF(J154=0,0,F154/J154)</f>
        <v/>
      </c>
      <c r="L154" s="57" t="n">
        <v>1</v>
      </c>
      <c r="M154" s="43" t="inlineStr">
        <is>
          <t>Tar Totem</t>
        </is>
      </c>
      <c r="CD154" s="81" t="n"/>
      <c r="CE154" s="81" t="n"/>
      <c r="CG154" s="81" t="n"/>
      <c r="CH154" s="81" t="n">
        <v>15</v>
      </c>
      <c r="CI154" s="81" t="inlineStr">
        <is>
          <t>A</t>
        </is>
      </c>
      <c r="CJ154" s="81" t="inlineStr">
        <is>
          <t>Towers in range hit slowed dinos harder</t>
        </is>
      </c>
    </row>
    <row r="155">
      <c r="A155" s="43" t="inlineStr">
        <is>
          <t>Harpoon Ballista</t>
        </is>
      </c>
      <c r="B155" s="43" t="inlineStr">
        <is>
          <t>Spearhead</t>
        </is>
      </c>
      <c r="C155" s="43" t="inlineStr">
        <is>
          <t>raw damage, breaks</t>
        </is>
      </c>
      <c r="D155" s="56" t="n">
        <v>1</v>
      </c>
      <c r="E155" s="56">
        <f>ROUND('Towers'!$C$18*POWER('Tuning'!$B$12,D155),0)</f>
        <v/>
      </c>
      <c r="F155" s="56">
        <f>'Towers'!$C$18+E155</f>
        <v/>
      </c>
      <c r="G155" s="57" t="n">
        <v>1.9</v>
      </c>
      <c r="H155" s="57" t="n">
        <v>1</v>
      </c>
      <c r="I155" s="57" t="n">
        <v>1</v>
      </c>
      <c r="J155" s="92">
        <f>'Towers'!$G$18*G155*H155*I155</f>
        <v/>
      </c>
      <c r="K155" s="92">
        <f>IF(J155=0,0,F155/J155)</f>
        <v/>
      </c>
      <c r="L155" s="57" t="n">
        <v>1</v>
      </c>
      <c r="M155" s="43" t="inlineStr">
        <is>
          <t>Steel Head</t>
        </is>
      </c>
    </row>
    <row r="156">
      <c r="A156" s="43" t="inlineStr">
        <is>
          <t>Harpoon Ballista</t>
        </is>
      </c>
      <c r="B156" s="43" t="inlineStr">
        <is>
          <t>Spearhead</t>
        </is>
      </c>
      <c r="C156" s="43" t="inlineStr">
        <is>
          <t>raw damage, breaks</t>
        </is>
      </c>
      <c r="D156" s="56" t="n">
        <v>2</v>
      </c>
      <c r="E156" s="56">
        <f>ROUND('Towers'!$C$18*POWER('Tuning'!$B$12,D156),0)</f>
        <v/>
      </c>
      <c r="F156" s="56">
        <f>F155+E156</f>
        <v/>
      </c>
      <c r="G156" s="57" t="n">
        <v>3.61</v>
      </c>
      <c r="H156" s="57" t="n">
        <v>1</v>
      </c>
      <c r="I156" s="57" t="n">
        <v>1</v>
      </c>
      <c r="J156" s="92">
        <f>'Towers'!$G$18*G156*H156*I156</f>
        <v/>
      </c>
      <c r="K156" s="92">
        <f>IF(J156=0,0,F156/J156)</f>
        <v/>
      </c>
      <c r="L156" s="57" t="n">
        <v>1</v>
      </c>
      <c r="M156" s="43" t="inlineStr">
        <is>
          <t>Saw Tip</t>
        </is>
      </c>
    </row>
    <row r="157">
      <c r="A157" s="43" t="inlineStr">
        <is>
          <t>Harpoon Ballista</t>
        </is>
      </c>
      <c r="B157" s="43" t="inlineStr">
        <is>
          <t>Spearhead</t>
        </is>
      </c>
      <c r="C157" s="43" t="inlineStr">
        <is>
          <t>raw damage, breaks</t>
        </is>
      </c>
      <c r="D157" s="56" t="n">
        <v>3</v>
      </c>
      <c r="E157" s="56">
        <f>ROUND('Towers'!$C$18*POWER('Tuning'!$B$12,D157),0)</f>
        <v/>
      </c>
      <c r="F157" s="56">
        <f>F156+E157</f>
        <v/>
      </c>
      <c r="G157" s="57" t="n">
        <v>6.86</v>
      </c>
      <c r="H157" s="57" t="n">
        <v>1</v>
      </c>
      <c r="I157" s="57" t="n">
        <v>1</v>
      </c>
      <c r="J157" s="92">
        <f>'Towers'!$G$18*G157*H157*I157</f>
        <v/>
      </c>
      <c r="K157" s="92">
        <f>IF(J157=0,0,F157/J157)</f>
        <v/>
      </c>
      <c r="L157" s="57" t="n">
        <v>1</v>
      </c>
      <c r="M157" s="43" t="inlineStr">
        <is>
          <t>Crusher Bolt</t>
        </is>
      </c>
      <c r="BJ157" s="81" t="n">
        <v>2</v>
      </c>
    </row>
    <row r="158">
      <c r="A158" s="43" t="inlineStr">
        <is>
          <t>Harpoon Ballista</t>
        </is>
      </c>
      <c r="B158" s="43" t="inlineStr">
        <is>
          <t>Spearhead</t>
        </is>
      </c>
      <c r="C158" s="43" t="inlineStr">
        <is>
          <t>raw damage, breaks</t>
        </is>
      </c>
      <c r="D158" s="56" t="n">
        <v>4</v>
      </c>
      <c r="E158" s="56">
        <f>ROUND('Towers'!$C$18*POWER('Tuning'!$B$12,D158),0)</f>
        <v/>
      </c>
      <c r="F158" s="56">
        <f>F157+E158</f>
        <v/>
      </c>
      <c r="G158" s="57" t="n">
        <v>1.899416909621</v>
      </c>
      <c r="H158" s="57" t="n">
        <v>1</v>
      </c>
      <c r="I158" s="57" t="n">
        <v>1</v>
      </c>
      <c r="J158" s="92">
        <f>J157*G158*H158*I158</f>
        <v/>
      </c>
      <c r="K158" s="92">
        <f>IF(J158=0,0,F158/J158)</f>
        <v/>
      </c>
      <c r="L158" s="57" t="n">
        <v>1</v>
      </c>
      <c r="M158" s="43" t="inlineStr">
        <is>
          <t>Great Harpoon</t>
        </is>
      </c>
      <c r="N158" s="81" t="inlineStr">
        <is>
          <t>Yes</t>
        </is>
      </c>
      <c r="BJ158" s="81" t="n">
        <v>3</v>
      </c>
      <c r="CI158" s="81" t="inlineStr">
        <is>
          <t>A</t>
        </is>
      </c>
      <c r="CJ158" s="81" t="inlineStr">
        <is>
          <t>Pierces armour and shrinks a dino 3 sizes</t>
        </is>
      </c>
    </row>
    <row r="159">
      <c r="A159" s="43" t="inlineStr">
        <is>
          <t>Harpoon Ballista</t>
        </is>
      </c>
      <c r="B159" s="43" t="inlineStr">
        <is>
          <t>Spearhead</t>
        </is>
      </c>
      <c r="C159" s="43" t="inlineStr">
        <is>
          <t>raw damage, breaks</t>
        </is>
      </c>
      <c r="D159" s="56" t="n">
        <v>5</v>
      </c>
      <c r="E159" s="56">
        <f>ROUND('Towers'!$C$18*POWER('Tuning'!$B$12,D159),0)</f>
        <v/>
      </c>
      <c r="F159" s="56">
        <f>F158+E159</f>
        <v/>
      </c>
      <c r="G159" s="57" t="n">
        <v>1.900230237913</v>
      </c>
      <c r="H159" s="57" t="n">
        <v>1.15</v>
      </c>
      <c r="I159" s="57" t="n">
        <v>1</v>
      </c>
      <c r="J159" s="92">
        <f>J158*G159*H159*I159</f>
        <v/>
      </c>
      <c r="K159" s="92">
        <f>IF(J159=0,0,F159/J159)</f>
        <v/>
      </c>
      <c r="L159" s="57" t="n">
        <v>1</v>
      </c>
      <c r="M159" s="43" t="inlineStr">
        <is>
          <t>Skewer</t>
        </is>
      </c>
      <c r="N159" s="81" t="n"/>
      <c r="BJ159" s="81" t="n"/>
      <c r="BZ159" s="81" t="inlineStr">
        <is>
          <t>Yes</t>
        </is>
      </c>
      <c r="CI159" s="81" t="inlineStr">
        <is>
          <t>A</t>
        </is>
      </c>
      <c r="CJ159" s="81" t="inlineStr">
        <is>
          <t>The bolt flies on through every dino in its line</t>
        </is>
      </c>
    </row>
    <row r="160">
      <c r="A160" s="43" t="inlineStr">
        <is>
          <t>Harpoon Ballista</t>
        </is>
      </c>
      <c r="B160" s="43" t="inlineStr">
        <is>
          <t>Reel</t>
        </is>
      </c>
      <c r="C160" s="43" t="inlineStr">
        <is>
          <t>control</t>
        </is>
      </c>
      <c r="D160" s="56" t="n">
        <v>1</v>
      </c>
      <c r="E160" s="56">
        <f>ROUND('Towers'!$C$18*POWER('Tuning'!$B$12,D160),0)</f>
        <v/>
      </c>
      <c r="F160" s="56">
        <f>'Towers'!$C$18+E160</f>
        <v/>
      </c>
      <c r="G160" s="57" t="n">
        <v>1.3</v>
      </c>
      <c r="H160" s="57" t="n">
        <v>1</v>
      </c>
      <c r="I160" s="57" t="n">
        <v>1</v>
      </c>
      <c r="J160" s="92">
        <f>'Towers'!$G$18*G160*H160*I160</f>
        <v/>
      </c>
      <c r="K160" s="92">
        <f>IF(J160=0,0,F160/J160)</f>
        <v/>
      </c>
      <c r="L160" s="57" t="n">
        <v>1.1</v>
      </c>
      <c r="M160" s="43" t="inlineStr">
        <is>
          <t>Rope Line</t>
        </is>
      </c>
    </row>
    <row r="161">
      <c r="A161" s="43" t="inlineStr">
        <is>
          <t>Harpoon Ballista</t>
        </is>
      </c>
      <c r="B161" s="43" t="inlineStr">
        <is>
          <t>Reel</t>
        </is>
      </c>
      <c r="C161" s="43" t="inlineStr">
        <is>
          <t>control</t>
        </is>
      </c>
      <c r="D161" s="56" t="n">
        <v>2</v>
      </c>
      <c r="E161" s="56">
        <f>ROUND('Towers'!$C$18*POWER('Tuning'!$B$12,D161),0)</f>
        <v/>
      </c>
      <c r="F161" s="56">
        <f>F160+E161</f>
        <v/>
      </c>
      <c r="G161" s="57" t="n">
        <v>1.69</v>
      </c>
      <c r="H161" s="57" t="n">
        <v>1</v>
      </c>
      <c r="I161" s="57" t="n">
        <v>1</v>
      </c>
      <c r="J161" s="92">
        <f>'Towers'!$G$18*G161*H161*I161</f>
        <v/>
      </c>
      <c r="K161" s="92">
        <f>IF(J161=0,0,F161/J161)</f>
        <v/>
      </c>
      <c r="L161" s="57" t="n">
        <v>1.1</v>
      </c>
      <c r="M161" s="43" t="inlineStr">
        <is>
          <t>Winch</t>
        </is>
      </c>
    </row>
    <row r="162">
      <c r="A162" s="43" t="inlineStr">
        <is>
          <t>Harpoon Ballista</t>
        </is>
      </c>
      <c r="B162" s="43" t="inlineStr">
        <is>
          <t>Reel</t>
        </is>
      </c>
      <c r="C162" s="43" t="inlineStr">
        <is>
          <t>control</t>
        </is>
      </c>
      <c r="D162" s="56" t="n">
        <v>3</v>
      </c>
      <c r="E162" s="56">
        <f>ROUND('Towers'!$C$18*POWER('Tuning'!$B$12,D162),0)</f>
        <v/>
      </c>
      <c r="F162" s="56">
        <f>F161+E162</f>
        <v/>
      </c>
      <c r="G162" s="57" t="n">
        <v>2.2</v>
      </c>
      <c r="H162" s="57" t="n">
        <v>1</v>
      </c>
      <c r="I162" s="57" t="n">
        <v>1</v>
      </c>
      <c r="J162" s="92">
        <f>'Towers'!$G$18*G162*H162*I162</f>
        <v/>
      </c>
      <c r="K162" s="92">
        <f>IF(J162=0,0,F162/J162)</f>
        <v/>
      </c>
      <c r="L162" s="57" t="n">
        <v>1.1</v>
      </c>
      <c r="M162" s="43" t="inlineStr">
        <is>
          <t>Pin Down</t>
        </is>
      </c>
      <c r="U162" s="81" t="n">
        <v>1</v>
      </c>
    </row>
    <row r="163">
      <c r="A163" s="43" t="inlineStr">
        <is>
          <t>Harpoon Ballista</t>
        </is>
      </c>
      <c r="B163" s="43" t="inlineStr">
        <is>
          <t>Reel</t>
        </is>
      </c>
      <c r="C163" s="43" t="inlineStr">
        <is>
          <t>control</t>
        </is>
      </c>
      <c r="D163" s="56" t="n">
        <v>4</v>
      </c>
      <c r="E163" s="56">
        <f>ROUND('Towers'!$C$18*POWER('Tuning'!$B$12,D163),0)</f>
        <v/>
      </c>
      <c r="F163" s="56">
        <f>F162+E163</f>
        <v/>
      </c>
      <c r="G163" s="57" t="n">
        <v>1.3</v>
      </c>
      <c r="H163" s="57" t="n">
        <v>1</v>
      </c>
      <c r="I163" s="57" t="n">
        <v>1</v>
      </c>
      <c r="J163" s="92">
        <f>J162*G163*H163*I163</f>
        <v/>
      </c>
      <c r="K163" s="92">
        <f>IF(J163=0,0,F163/J163)</f>
        <v/>
      </c>
      <c r="L163" s="57" t="n">
        <v>1</v>
      </c>
      <c r="M163" s="43" t="inlineStr">
        <is>
          <t>Reel In</t>
        </is>
      </c>
      <c r="U163" s="81" t="n"/>
      <c r="W163" s="81" t="n">
        <v>6</v>
      </c>
      <c r="CI163" s="81" t="inlineStr">
        <is>
          <t>A</t>
        </is>
      </c>
      <c r="CJ163" s="81" t="inlineStr">
        <is>
          <t>Drags the hit dino back along the track (not bosses)</t>
        </is>
      </c>
    </row>
    <row r="164">
      <c r="A164" s="43" t="inlineStr">
        <is>
          <t>Harpoon Ballista</t>
        </is>
      </c>
      <c r="B164" s="43" t="inlineStr">
        <is>
          <t>Reel</t>
        </is>
      </c>
      <c r="C164" s="43" t="inlineStr">
        <is>
          <t>control</t>
        </is>
      </c>
      <c r="D164" s="56" t="n">
        <v>5</v>
      </c>
      <c r="E164" s="56">
        <f>ROUND('Towers'!$C$18*POWER('Tuning'!$B$12,D164),0)</f>
        <v/>
      </c>
      <c r="F164" s="56">
        <f>F163+E164</f>
        <v/>
      </c>
      <c r="G164" s="57" t="n">
        <v>1.297202797203</v>
      </c>
      <c r="H164" s="57" t="n">
        <v>1</v>
      </c>
      <c r="I164" s="57" t="n">
        <v>1</v>
      </c>
      <c r="J164" s="92">
        <f>J163*G164*H164*I164</f>
        <v/>
      </c>
      <c r="K164" s="92">
        <f>IF(J164=0,0,F164/J164)</f>
        <v/>
      </c>
      <c r="L164" s="57" t="n">
        <v>1</v>
      </c>
      <c r="M164" s="43" t="inlineStr">
        <is>
          <t>Tow Line</t>
        </is>
      </c>
      <c r="U164" s="81" t="n"/>
      <c r="W164" s="81" t="n"/>
      <c r="CA164" s="81" t="inlineStr">
        <is>
          <t>Yes</t>
        </is>
      </c>
      <c r="CI164" s="81" t="inlineStr">
        <is>
          <t>A</t>
        </is>
      </c>
      <c r="CJ164" s="81" t="inlineStr">
        <is>
          <t>Every 15 seconds, pulls a boss back along the track</t>
        </is>
      </c>
    </row>
    <row r="165">
      <c r="A165" s="43" t="inlineStr">
        <is>
          <t>Harpoon Ballista</t>
        </is>
      </c>
      <c r="B165" s="43" t="inlineStr">
        <is>
          <t>Volley</t>
        </is>
      </c>
      <c r="C165" s="43" t="inlineStr">
        <is>
          <t>more bolts</t>
        </is>
      </c>
      <c r="D165" s="56" t="n">
        <v>1</v>
      </c>
      <c r="E165" s="56">
        <f>ROUND('Towers'!$C$18*POWER('Tuning'!$B$12,D165),0)</f>
        <v/>
      </c>
      <c r="F165" s="56">
        <f>'Towers'!$C$18+E165</f>
        <v/>
      </c>
      <c r="G165" s="57" t="n">
        <v>1</v>
      </c>
      <c r="H165" s="57" t="n">
        <v>1</v>
      </c>
      <c r="I165" s="57" t="n">
        <v>1</v>
      </c>
      <c r="J165" s="92">
        <f>'Towers'!$G$18*G165*H165*I165</f>
        <v/>
      </c>
      <c r="K165" s="92">
        <f>IF(J165=0,0,F165/J165)</f>
        <v/>
      </c>
      <c r="L165" s="57" t="n">
        <v>1</v>
      </c>
      <c r="M165" s="43" t="inlineStr">
        <is>
          <t>Twin Bolts</t>
        </is>
      </c>
      <c r="Q165" s="81" t="n">
        <v>2</v>
      </c>
    </row>
    <row r="166">
      <c r="A166" s="43" t="inlineStr">
        <is>
          <t>Harpoon Ballista</t>
        </is>
      </c>
      <c r="B166" s="43" t="inlineStr">
        <is>
          <t>Volley</t>
        </is>
      </c>
      <c r="C166" s="43" t="inlineStr">
        <is>
          <t>more bolts</t>
        </is>
      </c>
      <c r="D166" s="56" t="n">
        <v>2</v>
      </c>
      <c r="E166" s="56">
        <f>ROUND('Towers'!$C$18*POWER('Tuning'!$B$12,D166),0)</f>
        <v/>
      </c>
      <c r="F166" s="56">
        <f>F165+E166</f>
        <v/>
      </c>
      <c r="G166" s="57" t="n">
        <v>1</v>
      </c>
      <c r="H166" s="57" t="n">
        <v>1.9</v>
      </c>
      <c r="I166" s="57" t="n">
        <v>1</v>
      </c>
      <c r="J166" s="92">
        <f>'Towers'!$G$18*G166*H166*I166</f>
        <v/>
      </c>
      <c r="K166" s="92">
        <f>IF(J166=0,0,F166/J166)</f>
        <v/>
      </c>
      <c r="L166" s="57" t="n">
        <v>1</v>
      </c>
      <c r="M166" s="43" t="inlineStr">
        <is>
          <t>Fast Crank</t>
        </is>
      </c>
      <c r="Q166" s="81" t="n">
        <v>2</v>
      </c>
    </row>
    <row r="167">
      <c r="A167" s="43" t="inlineStr">
        <is>
          <t>Harpoon Ballista</t>
        </is>
      </c>
      <c r="B167" s="43" t="inlineStr">
        <is>
          <t>Volley</t>
        </is>
      </c>
      <c r="C167" s="43" t="inlineStr">
        <is>
          <t>more bolts</t>
        </is>
      </c>
      <c r="D167" s="56" t="n">
        <v>3</v>
      </c>
      <c r="E167" s="56">
        <f>ROUND('Towers'!$C$18*POWER('Tuning'!$B$12,D167),0)</f>
        <v/>
      </c>
      <c r="F167" s="56">
        <f>F166+E167</f>
        <v/>
      </c>
      <c r="G167" s="57" t="n">
        <v>1.2</v>
      </c>
      <c r="H167" s="57" t="n">
        <v>1.9</v>
      </c>
      <c r="I167" s="57" t="n">
        <v>1</v>
      </c>
      <c r="J167" s="92">
        <f>'Towers'!$G$18*G167*H167*I167</f>
        <v/>
      </c>
      <c r="K167" s="92">
        <f>IF(J167=0,0,F167/J167)</f>
        <v/>
      </c>
      <c r="L167" s="57" t="n">
        <v>1</v>
      </c>
      <c r="M167" s="43" t="inlineStr">
        <is>
          <t>Spread Volley</t>
        </is>
      </c>
      <c r="Q167" s="81" t="n">
        <v>3</v>
      </c>
    </row>
    <row r="168">
      <c r="A168" s="43" t="inlineStr">
        <is>
          <t>Harpoon Ballista</t>
        </is>
      </c>
      <c r="B168" s="43" t="inlineStr">
        <is>
          <t>Volley</t>
        </is>
      </c>
      <c r="C168" s="43" t="inlineStr">
        <is>
          <t>more bolts</t>
        </is>
      </c>
      <c r="D168" s="56" t="n">
        <v>4</v>
      </c>
      <c r="E168" s="56">
        <f>ROUND('Towers'!$C$18*POWER('Tuning'!$B$12,D168),0)</f>
        <v/>
      </c>
      <c r="F168" s="56">
        <f>F167+E168</f>
        <v/>
      </c>
      <c r="G168" s="57" t="n">
        <v>1</v>
      </c>
      <c r="H168" s="57" t="n">
        <v>2</v>
      </c>
      <c r="I168" s="57" t="n">
        <v>1</v>
      </c>
      <c r="J168" s="92">
        <f>J167*G168*H168*I168</f>
        <v/>
      </c>
      <c r="K168" s="92">
        <f>IF(J168=0,0,F168/J168)</f>
        <v/>
      </c>
      <c r="L168" s="57" t="n">
        <v>1</v>
      </c>
      <c r="M168" s="43" t="inlineStr">
        <is>
          <t>Steam Crank</t>
        </is>
      </c>
      <c r="Q168" s="81" t="n"/>
      <c r="CI168" s="81" t="inlineStr">
        <is>
          <t>A</t>
        </is>
      </c>
      <c r="CJ168" s="81" t="inlineStr">
        <is>
          <t>Fires twice as fast</t>
        </is>
      </c>
    </row>
    <row r="169">
      <c r="A169" s="43" t="inlineStr">
        <is>
          <t>Harpoon Ballista</t>
        </is>
      </c>
      <c r="B169" s="43" t="inlineStr">
        <is>
          <t>Volley</t>
        </is>
      </c>
      <c r="C169" s="43" t="inlineStr">
        <is>
          <t>more bolts</t>
        </is>
      </c>
      <c r="D169" s="56" t="n">
        <v>5</v>
      </c>
      <c r="E169" s="56">
        <f>ROUND('Towers'!$C$18*POWER('Tuning'!$B$12,D169),0)</f>
        <v/>
      </c>
      <c r="F169" s="56">
        <f>F168+E169</f>
        <v/>
      </c>
      <c r="G169" s="57" t="n">
        <v>1.333333333333</v>
      </c>
      <c r="H169" s="57" t="n">
        <v>1</v>
      </c>
      <c r="I169" s="57" t="n">
        <v>1</v>
      </c>
      <c r="J169" s="92">
        <f>J168*G169*H169*I169</f>
        <v/>
      </c>
      <c r="K169" s="92">
        <f>IF(J169=0,0,F169/J169)</f>
        <v/>
      </c>
      <c r="L169" s="57" t="n">
        <v>1</v>
      </c>
      <c r="M169" s="43" t="inlineStr">
        <is>
          <t>Chain Harpoons</t>
        </is>
      </c>
      <c r="Q169" s="81" t="n">
        <v>4</v>
      </c>
      <c r="CB169" s="81" t="inlineStr">
        <is>
          <t>Yes</t>
        </is>
      </c>
      <c r="CI169" s="81" t="inlineStr">
        <is>
          <t>A</t>
        </is>
      </c>
      <c r="CJ169" s="81" t="inlineStr">
        <is>
          <t>Chained bolt pairs hit every dino between them</t>
        </is>
      </c>
    </row>
    <row r="170">
      <c r="A170" s="43" t="inlineStr">
        <is>
          <t>Hunting Blind</t>
        </is>
      </c>
      <c r="B170" s="43" t="inlineStr">
        <is>
          <t>Lookout</t>
        </is>
      </c>
      <c r="C170" s="43" t="inlineStr">
        <is>
          <t>range</t>
        </is>
      </c>
      <c r="D170" s="56" t="n">
        <v>4</v>
      </c>
      <c r="E170" s="56">
        <f>E8</f>
        <v/>
      </c>
      <c r="F170" s="56">
        <f>F8</f>
        <v/>
      </c>
      <c r="G170" s="57" t="n">
        <v>1.15</v>
      </c>
      <c r="H170" s="57" t="n">
        <v>1</v>
      </c>
      <c r="I170" s="57" t="n">
        <v>1</v>
      </c>
      <c r="J170" s="92" t="n"/>
      <c r="K170" s="92" t="n"/>
      <c r="L170" s="57" t="n">
        <v>1</v>
      </c>
      <c r="M170" s="43" t="inlineStr">
        <is>
          <t>Signal Mirror</t>
        </is>
      </c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  <c r="Z170" s="57" t="n"/>
      <c r="AA170" s="57" t="n"/>
      <c r="AB170" s="57" t="n">
        <v>18</v>
      </c>
      <c r="AC170" s="57" t="n"/>
      <c r="AD170" s="57" t="n"/>
      <c r="AE170" s="57" t="n"/>
      <c r="AF170" s="57" t="n"/>
      <c r="AG170" s="57" t="n"/>
      <c r="AH170" s="57" t="n"/>
      <c r="AI170" s="57" t="n"/>
      <c r="AJ170" s="57" t="n"/>
      <c r="AK170" s="57" t="n"/>
      <c r="AL170" s="57" t="n"/>
      <c r="AM170" s="57" t="n"/>
      <c r="AN170" s="57" t="n"/>
      <c r="AO170" s="57" t="n"/>
      <c r="AP170" s="57" t="n"/>
      <c r="AQ170" s="57" t="n"/>
      <c r="AR170" s="57" t="n"/>
      <c r="AS170" s="57" t="n"/>
      <c r="AT170" s="57" t="n"/>
      <c r="CI170" s="81" t="inlineStr">
        <is>
          <t>B</t>
        </is>
      </c>
      <c r="CJ170" s="81" t="inlineStr">
        <is>
          <t>Towers in range fire 18% faster</t>
        </is>
      </c>
    </row>
    <row r="171">
      <c r="A171" s="43" t="inlineStr">
        <is>
          <t>Hunting Blind</t>
        </is>
      </c>
      <c r="B171" s="43" t="inlineStr">
        <is>
          <t>Lookout</t>
        </is>
      </c>
      <c r="C171" s="43" t="inlineStr">
        <is>
          <t>range</t>
        </is>
      </c>
      <c r="D171" s="56" t="n">
        <v>4</v>
      </c>
      <c r="E171" s="56">
        <f>E8</f>
        <v/>
      </c>
      <c r="F171" s="56">
        <f>F8</f>
        <v/>
      </c>
      <c r="G171" s="57" t="n">
        <v>1.2</v>
      </c>
      <c r="H171" s="57" t="n">
        <v>1</v>
      </c>
      <c r="I171" s="57" t="n">
        <v>1</v>
      </c>
      <c r="J171" s="92" t="n"/>
      <c r="K171" s="92" t="n"/>
      <c r="L171" s="57" t="n">
        <v>1.1</v>
      </c>
      <c r="M171" s="43" t="inlineStr">
        <is>
          <t>Spotter's Call</t>
        </is>
      </c>
      <c r="N171" s="57" t="n"/>
      <c r="O171" s="57" t="n"/>
      <c r="P171" s="57" t="n"/>
      <c r="Q171" s="57" t="n"/>
      <c r="R171" s="57" t="n"/>
      <c r="S171" s="57" t="n"/>
      <c r="T171" s="57" t="n">
        <v>15</v>
      </c>
      <c r="U171" s="57" t="n"/>
      <c r="V171" s="57" t="n"/>
      <c r="W171" s="57" t="n"/>
      <c r="X171" s="57" t="n"/>
      <c r="Y171" s="57" t="n"/>
      <c r="Z171" s="57" t="n"/>
      <c r="AA171" s="57" t="n"/>
      <c r="AB171" s="57" t="n"/>
      <c r="AC171" s="57" t="n"/>
      <c r="AD171" s="57" t="n"/>
      <c r="AE171" s="57" t="n"/>
      <c r="AF171" s="57" t="n"/>
      <c r="AG171" s="57" t="n"/>
      <c r="AH171" s="57" t="n"/>
      <c r="AI171" s="57" t="n"/>
      <c r="AJ171" s="57" t="n"/>
      <c r="AK171" s="57" t="n"/>
      <c r="AL171" s="57" t="n"/>
      <c r="AM171" s="57" t="n"/>
      <c r="AN171" s="57" t="n"/>
      <c r="AO171" s="57" t="n"/>
      <c r="AP171" s="57" t="n"/>
      <c r="AQ171" s="57" t="n"/>
      <c r="AR171" s="57" t="n"/>
      <c r="AS171" s="57" t="n"/>
      <c r="AT171" s="57" t="n"/>
      <c r="CI171" s="81" t="inlineStr">
        <is>
          <t>C</t>
        </is>
      </c>
      <c r="CJ171" s="81" t="inlineStr">
        <is>
          <t>Its target takes +15% from every tower</t>
        </is>
      </c>
    </row>
    <row r="172">
      <c r="A172" s="43" t="inlineStr">
        <is>
          <t>Hunting Blind</t>
        </is>
      </c>
      <c r="B172" s="43" t="inlineStr">
        <is>
          <t>Lookout</t>
        </is>
      </c>
      <c r="C172" s="43" t="inlineStr">
        <is>
          <t>range</t>
        </is>
      </c>
      <c r="D172" s="56" t="n">
        <v>5</v>
      </c>
      <c r="E172" s="56">
        <f>E9</f>
        <v/>
      </c>
      <c r="F172" s="56">
        <f>F9</f>
        <v/>
      </c>
      <c r="G172" s="57" t="n">
        <v>1.4</v>
      </c>
      <c r="H172" s="57" t="n">
        <v>1</v>
      </c>
      <c r="I172" s="57" t="n">
        <v>1</v>
      </c>
      <c r="J172" s="92" t="n"/>
      <c r="K172" s="92" t="n"/>
      <c r="L172" s="57" t="n">
        <v>1.15</v>
      </c>
      <c r="M172" s="43" t="inlineStr">
        <is>
          <t>Beacon Fire</t>
        </is>
      </c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  <c r="Z172" s="57" t="n"/>
      <c r="AA172" s="57" t="n"/>
      <c r="AB172" s="57" t="n">
        <v>35</v>
      </c>
      <c r="AC172" s="57" t="n"/>
      <c r="AD172" s="46" t="n"/>
      <c r="AE172" s="57" t="n"/>
      <c r="AF172" s="57" t="n"/>
      <c r="AG172" s="57" t="n"/>
      <c r="AH172" s="57" t="n"/>
      <c r="AI172" s="57" t="n"/>
      <c r="AJ172" s="57" t="n"/>
      <c r="AK172" s="57" t="n"/>
      <c r="AL172" s="57" t="n"/>
      <c r="AM172" s="57" t="n"/>
      <c r="AN172" s="57" t="n"/>
      <c r="AO172" s="57" t="n"/>
      <c r="AP172" s="57" t="n"/>
      <c r="AQ172" s="57" t="n"/>
      <c r="AR172" s="57" t="n"/>
      <c r="AS172" s="57" t="n"/>
      <c r="AT172" s="57" t="n"/>
      <c r="CI172" s="81" t="inlineStr">
        <is>
          <t>B</t>
        </is>
      </c>
      <c r="CJ172" s="81" t="inlineStr">
        <is>
          <t>Towers in range fire 35% faster</t>
        </is>
      </c>
    </row>
    <row r="173">
      <c r="A173" s="43" t="inlineStr">
        <is>
          <t>Hunting Blind</t>
        </is>
      </c>
      <c r="B173" s="43" t="inlineStr">
        <is>
          <t>Lookout</t>
        </is>
      </c>
      <c r="C173" s="43" t="inlineStr">
        <is>
          <t>range</t>
        </is>
      </c>
      <c r="D173" s="56" t="n">
        <v>5</v>
      </c>
      <c r="E173" s="56">
        <f>E9</f>
        <v/>
      </c>
      <c r="F173" s="56">
        <f>F9</f>
        <v/>
      </c>
      <c r="G173" s="57" t="n">
        <v>1.55</v>
      </c>
      <c r="H173" s="57" t="n">
        <v>1</v>
      </c>
      <c r="I173" s="57" t="n">
        <v>1</v>
      </c>
      <c r="J173" s="92" t="n"/>
      <c r="K173" s="92" t="n"/>
      <c r="L173" s="57" t="n">
        <v>1.1</v>
      </c>
      <c r="M173" s="43" t="inlineStr">
        <is>
          <t>Trophy Spotter</t>
        </is>
      </c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  <c r="Z173" s="57" t="n"/>
      <c r="AA173" s="57" t="n"/>
      <c r="AB173" s="57" t="n"/>
      <c r="AC173" s="57" t="n"/>
      <c r="AD173" s="46" t="n"/>
      <c r="AE173" s="57" t="n"/>
      <c r="AF173" s="57" t="n"/>
      <c r="AG173" s="57" t="n"/>
      <c r="AH173" s="57" t="n"/>
      <c r="AI173" s="57" t="n"/>
      <c r="AJ173" s="57" t="n"/>
      <c r="AK173" s="57" t="n"/>
      <c r="AL173" s="57" t="n"/>
      <c r="AM173" s="57" t="n"/>
      <c r="AN173" s="57" t="n"/>
      <c r="AO173" s="57" t="n"/>
      <c r="AP173" s="57" t="n"/>
      <c r="AQ173" s="57" t="n"/>
      <c r="AR173" s="57" t="n"/>
      <c r="AS173" s="57" t="n"/>
      <c r="AT173" s="57" t="n"/>
      <c r="BX173" t="n">
        <v>40</v>
      </c>
      <c r="CI173" s="81" t="inlineStr">
        <is>
          <t>C</t>
        </is>
      </c>
      <c r="CJ173" s="81" t="inlineStr">
        <is>
          <t>Bosses in range take +40% from everything</t>
        </is>
      </c>
    </row>
    <row r="174">
      <c r="A174" s="43" t="inlineStr">
        <is>
          <t>Hunting Blind</t>
        </is>
      </c>
      <c r="B174" s="43" t="inlineStr">
        <is>
          <t>Trigger Happy</t>
        </is>
      </c>
      <c r="C174" s="43" t="inlineStr">
        <is>
          <t>rate</t>
        </is>
      </c>
      <c r="D174" s="56" t="n">
        <v>4</v>
      </c>
      <c r="E174" s="56">
        <f>E13</f>
        <v/>
      </c>
      <c r="F174" s="56">
        <f>F13</f>
        <v/>
      </c>
      <c r="G174" s="57" t="n">
        <v>1.05</v>
      </c>
      <c r="H174" s="57" t="n">
        <v>1.45</v>
      </c>
      <c r="I174" s="57" t="n">
        <v>1</v>
      </c>
      <c r="J174" s="92" t="n"/>
      <c r="K174" s="92" t="n"/>
      <c r="L174" s="57" t="n">
        <v>1</v>
      </c>
      <c r="M174" s="43" t="inlineStr">
        <is>
          <t>Belt Feed</t>
        </is>
      </c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  <c r="Z174" s="57" t="n"/>
      <c r="AA174" s="57" t="n"/>
      <c r="AB174" s="57" t="n"/>
      <c r="AC174" s="57" t="n"/>
      <c r="AD174" s="57" t="n"/>
      <c r="AE174" s="57" t="n"/>
      <c r="AF174" s="57" t="n"/>
      <c r="AG174" s="57" t="n"/>
      <c r="AH174" s="57" t="n"/>
      <c r="AI174" s="57" t="n"/>
      <c r="AJ174" s="57" t="n"/>
      <c r="AK174" s="57" t="n"/>
      <c r="AL174" s="57" t="n"/>
      <c r="AM174" s="57" t="n"/>
      <c r="AN174" s="57" t="n"/>
      <c r="AO174" s="57" t="n"/>
      <c r="AP174" s="57" t="n"/>
      <c r="AQ174" s="57" t="n"/>
      <c r="AR174" s="57" t="n"/>
      <c r="AS174" s="57" t="n"/>
      <c r="AT174" s="57" t="n"/>
      <c r="CI174" s="81" t="inlineStr">
        <is>
          <t>B</t>
        </is>
      </c>
      <c r="CJ174" s="81" t="inlineStr">
        <is>
          <t>Never stops to reload: fires 45% faster</t>
        </is>
      </c>
    </row>
    <row r="175">
      <c r="A175" s="43" t="inlineStr">
        <is>
          <t>Hunting Blind</t>
        </is>
      </c>
      <c r="B175" s="43" t="inlineStr">
        <is>
          <t>Trigger Happy</t>
        </is>
      </c>
      <c r="C175" s="43" t="inlineStr">
        <is>
          <t>rate</t>
        </is>
      </c>
      <c r="D175" s="56" t="n">
        <v>4</v>
      </c>
      <c r="E175" s="56">
        <f>E13</f>
        <v/>
      </c>
      <c r="F175" s="56">
        <f>F13</f>
        <v/>
      </c>
      <c r="G175" s="57" t="n">
        <v>1.2</v>
      </c>
      <c r="H175" s="57" t="n">
        <v>1.55</v>
      </c>
      <c r="I175" s="57" t="n">
        <v>1</v>
      </c>
      <c r="J175" s="92" t="n"/>
      <c r="K175" s="92" t="n"/>
      <c r="L175" s="57" t="n">
        <v>1.25</v>
      </c>
      <c r="M175" s="43" t="inlineStr">
        <is>
          <t>Long Burst</t>
        </is>
      </c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  <c r="Z175" s="57" t="n"/>
      <c r="AA175" s="57" t="n"/>
      <c r="AB175" s="57" t="n"/>
      <c r="AC175" s="57" t="n"/>
      <c r="AD175" s="57" t="n"/>
      <c r="AE175" s="57" t="n"/>
      <c r="AF175" s="57" t="n"/>
      <c r="AG175" s="57" t="n"/>
      <c r="AH175" s="57" t="n"/>
      <c r="AI175" s="57" t="n"/>
      <c r="AJ175" s="57" t="n"/>
      <c r="AK175" s="57" t="n"/>
      <c r="AL175" s="57" t="n"/>
      <c r="AM175" s="57" t="n"/>
      <c r="AN175" s="57" t="n"/>
      <c r="AO175" s="57" t="n"/>
      <c r="AP175" s="57" t="n"/>
      <c r="AQ175" s="57" t="n"/>
      <c r="AR175" s="57" t="n"/>
      <c r="AS175" s="57" t="n"/>
      <c r="AT175" s="57" t="n"/>
      <c r="CI175" s="81" t="inlineStr">
        <is>
          <t>C</t>
        </is>
      </c>
      <c r="CJ175" s="81" t="inlineStr">
        <is>
          <t>Fires faster from further away</t>
        </is>
      </c>
    </row>
    <row r="176">
      <c r="A176" s="43" t="inlineStr">
        <is>
          <t>Hunting Blind</t>
        </is>
      </c>
      <c r="B176" s="43" t="inlineStr">
        <is>
          <t>Trigger Happy</t>
        </is>
      </c>
      <c r="C176" s="43" t="inlineStr">
        <is>
          <t>rate</t>
        </is>
      </c>
      <c r="D176" s="56" t="n">
        <v>5</v>
      </c>
      <c r="E176" s="56">
        <f>E14</f>
        <v/>
      </c>
      <c r="F176" s="56">
        <f>F14</f>
        <v/>
      </c>
      <c r="G176" s="57" t="n">
        <v>0.8</v>
      </c>
      <c r="H176" s="57" t="n">
        <v>1</v>
      </c>
      <c r="I176" s="57" t="n">
        <v>1</v>
      </c>
      <c r="J176" s="92" t="n"/>
      <c r="K176" s="92" t="n"/>
      <c r="L176" s="57" t="n">
        <v>1</v>
      </c>
      <c r="M176" s="43" t="inlineStr">
        <is>
          <t>Bullet Storm</t>
        </is>
      </c>
      <c r="N176" s="57" t="n"/>
      <c r="O176" s="57" t="n"/>
      <c r="P176" s="57" t="n"/>
      <c r="Q176" s="57" t="n"/>
      <c r="R176" s="57" t="n">
        <v>4</v>
      </c>
      <c r="S176" s="57" t="n"/>
      <c r="T176" s="57" t="n"/>
      <c r="U176" s="57" t="n"/>
      <c r="V176" s="57" t="n"/>
      <c r="W176" s="57" t="n"/>
      <c r="X176" s="57" t="n"/>
      <c r="Y176" s="57" t="n"/>
      <c r="Z176" s="57" t="n"/>
      <c r="AA176" s="57" t="n"/>
      <c r="AB176" s="57" t="n"/>
      <c r="AC176" s="57" t="n"/>
      <c r="AD176" s="57" t="n"/>
      <c r="AE176" s="57" t="n"/>
      <c r="AF176" s="57" t="n"/>
      <c r="AG176" s="57" t="n"/>
      <c r="AH176" s="57" t="n"/>
      <c r="AI176" s="57" t="n"/>
      <c r="AJ176" s="57" t="n"/>
      <c r="AK176" s="57" t="n"/>
      <c r="AL176" s="57" t="n"/>
      <c r="AM176" s="57" t="n"/>
      <c r="AN176" s="57" t="n"/>
      <c r="AO176" s="57" t="n"/>
      <c r="AP176" s="57" t="n"/>
      <c r="AQ176" s="57" t="n"/>
      <c r="AR176" s="57" t="n"/>
      <c r="AS176" s="57" t="n"/>
      <c r="AT176" s="57" t="n"/>
      <c r="CI176" s="81" t="inlineStr">
        <is>
          <t>B</t>
        </is>
      </c>
      <c r="CJ176" s="81" t="inlineStr">
        <is>
          <t>Lighter bullets go through 4 dinos</t>
        </is>
      </c>
    </row>
    <row r="177">
      <c r="A177" s="43" t="inlineStr">
        <is>
          <t>Hunting Blind</t>
        </is>
      </c>
      <c r="B177" s="43" t="inlineStr">
        <is>
          <t>Trigger Happy</t>
        </is>
      </c>
      <c r="C177" s="43" t="inlineStr">
        <is>
          <t>rate</t>
        </is>
      </c>
      <c r="D177" s="56" t="n">
        <v>5</v>
      </c>
      <c r="E177" s="56">
        <f>E14</f>
        <v/>
      </c>
      <c r="F177" s="56">
        <f>F14</f>
        <v/>
      </c>
      <c r="G177" s="57" t="n">
        <v>1.7</v>
      </c>
      <c r="H177" s="57" t="n">
        <v>1.35</v>
      </c>
      <c r="I177" s="57" t="n">
        <v>1</v>
      </c>
      <c r="J177" s="92" t="n"/>
      <c r="K177" s="92" t="n"/>
      <c r="L177" s="57" t="n">
        <v>1</v>
      </c>
      <c r="M177" s="43" t="inlineStr">
        <is>
          <t>Shredder</t>
        </is>
      </c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  <c r="Z177" s="57" t="n"/>
      <c r="AA177" s="57" t="n"/>
      <c r="AB177" s="57" t="n"/>
      <c r="AC177" s="57" t="n"/>
      <c r="AD177" s="57" t="n"/>
      <c r="AE177" s="57" t="n"/>
      <c r="AF177" s="57" t="n"/>
      <c r="AG177" s="57" t="n"/>
      <c r="AH177" s="57" t="n"/>
      <c r="AI177" s="57" t="n"/>
      <c r="AJ177" s="57" t="n"/>
      <c r="AK177" s="57" t="n"/>
      <c r="AL177" s="57" t="n"/>
      <c r="AM177" s="57" t="inlineStr">
        <is>
          <t>Yes</t>
        </is>
      </c>
      <c r="AN177" s="57" t="n"/>
      <c r="AO177" s="57" t="n"/>
      <c r="AP177" s="57" t="n"/>
      <c r="AQ177" s="57" t="n"/>
      <c r="AR177" s="57" t="n"/>
      <c r="AS177" s="57" t="n"/>
      <c r="AT177" s="57" t="n"/>
      <c r="CI177" s="81" t="inlineStr">
        <is>
          <t>C</t>
        </is>
      </c>
      <c r="CJ177" s="81" t="inlineStr">
        <is>
          <t>The hail of bullets strips armour</t>
        </is>
      </c>
    </row>
    <row r="178">
      <c r="A178" s="43" t="inlineStr">
        <is>
          <t>Hunting Blind</t>
        </is>
      </c>
      <c r="B178" s="43" t="inlineStr">
        <is>
          <t>Hardliner</t>
        </is>
      </c>
      <c r="C178" s="43" t="inlineStr">
        <is>
          <t>damage</t>
        </is>
      </c>
      <c r="D178" s="56" t="n">
        <v>4</v>
      </c>
      <c r="E178" s="56">
        <f>E18</f>
        <v/>
      </c>
      <c r="F178" s="56">
        <f>F18</f>
        <v/>
      </c>
      <c r="G178" s="57" t="n">
        <v>2.7</v>
      </c>
      <c r="H178" s="57" t="n">
        <v>1</v>
      </c>
      <c r="I178" s="57" t="n">
        <v>1</v>
      </c>
      <c r="J178" s="92" t="n"/>
      <c r="K178" s="92" t="n"/>
      <c r="L178" s="57" t="n">
        <v>1</v>
      </c>
      <c r="M178" s="43" t="inlineStr">
        <is>
          <t>Cracking Shot</t>
        </is>
      </c>
      <c r="N178" s="46" t="n"/>
      <c r="O178" s="57" t="n"/>
      <c r="P178" s="57" t="n"/>
      <c r="Q178" s="57" t="n"/>
      <c r="R178" s="57" t="n">
        <v>2</v>
      </c>
      <c r="S178" s="57" t="n"/>
      <c r="T178" s="57" t="n"/>
      <c r="U178" s="57" t="n"/>
      <c r="V178" s="57" t="n"/>
      <c r="W178" s="57" t="n"/>
      <c r="X178" s="57" t="n"/>
      <c r="Y178" s="57" t="n"/>
      <c r="Z178" s="57" t="n"/>
      <c r="AA178" s="57" t="n"/>
      <c r="AB178" s="57" t="n"/>
      <c r="AC178" s="57" t="n"/>
      <c r="AD178" s="57" t="n"/>
      <c r="AE178" s="57" t="n"/>
      <c r="AF178" s="57" t="n"/>
      <c r="AG178" s="57" t="n"/>
      <c r="AH178" s="57" t="n"/>
      <c r="AI178" s="57" t="n"/>
      <c r="AJ178" s="57" t="n"/>
      <c r="AK178" s="57" t="n"/>
      <c r="AL178" s="57" t="n"/>
      <c r="AM178" s="57" t="inlineStr">
        <is>
          <t>Yes</t>
        </is>
      </c>
      <c r="AN178" s="57" t="n"/>
      <c r="AO178" s="57" t="n"/>
      <c r="AP178" s="57" t="n"/>
      <c r="AQ178" s="57" t="n"/>
      <c r="AR178" s="57" t="n"/>
      <c r="AS178" s="57" t="n"/>
      <c r="AT178" s="57" t="n"/>
      <c r="BJ178" s="105" t="n"/>
      <c r="CI178" s="81" t="inlineStr">
        <is>
          <t>B</t>
        </is>
      </c>
      <c r="CJ178" s="81" t="inlineStr">
        <is>
          <t>Goes through 2 dinos and strips their armour</t>
        </is>
      </c>
    </row>
    <row r="179">
      <c r="A179" s="43" t="inlineStr">
        <is>
          <t>Hunting Blind</t>
        </is>
      </c>
      <c r="B179" s="43" t="inlineStr">
        <is>
          <t>Hardliner</t>
        </is>
      </c>
      <c r="C179" s="43" t="inlineStr">
        <is>
          <t>damage</t>
        </is>
      </c>
      <c r="D179" s="56" t="n">
        <v>4</v>
      </c>
      <c r="E179" s="56">
        <f>E18</f>
        <v/>
      </c>
      <c r="F179" s="56">
        <f>F18</f>
        <v/>
      </c>
      <c r="G179" s="57" t="n">
        <v>2.6</v>
      </c>
      <c r="H179" s="57" t="n">
        <v>1</v>
      </c>
      <c r="I179" s="57" t="n">
        <v>1</v>
      </c>
      <c r="J179" s="92" t="n"/>
      <c r="K179" s="92" t="n"/>
      <c r="L179" s="57" t="n">
        <v>1</v>
      </c>
      <c r="M179" s="43" t="inlineStr">
        <is>
          <t>Heavy Slug</t>
        </is>
      </c>
      <c r="N179" s="46" t="n"/>
      <c r="O179" s="57" t="n"/>
      <c r="P179" s="57" t="n"/>
      <c r="Q179" s="57" t="n"/>
      <c r="R179" s="57" t="n">
        <v>2</v>
      </c>
      <c r="S179" s="57" t="n"/>
      <c r="T179" s="57" t="n"/>
      <c r="U179" s="57" t="n"/>
      <c r="V179" s="57" t="n"/>
      <c r="W179" s="57" t="n"/>
      <c r="X179" s="57" t="n"/>
      <c r="Y179" s="57" t="n"/>
      <c r="Z179" s="57" t="n"/>
      <c r="AA179" s="57" t="n"/>
      <c r="AB179" s="57" t="n"/>
      <c r="AC179" s="57" t="n"/>
      <c r="AD179" s="57" t="n"/>
      <c r="AE179" s="57" t="n"/>
      <c r="AF179" s="57" t="n"/>
      <c r="AG179" s="57" t="n"/>
      <c r="AH179" s="57" t="n"/>
      <c r="AI179" s="57" t="n"/>
      <c r="AJ179" s="57" t="n"/>
      <c r="AK179" s="57" t="n"/>
      <c r="AL179" s="57" t="n"/>
      <c r="AM179" s="57" t="n"/>
      <c r="AN179" s="57" t="n"/>
      <c r="AO179" s="57" t="n"/>
      <c r="AP179" s="57" t="n"/>
      <c r="AQ179" s="57" t="n"/>
      <c r="AR179" s="57" t="n"/>
      <c r="AS179" s="57" t="n"/>
      <c r="AT179" s="57" t="n"/>
      <c r="BJ179" s="105" t="n">
        <v>3</v>
      </c>
      <c r="CI179" s="81" t="inlineStr">
        <is>
          <t>C</t>
        </is>
      </c>
      <c r="CJ179" s="81" t="inlineStr">
        <is>
          <t>Goes through 2 dinos, shrinking each 3 sizes</t>
        </is>
      </c>
    </row>
    <row r="180">
      <c r="A180" s="43" t="inlineStr">
        <is>
          <t>Hunting Blind</t>
        </is>
      </c>
      <c r="B180" s="43" t="inlineStr">
        <is>
          <t>Hardliner</t>
        </is>
      </c>
      <c r="C180" s="43" t="inlineStr">
        <is>
          <t>damage</t>
        </is>
      </c>
      <c r="D180" s="56" t="n">
        <v>5</v>
      </c>
      <c r="E180" s="56">
        <f>E19</f>
        <v/>
      </c>
      <c r="F180" s="56">
        <f>F19</f>
        <v/>
      </c>
      <c r="G180" s="57" t="n">
        <v>4.6</v>
      </c>
      <c r="H180" s="57" t="n">
        <v>1</v>
      </c>
      <c r="I180" s="57" t="n">
        <v>1</v>
      </c>
      <c r="J180" s="92" t="n"/>
      <c r="K180" s="92" t="n"/>
      <c r="L180" s="57" t="n">
        <v>1</v>
      </c>
      <c r="M180" s="43" t="inlineStr">
        <is>
          <t>Jolt Rounds</t>
        </is>
      </c>
      <c r="N180" s="46" t="n"/>
      <c r="O180" s="57" t="n">
        <v>2</v>
      </c>
      <c r="P180" s="57" t="n"/>
      <c r="Q180" s="57" t="n"/>
      <c r="R180" s="57" t="n"/>
      <c r="S180" s="57" t="n"/>
      <c r="T180" s="57" t="n"/>
      <c r="U180" s="57" t="n">
        <v>0.3</v>
      </c>
      <c r="V180" s="57" t="n"/>
      <c r="W180" s="57" t="n"/>
      <c r="X180" s="57" t="n"/>
      <c r="Y180" s="57" t="n"/>
      <c r="Z180" s="57" t="n"/>
      <c r="AA180" s="57" t="n"/>
      <c r="AB180" s="57" t="n"/>
      <c r="AC180" s="57" t="n"/>
      <c r="AD180" s="57" t="n"/>
      <c r="AE180" s="57" t="n"/>
      <c r="AF180" s="57" t="n"/>
      <c r="AG180" s="57" t="n"/>
      <c r="AH180" s="57" t="n"/>
      <c r="AI180" s="57" t="n"/>
      <c r="AJ180" s="57" t="n"/>
      <c r="AK180" s="57" t="n"/>
      <c r="AL180" s="57" t="n"/>
      <c r="AM180" s="57" t="n"/>
      <c r="AN180" s="57" t="n"/>
      <c r="AO180" s="57" t="n"/>
      <c r="AP180" s="57" t="n"/>
      <c r="AQ180" s="57" t="n"/>
      <c r="AR180" s="57" t="n"/>
      <c r="AS180" s="57" t="n"/>
      <c r="AT180" s="57" t="n"/>
      <c r="BJ180" s="105" t="n"/>
      <c r="CI180" s="81" t="inlineStr">
        <is>
          <t>B</t>
        </is>
      </c>
      <c r="CJ180" s="81" t="inlineStr">
        <is>
          <t>Hits jolt dinos still for a moment</t>
        </is>
      </c>
    </row>
    <row r="181">
      <c r="A181" s="43" t="inlineStr">
        <is>
          <t>Hunting Blind</t>
        </is>
      </c>
      <c r="B181" s="43" t="inlineStr">
        <is>
          <t>Hardliner</t>
        </is>
      </c>
      <c r="C181" s="43" t="inlineStr">
        <is>
          <t>damage</t>
        </is>
      </c>
      <c r="D181" s="56" t="n">
        <v>5</v>
      </c>
      <c r="E181" s="56">
        <f>E19</f>
        <v/>
      </c>
      <c r="F181" s="56">
        <f>F19</f>
        <v/>
      </c>
      <c r="G181" s="57" t="n">
        <v>1.5</v>
      </c>
      <c r="H181" s="57" t="n">
        <v>1</v>
      </c>
      <c r="I181" s="57" t="n">
        <v>1</v>
      </c>
      <c r="J181" s="92" t="n"/>
      <c r="K181" s="92" t="n"/>
      <c r="L181" s="57" t="n">
        <v>1</v>
      </c>
      <c r="M181" s="43" t="inlineStr">
        <is>
          <t>Rail Lance</t>
        </is>
      </c>
      <c r="N181" s="46" t="n"/>
      <c r="O181" s="57" t="n">
        <v>1.5</v>
      </c>
      <c r="P181" s="57" t="n"/>
      <c r="Q181" s="57" t="n"/>
      <c r="R181" s="57" t="n">
        <v>6</v>
      </c>
      <c r="S181" s="57" t="n"/>
      <c r="T181" s="57" t="n"/>
      <c r="U181" s="57" t="n"/>
      <c r="V181" s="57" t="n"/>
      <c r="W181" s="57" t="n"/>
      <c r="X181" s="57" t="n"/>
      <c r="Y181" s="57" t="n"/>
      <c r="Z181" s="57" t="n"/>
      <c r="AA181" s="57" t="n"/>
      <c r="AB181" s="57" t="n"/>
      <c r="AC181" s="57" t="n"/>
      <c r="AD181" s="57" t="n"/>
      <c r="AE181" s="57" t="n"/>
      <c r="AF181" s="57" t="n"/>
      <c r="AG181" s="57" t="n"/>
      <c r="AH181" s="57" t="n"/>
      <c r="AI181" s="57" t="n"/>
      <c r="AJ181" s="57" t="n"/>
      <c r="AK181" s="57" t="n"/>
      <c r="AL181" s="57" t="n"/>
      <c r="AM181" s="57" t="n"/>
      <c r="AN181" s="57" t="n"/>
      <c r="AO181" s="57" t="n"/>
      <c r="AP181" s="57" t="n"/>
      <c r="AQ181" s="57" t="n"/>
      <c r="AR181" s="57" t="n"/>
      <c r="AS181" s="57" t="n"/>
      <c r="AT181" s="57" t="n"/>
      <c r="BJ181" s="105" t="n"/>
      <c r="CI181" s="81" t="inlineStr">
        <is>
          <t>C</t>
        </is>
      </c>
      <c r="CJ181" s="81" t="inlineStr">
        <is>
          <t>Each bullet goes through 6 dinos</t>
        </is>
      </c>
    </row>
    <row r="182">
      <c r="A182" s="43" t="inlineStr">
        <is>
          <t>Longshot Perch</t>
        </is>
      </c>
      <c r="B182" s="43" t="inlineStr">
        <is>
          <t>Deadeye</t>
        </is>
      </c>
      <c r="C182" s="43" t="inlineStr">
        <is>
          <t>targets</t>
        </is>
      </c>
      <c r="D182" s="56" t="n">
        <v>4</v>
      </c>
      <c r="E182" s="56">
        <f>E23</f>
        <v/>
      </c>
      <c r="F182" s="56">
        <f>F23</f>
        <v/>
      </c>
      <c r="G182" s="57" t="n">
        <v>1.45</v>
      </c>
      <c r="H182" s="57" t="n">
        <v>1</v>
      </c>
      <c r="I182" s="57" t="n">
        <v>1.2</v>
      </c>
      <c r="J182" s="92" t="n"/>
      <c r="K182" s="92" t="n"/>
      <c r="L182" s="57" t="n">
        <v>1</v>
      </c>
      <c r="M182" s="43" t="inlineStr">
        <is>
          <t>Wind Shear</t>
        </is>
      </c>
      <c r="N182" s="46" t="n"/>
      <c r="O182" s="57" t="n"/>
      <c r="P182" s="57" t="n"/>
      <c r="Q182" s="57" t="n"/>
      <c r="R182" s="57" t="n">
        <v>5</v>
      </c>
      <c r="S182" s="57" t="n"/>
      <c r="T182" s="57" t="n"/>
      <c r="U182" s="57" t="n"/>
      <c r="V182" s="57" t="n"/>
      <c r="W182" s="57" t="n">
        <v>3</v>
      </c>
      <c r="X182" s="57" t="n"/>
      <c r="Y182" s="57" t="n"/>
      <c r="Z182" s="57" t="n"/>
      <c r="AA182" s="57" t="n"/>
      <c r="AB182" s="57" t="n"/>
      <c r="AC182" s="57" t="n"/>
      <c r="AD182" s="57" t="n"/>
      <c r="AE182" s="57" t="n"/>
      <c r="AF182" s="57" t="n"/>
      <c r="AG182" s="57" t="n"/>
      <c r="AH182" s="57" t="n"/>
      <c r="AI182" s="57" t="n"/>
      <c r="AJ182" s="57" t="n"/>
      <c r="AK182" s="57" t="n"/>
      <c r="AL182" s="57" t="n"/>
      <c r="AM182" s="57" t="n"/>
      <c r="AN182" s="57" t="n"/>
      <c r="AO182" s="57" t="n"/>
      <c r="AP182" s="57" t="n"/>
      <c r="AQ182" s="57" t="n"/>
      <c r="AR182" s="57" t="n"/>
      <c r="AS182" s="57" t="n"/>
      <c r="AT182" s="57" t="n"/>
      <c r="BJ182" s="105" t="n"/>
      <c r="CI182" s="81" t="inlineStr">
        <is>
          <t>B</t>
        </is>
      </c>
      <c r="CJ182" s="81" t="inlineStr">
        <is>
          <t>Shots shove the whole line 3 studs back</t>
        </is>
      </c>
    </row>
    <row r="183">
      <c r="A183" s="43" t="inlineStr">
        <is>
          <t>Longshot Perch</t>
        </is>
      </c>
      <c r="B183" s="43" t="inlineStr">
        <is>
          <t>Deadeye</t>
        </is>
      </c>
      <c r="C183" s="43" t="inlineStr">
        <is>
          <t>targets</t>
        </is>
      </c>
      <c r="D183" s="56" t="n">
        <v>4</v>
      </c>
      <c r="E183" s="56">
        <f>E23</f>
        <v/>
      </c>
      <c r="F183" s="56">
        <f>F23</f>
        <v/>
      </c>
      <c r="G183" s="57" t="n">
        <v>1.1</v>
      </c>
      <c r="H183" s="57" t="n">
        <v>1.45</v>
      </c>
      <c r="I183" s="57" t="n">
        <v>1</v>
      </c>
      <c r="J183" s="92" t="n"/>
      <c r="K183" s="92" t="n"/>
      <c r="L183" s="57" t="n">
        <v>1</v>
      </c>
      <c r="M183" s="43" t="inlineStr">
        <is>
          <t>Fast Bolt</t>
        </is>
      </c>
      <c r="N183" s="46" t="n"/>
      <c r="O183" s="57" t="n"/>
      <c r="P183" s="57" t="n"/>
      <c r="Q183" s="57" t="n"/>
      <c r="R183" s="57" t="n">
        <v>5</v>
      </c>
      <c r="S183" s="57" t="n"/>
      <c r="T183" s="57" t="n"/>
      <c r="U183" s="57" t="n"/>
      <c r="V183" s="57" t="n"/>
      <c r="W183" s="57" t="n"/>
      <c r="X183" s="57" t="n"/>
      <c r="Y183" s="57" t="n"/>
      <c r="Z183" s="57" t="n"/>
      <c r="AA183" s="57" t="n"/>
      <c r="AB183" s="57" t="n"/>
      <c r="AC183" s="57" t="n"/>
      <c r="AD183" s="57" t="n"/>
      <c r="AE183" s="57" t="n"/>
      <c r="AF183" s="57" t="n"/>
      <c r="AG183" s="57" t="n"/>
      <c r="AH183" s="57" t="n"/>
      <c r="AI183" s="57" t="n"/>
      <c r="AJ183" s="57" t="n"/>
      <c r="AK183" s="57" t="n"/>
      <c r="AL183" s="57" t="n"/>
      <c r="AM183" s="57" t="n"/>
      <c r="AN183" s="57" t="n"/>
      <c r="AO183" s="57" t="n"/>
      <c r="AP183" s="57" t="n"/>
      <c r="AQ183" s="57" t="n"/>
      <c r="AR183" s="57" t="n"/>
      <c r="AS183" s="57" t="n"/>
      <c r="AT183" s="57" t="n"/>
      <c r="BJ183" s="105" t="n"/>
      <c r="CI183" s="81" t="inlineStr">
        <is>
          <t>C</t>
        </is>
      </c>
      <c r="CJ183" s="81" t="inlineStr">
        <is>
          <t>Fires much faster through 5 dinos</t>
        </is>
      </c>
    </row>
    <row r="184">
      <c r="A184" s="43" t="inlineStr">
        <is>
          <t>Longshot Perch</t>
        </is>
      </c>
      <c r="B184" s="43" t="inlineStr">
        <is>
          <t>Deadeye</t>
        </is>
      </c>
      <c r="C184" s="43" t="inlineStr">
        <is>
          <t>targets</t>
        </is>
      </c>
      <c r="D184" s="56" t="n">
        <v>5</v>
      </c>
      <c r="E184" s="56">
        <f>E24</f>
        <v/>
      </c>
      <c r="F184" s="56">
        <f>F24</f>
        <v/>
      </c>
      <c r="G184" s="57" t="n">
        <v>1.55</v>
      </c>
      <c r="H184" s="57" t="n">
        <v>1.6</v>
      </c>
      <c r="I184" s="57" t="n">
        <v>1.2</v>
      </c>
      <c r="J184" s="92" t="n"/>
      <c r="K184" s="92" t="n"/>
      <c r="L184" s="57" t="n">
        <v>1</v>
      </c>
      <c r="M184" s="43" t="inlineStr">
        <is>
          <t>Piercing Gale</t>
        </is>
      </c>
      <c r="N184" s="46" t="n"/>
      <c r="O184" s="57" t="n"/>
      <c r="P184" s="57" t="n"/>
      <c r="Q184" s="57" t="n"/>
      <c r="R184" s="57" t="n">
        <v>8</v>
      </c>
      <c r="S184" s="57" t="n"/>
      <c r="T184" s="57" t="n"/>
      <c r="U184" s="57" t="n"/>
      <c r="V184" s="57" t="n"/>
      <c r="W184" s="57" t="n"/>
      <c r="X184" s="57" t="n"/>
      <c r="Y184" s="57" t="n"/>
      <c r="Z184" s="57" t="n"/>
      <c r="AA184" s="57" t="n"/>
      <c r="AB184" s="57" t="n"/>
      <c r="AC184" s="57" t="n"/>
      <c r="AD184" s="57" t="n"/>
      <c r="AE184" s="57" t="n"/>
      <c r="AF184" s="57" t="n"/>
      <c r="AG184" s="57" t="n"/>
      <c r="AH184" s="57" t="n"/>
      <c r="AI184" s="57" t="n"/>
      <c r="AJ184" s="57" t="n"/>
      <c r="AK184" s="57" t="n"/>
      <c r="AL184" s="57" t="n"/>
      <c r="AM184" s="57" t="n"/>
      <c r="AN184" s="57" t="n"/>
      <c r="AO184" s="57" t="n"/>
      <c r="AP184" s="57" t="n"/>
      <c r="AQ184" s="57" t="n"/>
      <c r="AR184" s="57" t="n"/>
      <c r="AS184" s="57" t="n"/>
      <c r="AT184" s="57" t="n"/>
      <c r="BJ184" s="105" t="n"/>
      <c r="CI184" s="81" t="inlineStr">
        <is>
          <t>B</t>
        </is>
      </c>
      <c r="CJ184" s="81" t="inlineStr">
        <is>
          <t>Fast shots through 8 dinos</t>
        </is>
      </c>
    </row>
    <row r="185">
      <c r="A185" s="43" t="inlineStr">
        <is>
          <t>Longshot Perch</t>
        </is>
      </c>
      <c r="B185" s="43" t="inlineStr">
        <is>
          <t>Deadeye</t>
        </is>
      </c>
      <c r="C185" s="43" t="inlineStr">
        <is>
          <t>targets</t>
        </is>
      </c>
      <c r="D185" s="56" t="n">
        <v>5</v>
      </c>
      <c r="E185" s="56">
        <f>E24</f>
        <v/>
      </c>
      <c r="F185" s="56">
        <f>F24</f>
        <v/>
      </c>
      <c r="G185" s="57" t="n">
        <v>2.4</v>
      </c>
      <c r="H185" s="57" t="n">
        <v>1</v>
      </c>
      <c r="I185" s="57" t="n">
        <v>1.2</v>
      </c>
      <c r="J185" s="92" t="n"/>
      <c r="K185" s="92" t="n"/>
      <c r="L185" s="57" t="n">
        <v>1</v>
      </c>
      <c r="M185" s="43" t="inlineStr">
        <is>
          <t>Shatterline</t>
        </is>
      </c>
      <c r="N185" s="46" t="n"/>
      <c r="O185" s="57" t="n"/>
      <c r="P185" s="57" t="n"/>
      <c r="Q185" s="57" t="n"/>
      <c r="R185" s="57" t="n">
        <v>8</v>
      </c>
      <c r="S185" s="57" t="n"/>
      <c r="T185" s="57" t="n"/>
      <c r="U185" s="57" t="n"/>
      <c r="V185" s="57" t="n"/>
      <c r="W185" s="57" t="n"/>
      <c r="X185" s="57" t="n"/>
      <c r="Y185" s="57" t="n"/>
      <c r="Z185" s="57" t="n"/>
      <c r="AA185" s="57" t="n"/>
      <c r="AB185" s="57" t="n"/>
      <c r="AC185" s="57" t="n"/>
      <c r="AD185" s="57" t="n"/>
      <c r="AE185" s="57" t="n"/>
      <c r="AF185" s="57" t="n"/>
      <c r="AG185" s="57" t="n"/>
      <c r="AH185" s="57" t="n"/>
      <c r="AI185" s="57" t="n"/>
      <c r="AJ185" s="57" t="n"/>
      <c r="AK185" s="57" t="n"/>
      <c r="AL185" s="57" t="n"/>
      <c r="AM185" s="57" t="inlineStr">
        <is>
          <t>Yes</t>
        </is>
      </c>
      <c r="AN185" s="57" t="n"/>
      <c r="AO185" s="57" t="n"/>
      <c r="AP185" s="57" t="n"/>
      <c r="AQ185" s="57" t="n"/>
      <c r="AR185" s="57" t="n"/>
      <c r="AS185" s="57" t="n"/>
      <c r="AT185" s="57" t="n"/>
      <c r="BJ185" s="105" t="n"/>
      <c r="CI185" s="81" t="inlineStr">
        <is>
          <t>C</t>
        </is>
      </c>
      <c r="CJ185" s="81" t="inlineStr">
        <is>
          <t>Every dino in the line loses its armour</t>
        </is>
      </c>
    </row>
    <row r="186">
      <c r="A186" s="43" t="inlineStr">
        <is>
          <t>Longshot Perch</t>
        </is>
      </c>
      <c r="B186" s="43" t="inlineStr">
        <is>
          <t>Spotter</t>
        </is>
      </c>
      <c r="C186" s="43" t="inlineStr">
        <is>
          <t>rate</t>
        </is>
      </c>
      <c r="D186" s="56" t="n">
        <v>4</v>
      </c>
      <c r="E186" s="56">
        <f>E28</f>
        <v/>
      </c>
      <c r="F186" s="56">
        <f>F28</f>
        <v/>
      </c>
      <c r="G186" s="57" t="n">
        <v>1.3</v>
      </c>
      <c r="H186" s="57" t="n">
        <v>1.3</v>
      </c>
      <c r="I186" s="57" t="n">
        <v>1</v>
      </c>
      <c r="J186" s="92" t="n"/>
      <c r="K186" s="92" t="n"/>
      <c r="L186" s="57" t="n">
        <v>1</v>
      </c>
      <c r="M186" s="43" t="inlineStr">
        <is>
          <t>Painted Target</t>
        </is>
      </c>
      <c r="N186" s="57" t="n"/>
      <c r="O186" s="57" t="n"/>
      <c r="P186" s="57" t="n"/>
      <c r="Q186" s="57" t="n"/>
      <c r="R186" s="57" t="n"/>
      <c r="S186" s="57" t="n"/>
      <c r="T186" s="57" t="n">
        <v>30</v>
      </c>
      <c r="U186" s="57" t="n"/>
      <c r="V186" s="57" t="n"/>
      <c r="W186" s="57" t="n"/>
      <c r="X186" s="57" t="n"/>
      <c r="Y186" s="57" t="n"/>
      <c r="Z186" s="57" t="n"/>
      <c r="AA186" s="57" t="n"/>
      <c r="AB186" s="57" t="n"/>
      <c r="AC186" s="57" t="n"/>
      <c r="AD186" s="57" t="n"/>
      <c r="AE186" s="57" t="n"/>
      <c r="AF186" s="57" t="n"/>
      <c r="AG186" s="57" t="n"/>
      <c r="AH186" s="57" t="n"/>
      <c r="AI186" s="57" t="n"/>
      <c r="AJ186" s="57" t="n"/>
      <c r="AK186" s="57" t="n"/>
      <c r="AL186" s="57" t="n"/>
      <c r="AM186" s="57" t="n"/>
      <c r="AN186" s="57" t="n"/>
      <c r="AO186" s="57" t="n"/>
      <c r="AP186" s="57" t="n"/>
      <c r="AQ186" s="57" t="n"/>
      <c r="AR186" s="57" t="n"/>
      <c r="AS186" s="57" t="n"/>
      <c r="AT186" s="57" t="n"/>
      <c r="BX186" t="n">
        <v>25</v>
      </c>
      <c r="CI186" s="81" t="inlineStr">
        <is>
          <t>B</t>
        </is>
      </c>
      <c r="CJ186" s="81" t="inlineStr">
        <is>
          <t>Bosses in range take +25% too</t>
        </is>
      </c>
    </row>
    <row r="187">
      <c r="A187" s="43" t="inlineStr">
        <is>
          <t>Longshot Perch</t>
        </is>
      </c>
      <c r="B187" s="43" t="inlineStr">
        <is>
          <t>Spotter</t>
        </is>
      </c>
      <c r="C187" s="43" t="inlineStr">
        <is>
          <t>rate</t>
        </is>
      </c>
      <c r="D187" s="56" t="n">
        <v>4</v>
      </c>
      <c r="E187" s="56">
        <f>E28</f>
        <v/>
      </c>
      <c r="F187" s="56">
        <f>F28</f>
        <v/>
      </c>
      <c r="G187" s="57" t="n">
        <v>1.2</v>
      </c>
      <c r="H187" s="57" t="n">
        <v>1.65</v>
      </c>
      <c r="I187" s="57" t="n">
        <v>1</v>
      </c>
      <c r="J187" s="92" t="n"/>
      <c r="K187" s="92" t="n"/>
      <c r="L187" s="57" t="n">
        <v>1</v>
      </c>
      <c r="M187" s="43" t="inlineStr">
        <is>
          <t>Quick Spot</t>
        </is>
      </c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  <c r="Z187" s="57" t="n"/>
      <c r="AA187" s="57" t="n"/>
      <c r="AB187" s="57" t="n"/>
      <c r="AC187" s="57" t="n"/>
      <c r="AD187" s="57" t="n"/>
      <c r="AE187" s="57" t="n"/>
      <c r="AF187" s="57" t="n"/>
      <c r="AG187" s="57" t="n"/>
      <c r="AH187" s="57" t="n"/>
      <c r="AI187" s="57" t="n"/>
      <c r="AJ187" s="57" t="n"/>
      <c r="AK187" s="57" t="n"/>
      <c r="AL187" s="57" t="n"/>
      <c r="AM187" s="57" t="n"/>
      <c r="AN187" s="57" t="n"/>
      <c r="AO187" s="57" t="n"/>
      <c r="AP187" s="57" t="n"/>
      <c r="AQ187" s="57" t="n"/>
      <c r="AR187" s="57" t="n"/>
      <c r="AS187" s="57" t="n"/>
      <c r="AT187" s="57" t="n"/>
      <c r="CI187" s="81" t="inlineStr">
        <is>
          <t>C</t>
        </is>
      </c>
      <c r="CJ187" s="81" t="inlineStr">
        <is>
          <t>Fires much faster, marks more often</t>
        </is>
      </c>
    </row>
    <row r="188">
      <c r="A188" s="43" t="inlineStr">
        <is>
          <t>Longshot Perch</t>
        </is>
      </c>
      <c r="B188" s="43" t="inlineStr">
        <is>
          <t>Spotter</t>
        </is>
      </c>
      <c r="C188" s="43" t="inlineStr">
        <is>
          <t>rate</t>
        </is>
      </c>
      <c r="D188" s="56" t="n">
        <v>5</v>
      </c>
      <c r="E188" s="56">
        <f>E29</f>
        <v/>
      </c>
      <c r="F188" s="56">
        <f>F29</f>
        <v/>
      </c>
      <c r="G188" s="57" t="n">
        <v>1.3</v>
      </c>
      <c r="H188" s="57" t="n">
        <v>1.35</v>
      </c>
      <c r="I188" s="57" t="n">
        <v>1</v>
      </c>
      <c r="J188" s="92" t="n"/>
      <c r="K188" s="92" t="n"/>
      <c r="L188" s="57" t="n">
        <v>1</v>
      </c>
      <c r="M188" s="43" t="inlineStr">
        <is>
          <t>Spotter Network</t>
        </is>
      </c>
      <c r="N188" s="57" t="n"/>
      <c r="O188" s="57" t="n"/>
      <c r="P188" s="57" t="n"/>
      <c r="Q188" s="57" t="n"/>
      <c r="R188" s="57" t="n"/>
      <c r="S188" s="57" t="n"/>
      <c r="T188" s="57" t="n">
        <v>45</v>
      </c>
      <c r="U188" s="57" t="n"/>
      <c r="V188" s="57" t="n"/>
      <c r="W188" s="57" t="n"/>
      <c r="X188" s="57" t="n"/>
      <c r="Y188" s="57" t="n"/>
      <c r="Z188" s="57" t="n"/>
      <c r="AA188" s="57" t="n"/>
      <c r="AB188" s="57" t="n"/>
      <c r="AC188" s="57" t="n">
        <v>15</v>
      </c>
      <c r="AD188" s="57" t="n"/>
      <c r="AE188" s="57" t="n"/>
      <c r="AF188" s="57" t="n"/>
      <c r="AG188" s="57" t="n"/>
      <c r="AH188" s="57" t="n"/>
      <c r="AI188" s="57" t="n"/>
      <c r="AJ188" s="57" t="n"/>
      <c r="AK188" s="57" t="n"/>
      <c r="AL188" s="57" t="n"/>
      <c r="AM188" s="57" t="n"/>
      <c r="AN188" s="57" t="n"/>
      <c r="AO188" s="57" t="n"/>
      <c r="AP188" s="57" t="n"/>
      <c r="AQ188" s="57" t="n"/>
      <c r="AR188" s="57" t="n"/>
      <c r="AS188" s="57" t="n"/>
      <c r="AT188" s="57" t="n"/>
      <c r="CI188" s="81" t="inlineStr">
        <is>
          <t>B</t>
        </is>
      </c>
      <c r="CJ188" s="81" t="inlineStr">
        <is>
          <t>Towers in range hit 15% harder</t>
        </is>
      </c>
    </row>
    <row r="189">
      <c r="A189" s="43" t="inlineStr">
        <is>
          <t>Longshot Perch</t>
        </is>
      </c>
      <c r="B189" s="43" t="inlineStr">
        <is>
          <t>Spotter</t>
        </is>
      </c>
      <c r="C189" s="43" t="inlineStr">
        <is>
          <t>rate</t>
        </is>
      </c>
      <c r="D189" s="56" t="n">
        <v>5</v>
      </c>
      <c r="E189" s="56">
        <f>E29</f>
        <v/>
      </c>
      <c r="F189" s="56">
        <f>F29</f>
        <v/>
      </c>
      <c r="G189" s="57" t="n">
        <v>1.35</v>
      </c>
      <c r="H189" s="57" t="n">
        <v>1.4</v>
      </c>
      <c r="I189" s="57" t="n">
        <v>1</v>
      </c>
      <c r="J189" s="92" t="n"/>
      <c r="K189" s="92" t="n"/>
      <c r="L189" s="57" t="n">
        <v>1</v>
      </c>
      <c r="M189" s="43" t="inlineStr">
        <is>
          <t>Kill Order</t>
        </is>
      </c>
      <c r="N189" s="57" t="n"/>
      <c r="O189" s="57" t="n"/>
      <c r="P189" s="57" t="n"/>
      <c r="Q189" s="57" t="n"/>
      <c r="R189" s="57" t="n"/>
      <c r="S189" s="57" t="n"/>
      <c r="T189" s="57" t="n">
        <v>50</v>
      </c>
      <c r="U189" s="57" t="n"/>
      <c r="V189" s="57" t="n"/>
      <c r="W189" s="57" t="n"/>
      <c r="X189" s="57" t="n"/>
      <c r="Y189" s="57" t="n"/>
      <c r="Z189" s="57" t="n"/>
      <c r="AA189" s="57" t="n"/>
      <c r="AB189" s="57" t="n"/>
      <c r="AC189" s="57" t="n"/>
      <c r="AD189" s="57" t="n"/>
      <c r="AE189" s="57" t="n"/>
      <c r="AF189" s="57" t="n"/>
      <c r="AG189" s="57" t="n"/>
      <c r="AH189" s="57" t="n"/>
      <c r="AI189" s="57" t="n"/>
      <c r="AJ189" s="57" t="n"/>
      <c r="AK189" s="57" t="n"/>
      <c r="AL189" s="57" t="n"/>
      <c r="AM189" s="57" t="n"/>
      <c r="AN189" s="57" t="n"/>
      <c r="AO189" s="57" t="n"/>
      <c r="AP189" s="57" t="n"/>
      <c r="AQ189" s="57" t="n"/>
      <c r="AR189" s="57" t="n"/>
      <c r="AS189" s="57" t="n"/>
      <c r="AT189" s="57" t="n"/>
      <c r="BX189" t="n">
        <v>40</v>
      </c>
      <c r="CI189" s="81" t="inlineStr">
        <is>
          <t>C</t>
        </is>
      </c>
      <c r="CJ189" s="81" t="inlineStr">
        <is>
          <t>Every boss in range takes +40%</t>
        </is>
      </c>
    </row>
    <row r="190">
      <c r="A190" s="43" t="inlineStr">
        <is>
          <t>Longshot Perch</t>
        </is>
      </c>
      <c r="B190" s="43" t="inlineStr">
        <is>
          <t>Big Bore</t>
        </is>
      </c>
      <c r="C190" s="43" t="inlineStr">
        <is>
          <t>damage</t>
        </is>
      </c>
      <c r="D190" s="56" t="n">
        <v>4</v>
      </c>
      <c r="E190" s="56">
        <f>E33</f>
        <v/>
      </c>
      <c r="F190" s="56">
        <f>F33</f>
        <v/>
      </c>
      <c r="G190" s="57" t="n">
        <v>1.7</v>
      </c>
      <c r="H190" s="57" t="n">
        <v>1</v>
      </c>
      <c r="I190" s="57" t="n">
        <v>1</v>
      </c>
      <c r="J190" s="92" t="n"/>
      <c r="K190" s="92" t="n"/>
      <c r="L190" s="57" t="n">
        <v>1</v>
      </c>
      <c r="M190" s="43" t="inlineStr">
        <is>
          <t>Elephant Gun</t>
        </is>
      </c>
      <c r="N190" s="57" t="n"/>
      <c r="O190" s="57" t="n"/>
      <c r="P190" s="57" t="n">
        <v>2</v>
      </c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  <c r="Z190" s="57" t="n"/>
      <c r="AA190" s="57" t="n"/>
      <c r="AB190" s="57" t="n"/>
      <c r="AC190" s="57" t="n"/>
      <c r="AD190" s="57" t="n"/>
      <c r="AE190" s="57" t="n"/>
      <c r="AF190" s="57" t="n"/>
      <c r="AG190" s="57" t="n"/>
      <c r="AH190" s="57" t="n"/>
      <c r="AI190" s="57" t="n"/>
      <c r="AJ190" s="57" t="n"/>
      <c r="AK190" s="57" t="n"/>
      <c r="AL190" s="57" t="n"/>
      <c r="AM190" s="57" t="n"/>
      <c r="AN190" s="57" t="n"/>
      <c r="AO190" s="57" t="n"/>
      <c r="AP190" s="57" t="n"/>
      <c r="AQ190" s="57" t="n"/>
      <c r="AR190" s="57" t="n"/>
      <c r="AS190" s="57" t="n"/>
      <c r="AT190" s="57" t="n"/>
      <c r="BJ190" s="105" t="n"/>
      <c r="CI190" s="81" t="inlineStr">
        <is>
          <t>B</t>
        </is>
      </c>
      <c r="CJ190" s="81" t="inlineStr">
        <is>
          <t>Twice the damage against bosses</t>
        </is>
      </c>
    </row>
    <row r="191">
      <c r="A191" s="43" t="inlineStr">
        <is>
          <t>Longshot Perch</t>
        </is>
      </c>
      <c r="B191" s="43" t="inlineStr">
        <is>
          <t>Big Bore</t>
        </is>
      </c>
      <c r="C191" s="43" t="inlineStr">
        <is>
          <t>damage</t>
        </is>
      </c>
      <c r="D191" s="56" t="n">
        <v>4</v>
      </c>
      <c r="E191" s="56">
        <f>E33</f>
        <v/>
      </c>
      <c r="F191" s="56">
        <f>F33</f>
        <v/>
      </c>
      <c r="G191" s="57" t="n">
        <v>2.8</v>
      </c>
      <c r="H191" s="57" t="n">
        <v>1</v>
      </c>
      <c r="I191" s="57" t="n">
        <v>1</v>
      </c>
      <c r="J191" s="92" t="n"/>
      <c r="K191" s="92" t="n"/>
      <c r="L191" s="57" t="n">
        <v>1</v>
      </c>
      <c r="M191" s="43" t="inlineStr">
        <is>
          <t>Knockdown Round</t>
        </is>
      </c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>
        <v>4</v>
      </c>
      <c r="X191" s="57" t="n"/>
      <c r="Y191" s="57" t="n"/>
      <c r="Z191" s="57" t="n"/>
      <c r="AA191" s="57" t="n"/>
      <c r="AB191" s="57" t="n"/>
      <c r="AC191" s="57" t="n"/>
      <c r="AD191" s="57" t="n"/>
      <c r="AE191" s="57" t="n"/>
      <c r="AF191" s="57" t="n"/>
      <c r="AG191" s="57" t="n"/>
      <c r="AH191" s="57" t="n"/>
      <c r="AI191" s="57" t="n"/>
      <c r="AJ191" s="57" t="n"/>
      <c r="AK191" s="57" t="n"/>
      <c r="AL191" s="57" t="n"/>
      <c r="AM191" s="57" t="n"/>
      <c r="AN191" s="57" t="n"/>
      <c r="AO191" s="57" t="n"/>
      <c r="AP191" s="57" t="n"/>
      <c r="AQ191" s="57" t="n"/>
      <c r="AR191" s="57" t="n"/>
      <c r="AS191" s="57" t="n"/>
      <c r="AT191" s="57" t="n"/>
      <c r="BJ191" s="105" t="n">
        <v>3</v>
      </c>
      <c r="CI191" s="81" t="inlineStr">
        <is>
          <t>C</t>
        </is>
      </c>
      <c r="CJ191" s="81" t="inlineStr">
        <is>
          <t>Knocks the hit dino 4 studs back</t>
        </is>
      </c>
    </row>
    <row r="192">
      <c r="A192" s="43" t="inlineStr">
        <is>
          <t>Longshot Perch</t>
        </is>
      </c>
      <c r="B192" s="43" t="inlineStr">
        <is>
          <t>Big Bore</t>
        </is>
      </c>
      <c r="C192" s="43" t="inlineStr">
        <is>
          <t>damage</t>
        </is>
      </c>
      <c r="D192" s="56" t="n">
        <v>5</v>
      </c>
      <c r="E192" s="56">
        <f>E34</f>
        <v/>
      </c>
      <c r="F192" s="56">
        <f>F34</f>
        <v/>
      </c>
      <c r="G192" s="57" t="n">
        <v>1.9</v>
      </c>
      <c r="H192" s="57" t="n">
        <v>1</v>
      </c>
      <c r="I192" s="57" t="n">
        <v>1</v>
      </c>
      <c r="J192" s="92" t="n"/>
      <c r="K192" s="92" t="n"/>
      <c r="L192" s="57" t="n">
        <v>1</v>
      </c>
      <c r="M192" s="43" t="inlineStr">
        <is>
          <t>Bone Splitter</t>
        </is>
      </c>
      <c r="N192" s="57" t="n"/>
      <c r="O192" s="57" t="n"/>
      <c r="P192" s="57" t="n">
        <v>1.6</v>
      </c>
      <c r="Q192" s="57" t="n"/>
      <c r="R192" s="57" t="n"/>
      <c r="S192" s="57" t="n"/>
      <c r="T192" s="57" t="n"/>
      <c r="U192" s="57" t="n"/>
      <c r="V192" s="46" t="n"/>
      <c r="W192" s="57" t="n"/>
      <c r="X192" s="57" t="n"/>
      <c r="Y192" s="57" t="n"/>
      <c r="Z192" s="57" t="n"/>
      <c r="AA192" s="57" t="n"/>
      <c r="AB192" s="57" t="n"/>
      <c r="AC192" s="57" t="n"/>
      <c r="AD192" s="57" t="n"/>
      <c r="AE192" s="57" t="n"/>
      <c r="AF192" s="57" t="n"/>
      <c r="AG192" s="57" t="n"/>
      <c r="AH192" s="57" t="n"/>
      <c r="AI192" s="57" t="n"/>
      <c r="AJ192" s="57" t="n"/>
      <c r="AK192" s="57" t="n"/>
      <c r="AL192" s="57" t="n"/>
      <c r="AM192" s="57" t="n"/>
      <c r="AN192" s="57" t="n"/>
      <c r="AO192" s="57" t="n"/>
      <c r="AP192" s="57" t="n"/>
      <c r="AQ192" s="57" t="n"/>
      <c r="AR192" s="57" t="n"/>
      <c r="AS192" s="57" t="n"/>
      <c r="AT192" s="57" t="n"/>
      <c r="BJ192" s="105" t="n">
        <v>5</v>
      </c>
      <c r="CI192" s="81" t="inlineStr">
        <is>
          <t>B</t>
        </is>
      </c>
      <c r="CJ192" s="81" t="inlineStr">
        <is>
          <t>Each shot shrinks a dino 5 sizes</t>
        </is>
      </c>
    </row>
    <row r="193">
      <c r="A193" s="43" t="inlineStr">
        <is>
          <t>Longshot Perch</t>
        </is>
      </c>
      <c r="B193" s="43" t="inlineStr">
        <is>
          <t>Big Bore</t>
        </is>
      </c>
      <c r="C193" s="43" t="inlineStr">
        <is>
          <t>damage</t>
        </is>
      </c>
      <c r="D193" s="56" t="n">
        <v>5</v>
      </c>
      <c r="E193" s="56">
        <f>E34</f>
        <v/>
      </c>
      <c r="F193" s="56">
        <f>F34</f>
        <v/>
      </c>
      <c r="G193" s="57" t="n">
        <v>2.3</v>
      </c>
      <c r="H193" s="57" t="n">
        <v>1</v>
      </c>
      <c r="I193" s="57" t="n">
        <v>1</v>
      </c>
      <c r="J193" s="92" t="n"/>
      <c r="K193" s="92" t="n"/>
      <c r="L193" s="57" t="n">
        <v>1</v>
      </c>
      <c r="M193" s="43" t="inlineStr">
        <is>
          <t>Hammer Shot</t>
        </is>
      </c>
      <c r="N193" s="57" t="n"/>
      <c r="O193" s="57" t="n"/>
      <c r="P193" s="57" t="n"/>
      <c r="Q193" s="57" t="n"/>
      <c r="R193" s="57" t="n"/>
      <c r="S193" s="57" t="n"/>
      <c r="T193" s="57" t="n"/>
      <c r="U193" s="57" t="n">
        <v>1.2</v>
      </c>
      <c r="V193" s="46" t="n"/>
      <c r="W193" s="57" t="n">
        <v>6</v>
      </c>
      <c r="X193" s="57" t="n"/>
      <c r="Y193" s="57" t="n"/>
      <c r="Z193" s="57" t="n"/>
      <c r="AA193" s="57" t="n"/>
      <c r="AB193" s="57" t="n"/>
      <c r="AC193" s="57" t="n"/>
      <c r="AD193" s="57" t="n"/>
      <c r="AE193" s="57" t="n"/>
      <c r="AF193" s="57" t="n"/>
      <c r="AG193" s="57" t="n"/>
      <c r="AH193" s="57" t="n"/>
      <c r="AI193" s="57" t="n"/>
      <c r="AJ193" s="57" t="n"/>
      <c r="AK193" s="57" t="n"/>
      <c r="AL193" s="57" t="n"/>
      <c r="AM193" s="57" t="n"/>
      <c r="AN193" s="57" t="n"/>
      <c r="AO193" s="57" t="n"/>
      <c r="AP193" s="57" t="n"/>
      <c r="AQ193" s="57" t="n"/>
      <c r="AR193" s="57" t="n"/>
      <c r="AS193" s="57" t="n"/>
      <c r="AT193" s="57" t="n"/>
      <c r="BJ193" s="105" t="n"/>
      <c r="CI193" s="81" t="inlineStr">
        <is>
          <t>C</t>
        </is>
      </c>
      <c r="CJ193" s="81" t="inlineStr">
        <is>
          <t>Stuns 1.2 s and knocks 6 studs back</t>
        </is>
      </c>
    </row>
    <row r="194">
      <c r="A194" s="43" t="inlineStr">
        <is>
          <t>Mortar Pit</t>
        </is>
      </c>
      <c r="B194" s="43" t="inlineStr">
        <is>
          <t>Blast</t>
        </is>
      </c>
      <c r="C194" s="43" t="inlineStr">
        <is>
          <t>targets</t>
        </is>
      </c>
      <c r="D194" s="56" t="n">
        <v>4</v>
      </c>
      <c r="E194" s="56">
        <f>E38</f>
        <v/>
      </c>
      <c r="F194" s="56">
        <f>F38</f>
        <v/>
      </c>
      <c r="G194" s="57" t="n">
        <v>1.3</v>
      </c>
      <c r="H194" s="57" t="n">
        <v>1</v>
      </c>
      <c r="I194" s="57" t="n">
        <v>1.4</v>
      </c>
      <c r="J194" s="92" t="n"/>
      <c r="K194" s="92" t="n"/>
      <c r="L194" s="57" t="n">
        <v>1</v>
      </c>
      <c r="M194" s="43" t="inlineStr">
        <is>
          <t>Big Shell</t>
        </is>
      </c>
      <c r="N194" s="57" t="n"/>
      <c r="O194" s="57" t="n"/>
      <c r="P194" s="57" t="n"/>
      <c r="Q194" s="57" t="n"/>
      <c r="R194" s="57" t="n"/>
      <c r="S194" s="57" t="n">
        <v>1.3</v>
      </c>
      <c r="T194" s="57" t="n"/>
      <c r="U194" s="57" t="n"/>
      <c r="V194" s="57" t="n"/>
      <c r="W194" s="57" t="n"/>
      <c r="X194" s="57" t="n"/>
      <c r="Y194" s="57" t="n"/>
      <c r="Z194" s="57" t="n"/>
      <c r="AA194" s="57" t="n"/>
      <c r="AB194" s="57" t="n"/>
      <c r="AC194" s="57" t="n"/>
      <c r="AD194" s="57" t="n"/>
      <c r="AE194" s="57" t="n"/>
      <c r="AF194" s="57" t="n"/>
      <c r="AG194" s="57" t="n"/>
      <c r="AH194" s="57" t="n"/>
      <c r="AI194" s="57" t="n"/>
      <c r="AJ194" s="57" t="n"/>
      <c r="AK194" s="57" t="n"/>
      <c r="AL194" s="57" t="n"/>
      <c r="AM194" s="57" t="n"/>
      <c r="AN194" s="57" t="n"/>
      <c r="AO194" s="57" t="n"/>
      <c r="AP194" s="57" t="n"/>
      <c r="AQ194" s="57" t="n"/>
      <c r="AR194" s="57" t="n"/>
      <c r="AS194" s="57" t="n"/>
      <c r="AT194" s="57" t="n"/>
      <c r="CI194" s="81" t="inlineStr">
        <is>
          <t>B</t>
        </is>
      </c>
      <c r="CJ194" s="81" t="inlineStr">
        <is>
          <t>Much bigger blasts</t>
        </is>
      </c>
    </row>
    <row r="195">
      <c r="A195" s="43" t="inlineStr">
        <is>
          <t>Mortar Pit</t>
        </is>
      </c>
      <c r="B195" s="43" t="inlineStr">
        <is>
          <t>Blast</t>
        </is>
      </c>
      <c r="C195" s="43" t="inlineStr">
        <is>
          <t>targets</t>
        </is>
      </c>
      <c r="D195" s="56" t="n">
        <v>4</v>
      </c>
      <c r="E195" s="56">
        <f>E38</f>
        <v/>
      </c>
      <c r="F195" s="56">
        <f>F38</f>
        <v/>
      </c>
      <c r="G195" s="57" t="n">
        <v>1.4</v>
      </c>
      <c r="H195" s="57" t="n">
        <v>1</v>
      </c>
      <c r="I195" s="57" t="n">
        <v>1.3</v>
      </c>
      <c r="J195" s="92" t="n"/>
      <c r="K195" s="92" t="n"/>
      <c r="L195" s="57" t="n">
        <v>1</v>
      </c>
      <c r="M195" s="43" t="inlineStr">
        <is>
          <t>White Phosphorus</t>
        </is>
      </c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>
        <v>3</v>
      </c>
      <c r="Y195" s="57" t="n">
        <v>2</v>
      </c>
      <c r="Z195" s="57" t="n"/>
      <c r="AA195" s="57" t="n"/>
      <c r="AB195" s="57" t="n"/>
      <c r="AC195" s="57" t="n"/>
      <c r="AD195" s="57" t="n"/>
      <c r="AE195" s="57" t="n"/>
      <c r="AF195" s="57" t="n"/>
      <c r="AG195" s="57" t="n"/>
      <c r="AH195" s="57" t="n"/>
      <c r="AI195" s="57" t="n"/>
      <c r="AJ195" s="57" t="n"/>
      <c r="AK195" s="57" t="n"/>
      <c r="AL195" s="57" t="n"/>
      <c r="AM195" s="57" t="n"/>
      <c r="AN195" s="57" t="n"/>
      <c r="AO195" s="57" t="n"/>
      <c r="AP195" s="57" t="n"/>
      <c r="AQ195" s="57" t="n"/>
      <c r="AR195" s="57" t="n"/>
      <c r="AS195" s="57" t="n"/>
      <c r="AT195" s="57" t="n"/>
      <c r="CI195" s="81" t="inlineStr">
        <is>
          <t>C</t>
        </is>
      </c>
      <c r="CJ195" s="81" t="inlineStr">
        <is>
          <t>A short, very hot burning patch</t>
        </is>
      </c>
    </row>
    <row r="196">
      <c r="A196" s="43" t="inlineStr">
        <is>
          <t>Mortar Pit</t>
        </is>
      </c>
      <c r="B196" s="43" t="inlineStr">
        <is>
          <t>Blast</t>
        </is>
      </c>
      <c r="C196" s="43" t="inlineStr">
        <is>
          <t>targets</t>
        </is>
      </c>
      <c r="D196" s="56" t="n">
        <v>5</v>
      </c>
      <c r="E196" s="56">
        <f>E39</f>
        <v/>
      </c>
      <c r="F196" s="56">
        <f>F39</f>
        <v/>
      </c>
      <c r="G196" s="57" t="n">
        <v>1.5</v>
      </c>
      <c r="H196" s="57" t="n">
        <v>1</v>
      </c>
      <c r="I196" s="57" t="n">
        <v>1.4</v>
      </c>
      <c r="J196" s="92" t="n"/>
      <c r="K196" s="92" t="n"/>
      <c r="L196" s="57" t="n">
        <v>1</v>
      </c>
      <c r="M196" s="43" t="inlineStr">
        <is>
          <t>Blast Furnace</t>
        </is>
      </c>
      <c r="N196" s="57" t="n"/>
      <c r="O196" s="57" t="n"/>
      <c r="P196" s="57" t="n"/>
      <c r="Q196" s="57" t="n"/>
      <c r="R196" s="57" t="n"/>
      <c r="S196" s="57" t="n">
        <v>1.3</v>
      </c>
      <c r="T196" s="57" t="n"/>
      <c r="U196" s="57" t="n"/>
      <c r="V196" s="57" t="n"/>
      <c r="W196" s="57" t="n"/>
      <c r="X196" s="57" t="n"/>
      <c r="Y196" s="57" t="n"/>
      <c r="Z196" s="57" t="n"/>
      <c r="AA196" s="57" t="n"/>
      <c r="AB196" s="57" t="n"/>
      <c r="AC196" s="57" t="n"/>
      <c r="AD196" s="57" t="n"/>
      <c r="AE196" s="57" t="n"/>
      <c r="AF196" s="57" t="n"/>
      <c r="AG196" s="57" t="n"/>
      <c r="AH196" s="57" t="n"/>
      <c r="AI196" s="57" t="n"/>
      <c r="AJ196" s="57" t="n"/>
      <c r="AK196" s="57" t="n"/>
      <c r="AL196" s="57" t="n"/>
      <c r="AM196" s="57" t="n"/>
      <c r="AN196" s="57" t="n"/>
      <c r="AO196" s="57" t="n"/>
      <c r="AP196" s="57" t="n"/>
      <c r="AQ196" s="57" t="n"/>
      <c r="AR196" s="57" t="n"/>
      <c r="AS196" s="57" t="n"/>
      <c r="AT196" s="57" t="n"/>
      <c r="CI196" s="81" t="inlineStr">
        <is>
          <t>B</t>
        </is>
      </c>
      <c r="CJ196" s="81" t="inlineStr">
        <is>
          <t>Huge blasts that hit harder</t>
        </is>
      </c>
    </row>
    <row r="197">
      <c r="A197" s="43" t="inlineStr">
        <is>
          <t>Mortar Pit</t>
        </is>
      </c>
      <c r="B197" s="43" t="inlineStr">
        <is>
          <t>Blast</t>
        </is>
      </c>
      <c r="C197" s="43" t="inlineStr">
        <is>
          <t>targets</t>
        </is>
      </c>
      <c r="D197" s="56" t="n">
        <v>5</v>
      </c>
      <c r="E197" s="56">
        <f>E39</f>
        <v/>
      </c>
      <c r="F197" s="56">
        <f>F39</f>
        <v/>
      </c>
      <c r="G197" s="57" t="n">
        <v>1.45</v>
      </c>
      <c r="H197" s="57" t="n">
        <v>1</v>
      </c>
      <c r="I197" s="57" t="n">
        <v>1.3</v>
      </c>
      <c r="J197" s="92" t="n"/>
      <c r="K197" s="92" t="n"/>
      <c r="L197" s="57" t="n">
        <v>1</v>
      </c>
      <c r="M197" s="43" t="inlineStr">
        <is>
          <t>Inferno Shell</t>
        </is>
      </c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>
        <v>6</v>
      </c>
      <c r="Y197" s="57" t="n">
        <v>4</v>
      </c>
      <c r="Z197" s="57" t="n"/>
      <c r="AA197" s="57" t="n"/>
      <c r="AB197" s="57" t="n"/>
      <c r="AC197" s="57" t="n"/>
      <c r="AD197" s="57" t="n"/>
      <c r="AE197" s="57" t="n"/>
      <c r="AF197" s="57" t="n"/>
      <c r="AG197" s="57" t="n"/>
      <c r="AH197" s="57" t="n"/>
      <c r="AI197" s="57" t="n"/>
      <c r="AJ197" s="57" t="n"/>
      <c r="AK197" s="57" t="n"/>
      <c r="AL197" s="57" t="n"/>
      <c r="AM197" s="57" t="n"/>
      <c r="AN197" s="57" t="n"/>
      <c r="AO197" s="57" t="n"/>
      <c r="AP197" s="57" t="n"/>
      <c r="AQ197" s="57" t="n"/>
      <c r="AR197" s="57" t="n"/>
      <c r="AS197" s="57" t="n"/>
      <c r="AT197" s="57" t="n"/>
      <c r="CI197" s="81" t="inlineStr">
        <is>
          <t>C</t>
        </is>
      </c>
      <c r="CJ197" s="81" t="inlineStr">
        <is>
          <t>Patches burn twice as hot</t>
        </is>
      </c>
    </row>
    <row r="198">
      <c r="A198" s="43" t="inlineStr">
        <is>
          <t>Mortar Pit</t>
        </is>
      </c>
      <c r="B198" s="43" t="inlineStr">
        <is>
          <t>Cluster</t>
        </is>
      </c>
      <c r="C198" s="43" t="inlineStr">
        <is>
          <t>targets</t>
        </is>
      </c>
      <c r="D198" s="56" t="n">
        <v>4</v>
      </c>
      <c r="E198" s="56">
        <f>E43</f>
        <v/>
      </c>
      <c r="F198" s="56">
        <f>F43</f>
        <v/>
      </c>
      <c r="G198" s="57" t="n">
        <v>1.4</v>
      </c>
      <c r="H198" s="57" t="n">
        <v>1</v>
      </c>
      <c r="I198" s="57" t="n">
        <v>1.3</v>
      </c>
      <c r="J198" s="92" t="n"/>
      <c r="K198" s="92" t="n"/>
      <c r="L198" s="57" t="n">
        <v>1</v>
      </c>
      <c r="M198" s="43" t="inlineStr">
        <is>
          <t>Fire Bomblets</t>
        </is>
      </c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>
        <v>2</v>
      </c>
      <c r="Y198" s="57" t="n">
        <v>2</v>
      </c>
      <c r="Z198" s="57" t="n"/>
      <c r="AA198" s="57" t="n"/>
      <c r="AB198" s="57" t="n"/>
      <c r="AC198" s="57" t="n"/>
      <c r="AD198" s="57" t="n"/>
      <c r="AE198" s="57" t="n"/>
      <c r="AF198" s="57" t="n"/>
      <c r="AG198" s="57" t="n"/>
      <c r="AH198" s="57" t="n"/>
      <c r="AI198" s="57" t="n"/>
      <c r="AJ198" s="57" t="n"/>
      <c r="AK198" s="57" t="n"/>
      <c r="AL198" s="57" t="n"/>
      <c r="AM198" s="57" t="n"/>
      <c r="AN198" s="57" t="n"/>
      <c r="AO198" s="57" t="n"/>
      <c r="AP198" s="57" t="n"/>
      <c r="AQ198" s="57" t="n"/>
      <c r="AR198" s="57" t="n"/>
      <c r="AS198" s="57" t="n"/>
      <c r="AT198" s="57" t="n"/>
      <c r="CI198" s="81" t="inlineStr">
        <is>
          <t>B</t>
        </is>
      </c>
      <c r="CJ198" s="81" t="inlineStr">
        <is>
          <t>Bomblets leave small fires</t>
        </is>
      </c>
    </row>
    <row r="199">
      <c r="A199" s="43" t="inlineStr">
        <is>
          <t>Mortar Pit</t>
        </is>
      </c>
      <c r="B199" s="43" t="inlineStr">
        <is>
          <t>Cluster</t>
        </is>
      </c>
      <c r="C199" s="43" t="inlineStr">
        <is>
          <t>targets</t>
        </is>
      </c>
      <c r="D199" s="56" t="n">
        <v>4</v>
      </c>
      <c r="E199" s="56">
        <f>E43</f>
        <v/>
      </c>
      <c r="F199" s="56">
        <f>F43</f>
        <v/>
      </c>
      <c r="G199" s="57" t="n">
        <v>1.3</v>
      </c>
      <c r="H199" s="57" t="n">
        <v>1</v>
      </c>
      <c r="I199" s="57" t="n">
        <v>1.45</v>
      </c>
      <c r="J199" s="92" t="n"/>
      <c r="K199" s="92" t="n"/>
      <c r="L199" s="57" t="n">
        <v>1</v>
      </c>
      <c r="M199" s="43" t="inlineStr">
        <is>
          <t>Wide Scatter</t>
        </is>
      </c>
      <c r="N199" s="57" t="n"/>
      <c r="O199" s="57" t="n"/>
      <c r="P199" s="57" t="n"/>
      <c r="Q199" s="57" t="n"/>
      <c r="R199" s="57" t="n"/>
      <c r="S199" s="57" t="n">
        <v>1.3</v>
      </c>
      <c r="T199" s="57" t="n"/>
      <c r="U199" s="57" t="n"/>
      <c r="V199" s="57" t="n"/>
      <c r="W199" s="57" t="n"/>
      <c r="X199" s="57" t="n"/>
      <c r="Y199" s="57" t="n"/>
      <c r="Z199" s="57" t="n"/>
      <c r="AA199" s="57" t="n"/>
      <c r="AB199" s="57" t="n"/>
      <c r="AC199" s="57" t="n"/>
      <c r="AD199" s="57" t="n"/>
      <c r="AE199" s="57" t="n"/>
      <c r="AF199" s="57" t="n"/>
      <c r="AG199" s="57" t="n"/>
      <c r="AH199" s="57" t="n"/>
      <c r="AI199" s="57" t="n"/>
      <c r="AJ199" s="57" t="n"/>
      <c r="AK199" s="57" t="n"/>
      <c r="AL199" s="57" t="n"/>
      <c r="AM199" s="57" t="n"/>
      <c r="AN199" s="57" t="n"/>
      <c r="AO199" s="57" t="n"/>
      <c r="AP199" s="57" t="n"/>
      <c r="AQ199" s="57" t="n"/>
      <c r="AR199" s="57" t="n"/>
      <c r="AS199" s="57" t="n"/>
      <c r="AT199" s="57" t="n"/>
      <c r="CI199" s="81" t="inlineStr">
        <is>
          <t>C</t>
        </is>
      </c>
      <c r="CJ199" s="81" t="inlineStr">
        <is>
          <t>Bomblets spread over a wider area</t>
        </is>
      </c>
    </row>
    <row r="200">
      <c r="A200" s="43" t="inlineStr">
        <is>
          <t>Mortar Pit</t>
        </is>
      </c>
      <c r="B200" s="43" t="inlineStr">
        <is>
          <t>Cluster</t>
        </is>
      </c>
      <c r="C200" s="43" t="inlineStr">
        <is>
          <t>targets</t>
        </is>
      </c>
      <c r="D200" s="56" t="n">
        <v>5</v>
      </c>
      <c r="E200" s="56">
        <f>E44</f>
        <v/>
      </c>
      <c r="F200" s="56">
        <f>F44</f>
        <v/>
      </c>
      <c r="G200" s="57" t="n">
        <v>1.4</v>
      </c>
      <c r="H200" s="57" t="n">
        <v>1</v>
      </c>
      <c r="I200" s="57" t="n">
        <v>1.35</v>
      </c>
      <c r="J200" s="92" t="n"/>
      <c r="K200" s="92" t="n"/>
      <c r="L200" s="57" t="n">
        <v>1</v>
      </c>
      <c r="M200" s="43" t="inlineStr">
        <is>
          <t>Firecracker Rain</t>
        </is>
      </c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  <c r="Z200" s="57" t="n"/>
      <c r="AA200" s="57" t="n">
        <v>3</v>
      </c>
      <c r="AB200" s="57" t="n"/>
      <c r="AC200" s="57" t="n"/>
      <c r="AD200" s="57" t="n"/>
      <c r="AE200" s="57" t="n"/>
      <c r="AF200" s="57" t="n"/>
      <c r="AG200" s="57" t="n"/>
      <c r="AH200" s="57" t="n"/>
      <c r="AI200" s="57" t="n"/>
      <c r="AJ200" s="57" t="n"/>
      <c r="AK200" s="57" t="n"/>
      <c r="AL200" s="57" t="n"/>
      <c r="AM200" s="57" t="n"/>
      <c r="AN200" s="57" t="n"/>
      <c r="AO200" s="57" t="n"/>
      <c r="AP200" s="57" t="n"/>
      <c r="AQ200" s="57" t="n"/>
      <c r="AR200" s="57" t="n"/>
      <c r="AS200" s="57" t="n"/>
      <c r="AT200" s="57" t="n"/>
      <c r="CI200" s="81" t="inlineStr">
        <is>
          <t>B</t>
        </is>
      </c>
      <c r="CJ200" s="81" t="inlineStr">
        <is>
          <t>Bomblets burst a third time</t>
        </is>
      </c>
    </row>
    <row r="201">
      <c r="A201" s="43" t="inlineStr">
        <is>
          <t>Mortar Pit</t>
        </is>
      </c>
      <c r="B201" s="43" t="inlineStr">
        <is>
          <t>Cluster</t>
        </is>
      </c>
      <c r="C201" s="43" t="inlineStr">
        <is>
          <t>targets</t>
        </is>
      </c>
      <c r="D201" s="56" t="n">
        <v>5</v>
      </c>
      <c r="E201" s="56">
        <f>E44</f>
        <v/>
      </c>
      <c r="F201" s="56">
        <f>F44</f>
        <v/>
      </c>
      <c r="G201" s="57" t="n">
        <v>1.45</v>
      </c>
      <c r="H201" s="57" t="n">
        <v>1</v>
      </c>
      <c r="I201" s="57" t="n">
        <v>1.3</v>
      </c>
      <c r="J201" s="92" t="n"/>
      <c r="K201" s="92" t="n"/>
      <c r="L201" s="57" t="n">
        <v>1</v>
      </c>
      <c r="M201" s="43" t="inlineStr">
        <is>
          <t>Thumper Shells</t>
        </is>
      </c>
      <c r="N201" s="57" t="n"/>
      <c r="O201" s="57" t="n"/>
      <c r="P201" s="57" t="n"/>
      <c r="Q201" s="57" t="n"/>
      <c r="R201" s="57" t="n"/>
      <c r="S201" s="57" t="n"/>
      <c r="T201" s="57" t="n"/>
      <c r="U201" s="57" t="n">
        <v>0.2</v>
      </c>
      <c r="V201" s="57" t="n"/>
      <c r="W201" s="57" t="n">
        <v>2</v>
      </c>
      <c r="X201" s="57" t="n"/>
      <c r="Y201" s="57" t="n"/>
      <c r="Z201" s="57" t="n"/>
      <c r="AA201" s="57" t="n"/>
      <c r="AB201" s="57" t="n"/>
      <c r="AC201" s="57" t="n"/>
      <c r="AD201" s="57" t="n"/>
      <c r="AE201" s="57" t="n"/>
      <c r="AF201" s="57" t="n"/>
      <c r="AG201" s="57" t="n"/>
      <c r="AH201" s="57" t="n"/>
      <c r="AI201" s="57" t="n"/>
      <c r="AJ201" s="57" t="n"/>
      <c r="AK201" s="57" t="n"/>
      <c r="AL201" s="57" t="n"/>
      <c r="AM201" s="57" t="n"/>
      <c r="AN201" s="57" t="n"/>
      <c r="AO201" s="57" t="n"/>
      <c r="AP201" s="57" t="n"/>
      <c r="AQ201" s="57" t="n"/>
      <c r="AR201" s="57" t="n"/>
      <c r="AS201" s="57" t="n"/>
      <c r="AT201" s="57" t="n"/>
      <c r="CI201" s="81" t="inlineStr">
        <is>
          <t>C</t>
        </is>
      </c>
      <c r="CJ201" s="81" t="inlineStr">
        <is>
          <t>Bomblets knock small dinos back</t>
        </is>
      </c>
    </row>
    <row r="202">
      <c r="A202" s="43" t="inlineStr">
        <is>
          <t>Mortar Pit</t>
        </is>
      </c>
      <c r="B202" s="43" t="inlineStr">
        <is>
          <t>Concussive</t>
        </is>
      </c>
      <c r="C202" s="43" t="inlineStr">
        <is>
          <t>damage</t>
        </is>
      </c>
      <c r="D202" s="56" t="n">
        <v>4</v>
      </c>
      <c r="E202" s="56">
        <f>E48</f>
        <v/>
      </c>
      <c r="F202" s="56">
        <f>F48</f>
        <v/>
      </c>
      <c r="G202" s="57" t="n">
        <v>1.8</v>
      </c>
      <c r="H202" s="57" t="n">
        <v>1</v>
      </c>
      <c r="I202" s="57" t="n">
        <v>1</v>
      </c>
      <c r="J202" s="92" t="n"/>
      <c r="K202" s="92" t="n"/>
      <c r="L202" s="57" t="n">
        <v>1</v>
      </c>
      <c r="M202" s="43" t="inlineStr">
        <is>
          <t>Aftershock</t>
        </is>
      </c>
      <c r="N202" s="46" t="n"/>
      <c r="O202" s="57" t="n"/>
      <c r="P202" s="57" t="n"/>
      <c r="Q202" s="57" t="n"/>
      <c r="R202" s="57" t="n"/>
      <c r="S202" s="57" t="n"/>
      <c r="T202" s="57" t="n"/>
      <c r="U202" s="57" t="n">
        <v>0.5</v>
      </c>
      <c r="V202" s="57" t="n"/>
      <c r="W202" s="57" t="n"/>
      <c r="X202" s="57" t="n"/>
      <c r="Y202" s="57" t="n"/>
      <c r="Z202" s="57" t="n"/>
      <c r="AA202" s="57" t="n"/>
      <c r="AB202" s="57" t="n"/>
      <c r="AC202" s="57" t="n"/>
      <c r="AD202" s="57" t="n"/>
      <c r="AE202" s="57" t="n"/>
      <c r="AF202" s="57" t="n"/>
      <c r="AG202" s="57" t="n"/>
      <c r="AH202" s="57" t="n"/>
      <c r="AI202" s="57" t="n"/>
      <c r="AJ202" s="57" t="n"/>
      <c r="AK202" s="57" t="n"/>
      <c r="AL202" s="57" t="n"/>
      <c r="AM202" s="57" t="n"/>
      <c r="AN202" s="57" t="n"/>
      <c r="AO202" s="57" t="n"/>
      <c r="AP202" s="57" t="n"/>
      <c r="AQ202" s="57" t="n"/>
      <c r="AR202" s="57" t="n"/>
      <c r="AS202" s="57" t="n"/>
      <c r="AT202" s="57" t="n"/>
      <c r="CI202" s="81" t="inlineStr">
        <is>
          <t>B</t>
        </is>
      </c>
      <c r="CJ202" s="81" t="inlineStr">
        <is>
          <t>Stuns hit dinos for half a second</t>
        </is>
      </c>
    </row>
    <row r="203">
      <c r="A203" s="43" t="inlineStr">
        <is>
          <t>Mortar Pit</t>
        </is>
      </c>
      <c r="B203" s="43" t="inlineStr">
        <is>
          <t>Concussive</t>
        </is>
      </c>
      <c r="C203" s="43" t="inlineStr">
        <is>
          <t>damage</t>
        </is>
      </c>
      <c r="D203" s="56" t="n">
        <v>4</v>
      </c>
      <c r="E203" s="56">
        <f>E48</f>
        <v/>
      </c>
      <c r="F203" s="56">
        <f>F48</f>
        <v/>
      </c>
      <c r="G203" s="57" t="n">
        <v>1.8</v>
      </c>
      <c r="H203" s="57" t="n">
        <v>1</v>
      </c>
      <c r="I203" s="57" t="n">
        <v>1</v>
      </c>
      <c r="J203" s="92" t="n"/>
      <c r="K203" s="92" t="n"/>
      <c r="L203" s="57" t="n">
        <v>1</v>
      </c>
      <c r="M203" s="43" t="inlineStr">
        <is>
          <t>Armour Splitter</t>
        </is>
      </c>
      <c r="N203" s="46" t="n"/>
      <c r="O203" s="57" t="n">
        <v>1.5</v>
      </c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  <c r="Z203" s="57" t="n"/>
      <c r="AA203" s="57" t="n"/>
      <c r="AB203" s="57" t="n"/>
      <c r="AC203" s="57" t="n"/>
      <c r="AD203" s="57" t="n"/>
      <c r="AE203" s="57" t="n"/>
      <c r="AF203" s="57" t="n"/>
      <c r="AG203" s="57" t="n"/>
      <c r="AH203" s="57" t="n"/>
      <c r="AI203" s="57" t="n"/>
      <c r="AJ203" s="57" t="n"/>
      <c r="AK203" s="57" t="n"/>
      <c r="AL203" s="57" t="n"/>
      <c r="AM203" s="57" t="inlineStr">
        <is>
          <t>Yes</t>
        </is>
      </c>
      <c r="AN203" s="57" t="n"/>
      <c r="AO203" s="57" t="n"/>
      <c r="AP203" s="57" t="n"/>
      <c r="AQ203" s="57" t="n"/>
      <c r="AR203" s="57" t="n"/>
      <c r="AS203" s="57" t="n"/>
      <c r="AT203" s="57" t="n"/>
      <c r="CI203" s="81" t="inlineStr">
        <is>
          <t>C</t>
        </is>
      </c>
      <c r="CJ203" s="81" t="inlineStr">
        <is>
          <t>Hit dinos lose their armour</t>
        </is>
      </c>
    </row>
    <row r="204">
      <c r="A204" s="43" t="inlineStr">
        <is>
          <t>Mortar Pit</t>
        </is>
      </c>
      <c r="B204" s="43" t="inlineStr">
        <is>
          <t>Concussive</t>
        </is>
      </c>
      <c r="C204" s="43" t="inlineStr">
        <is>
          <t>damage</t>
        </is>
      </c>
      <c r="D204" s="56" t="n">
        <v>5</v>
      </c>
      <c r="E204" s="56">
        <f>E49</f>
        <v/>
      </c>
      <c r="F204" s="56">
        <f>F49</f>
        <v/>
      </c>
      <c r="G204" s="57" t="n">
        <v>2.4</v>
      </c>
      <c r="H204" s="57" t="n">
        <v>1</v>
      </c>
      <c r="I204" s="57" t="n">
        <v>1</v>
      </c>
      <c r="J204" s="92" t="n"/>
      <c r="K204" s="92" t="n"/>
      <c r="L204" s="57" t="n">
        <v>1</v>
      </c>
      <c r="M204" s="43" t="inlineStr">
        <is>
          <t>Seismic Charge</t>
        </is>
      </c>
      <c r="N204" s="46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>
        <v>10</v>
      </c>
      <c r="X204" s="57" t="n"/>
      <c r="Y204" s="57" t="n"/>
      <c r="Z204" s="57" t="n"/>
      <c r="AA204" s="57" t="n"/>
      <c r="AB204" s="57" t="n"/>
      <c r="AC204" s="57" t="n"/>
      <c r="AD204" s="57" t="n"/>
      <c r="AE204" s="57" t="n"/>
      <c r="AF204" s="57" t="n"/>
      <c r="AG204" s="57" t="n"/>
      <c r="AH204" s="57" t="n"/>
      <c r="AI204" s="57" t="n"/>
      <c r="AJ204" s="57" t="n"/>
      <c r="AK204" s="57" t="n"/>
      <c r="AL204" s="57" t="n"/>
      <c r="AM204" s="57" t="n"/>
      <c r="AN204" s="57" t="n"/>
      <c r="AO204" s="57" t="n"/>
      <c r="AP204" s="57" t="n"/>
      <c r="AQ204" s="57" t="n"/>
      <c r="AR204" s="57" t="n"/>
      <c r="AS204" s="57" t="n"/>
      <c r="AT204" s="57" t="n"/>
      <c r="CI204" s="81" t="inlineStr">
        <is>
          <t>B</t>
        </is>
      </c>
      <c r="CJ204" s="81" t="inlineStr">
        <is>
          <t>Throws dinos 10 studs back</t>
        </is>
      </c>
    </row>
    <row r="205">
      <c r="A205" s="43" t="inlineStr">
        <is>
          <t>Mortar Pit</t>
        </is>
      </c>
      <c r="B205" s="43" t="inlineStr">
        <is>
          <t>Concussive</t>
        </is>
      </c>
      <c r="C205" s="43" t="inlineStr">
        <is>
          <t>damage</t>
        </is>
      </c>
      <c r="D205" s="56" t="n">
        <v>5</v>
      </c>
      <c r="E205" s="56">
        <f>E49</f>
        <v/>
      </c>
      <c r="F205" s="56">
        <f>F49</f>
        <v/>
      </c>
      <c r="G205" s="57" t="n">
        <v>2.3</v>
      </c>
      <c r="H205" s="57" t="n">
        <v>1</v>
      </c>
      <c r="I205" s="57" t="n">
        <v>1</v>
      </c>
      <c r="J205" s="92" t="n"/>
      <c r="K205" s="92" t="n"/>
      <c r="L205" s="57" t="n">
        <v>1</v>
      </c>
      <c r="M205" s="43" t="inlineStr">
        <is>
          <t>Rockfall</t>
        </is>
      </c>
      <c r="N205" s="46" t="n"/>
      <c r="O205" s="57" t="n"/>
      <c r="P205" s="57" t="n"/>
      <c r="Q205" s="57" t="n"/>
      <c r="R205" s="57" t="n"/>
      <c r="S205" s="57" t="n"/>
      <c r="T205" s="57" t="n"/>
      <c r="U205" s="57" t="n">
        <v>0.5</v>
      </c>
      <c r="V205" s="57" t="inlineStr">
        <is>
          <t>Yes</t>
        </is>
      </c>
      <c r="W205" s="57" t="n"/>
      <c r="X205" s="57" t="n"/>
      <c r="Y205" s="57" t="n"/>
      <c r="Z205" s="57" t="n"/>
      <c r="AA205" s="57" t="n"/>
      <c r="AB205" s="57" t="n"/>
      <c r="AC205" s="57" t="n"/>
      <c r="AD205" s="57" t="n"/>
      <c r="AE205" s="57" t="n"/>
      <c r="AF205" s="57" t="n"/>
      <c r="AG205" s="57" t="n"/>
      <c r="AH205" s="57" t="n"/>
      <c r="AI205" s="57" t="n"/>
      <c r="AJ205" s="57" t="n"/>
      <c r="AK205" s="57" t="n"/>
      <c r="AL205" s="57" t="n"/>
      <c r="AM205" s="57" t="n"/>
      <c r="AN205" s="57" t="n"/>
      <c r="AO205" s="57" t="n"/>
      <c r="AP205" s="57" t="n"/>
      <c r="AQ205" s="57" t="n"/>
      <c r="AR205" s="57" t="n"/>
      <c r="AS205" s="57" t="n"/>
      <c r="AT205" s="57" t="n"/>
      <c r="CI205" s="81" t="inlineStr">
        <is>
          <t>C</t>
        </is>
      </c>
      <c r="CJ205" s="81" t="inlineStr">
        <is>
          <t>A short stun that holds bosses too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Close range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76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6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 A/B/C (PLAN Phase 9, DECISIONS #275): tiers 1-3 rows are cumulative; a tier-4 or tier-5 row is one option (Option A/B/C, Blurb = its card line, max 60 chars) and holds ONLY ITS OWN STEP over the tier below; so does tier 6 (no option) (x columns multiply, amounts take the higher, flags add, overrides replace; blank = no change). The exporter composes every build. New options are appended at the bottom.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  <c r="AS4" s="104" t="inlineStr">
        <is>
          <t>Size breaks</t>
        </is>
      </c>
      <c r="AT4" s="104" t="inlineStr">
        <is>
          <t>Burn patch reach (studs)</t>
        </is>
      </c>
      <c r="AU4" s="104" t="inlineStr">
        <is>
          <t>Staggered reload</t>
        </is>
      </c>
      <c r="AV4" s="104" t="inlineStr">
        <is>
          <t>Ricochet reload (rounds)</t>
        </is>
      </c>
      <c r="AW4" s="104" t="inlineStr">
        <is>
          <t>Burst recoil reset</t>
        </is>
      </c>
      <c r="AX4" s="104" t="inlineStr">
        <is>
          <t>Spun-up belt</t>
        </is>
      </c>
      <c r="AY4" s="104" t="inlineStr">
        <is>
          <t>Still spread x</t>
        </is>
      </c>
      <c r="AZ4" s="104" t="inlineStr">
        <is>
          <t>Scoped spread x</t>
        </is>
      </c>
      <c r="BA4" s="104" t="inlineStr">
        <is>
          <t>Ability charges</t>
        </is>
      </c>
      <c r="BB4" s="81" t="inlineStr">
        <is>
          <t>Option</t>
        </is>
      </c>
      <c r="BC4" s="81" t="inlineStr">
        <is>
          <t>Blurb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1.230769230769</v>
      </c>
      <c r="H8" s="57" t="n"/>
      <c r="I8" s="57" t="n">
        <v>0.941176470588</v>
      </c>
      <c r="J8" s="57" t="n"/>
      <c r="K8" s="57" t="n"/>
      <c r="L8" s="57" t="n"/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  <c r="BB8" s="81" t="inlineStr">
        <is>
          <t>A</t>
        </is>
      </c>
      <c r="BC8" s="81" t="inlineStr">
        <is>
          <t>Fires faster and reloads quicker</t>
        </is>
      </c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1.25</v>
      </c>
      <c r="H9" s="57" t="n">
        <v>1.5</v>
      </c>
      <c r="I9" s="57" t="n">
        <v>0.875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BB9" s="81" t="inlineStr">
        <is>
          <t>A</t>
        </is>
      </c>
      <c r="BC9" s="81" t="inlineStr">
        <is>
          <t>Both guns go full-auto</t>
        </is>
      </c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1</v>
      </c>
      <c r="K13" s="57" t="n">
        <v>1</v>
      </c>
      <c r="L13" s="57" t="n">
        <v>1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BB13" s="81" t="inlineStr">
        <is>
          <t>A</t>
        </is>
      </c>
      <c r="BC13" s="81" t="inlineStr">
        <is>
          <t>Shots pierce armour</t>
        </is>
      </c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0.833333333333</v>
      </c>
      <c r="K14" s="57" t="n">
        <v>0.8</v>
      </c>
      <c r="L14" s="57" t="n">
        <v>1.125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n"/>
      <c r="AH14" s="57" t="n"/>
      <c r="AI14" s="57" t="n"/>
      <c r="BB14" s="81" t="inlineStr">
        <is>
          <t>A</t>
        </is>
      </c>
      <c r="BC14" s="81" t="inlineStr">
        <is>
          <t>Triple damage to marked dinos</t>
        </is>
      </c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</v>
      </c>
      <c r="I18" s="57" t="n">
        <v>1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  <c r="BB18" s="81" t="inlineStr">
        <is>
          <t>A</t>
        </is>
      </c>
      <c r="BC18" s="81" t="inlineStr">
        <is>
          <t>Your Tracking Dart is ready again sooner</t>
        </is>
      </c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</v>
      </c>
      <c r="I19" s="57" t="n">
        <v>1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1</v>
      </c>
      <c r="AD19" s="57" t="n"/>
      <c r="AE19" s="57" t="n"/>
      <c r="AF19" s="57" t="n"/>
      <c r="AG19" s="57" t="n"/>
      <c r="AH19" s="57" t="n"/>
      <c r="AI19" s="57" t="n"/>
      <c r="BB19" s="81" t="inlineStr">
        <is>
          <t>A</t>
        </is>
      </c>
      <c r="BC19" s="81" t="inlineStr">
        <is>
          <t>Shots bounce 4 times</t>
        </is>
      </c>
    </row>
    <row r="20">
      <c r="A20" s="43" t="inlineStr">
        <is>
          <t>Big Game Hunter</t>
        </is>
      </c>
      <c r="B20" s="43" t="inlineStr">
        <is>
          <t>Stalker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Stalker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Stalker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Stalker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</v>
      </c>
      <c r="H23" s="57" t="n"/>
      <c r="I23" s="57" t="n"/>
      <c r="J23" s="57" t="n">
        <v>1</v>
      </c>
      <c r="K23" s="57" t="n">
        <v>0.75</v>
      </c>
      <c r="L23" s="57" t="n">
        <v>1.3</v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BB23" s="81" t="inlineStr">
        <is>
          <t>A</t>
        </is>
      </c>
      <c r="BC23" s="81" t="inlineStr">
        <is>
          <t>Less kick and longer reach</t>
        </is>
      </c>
    </row>
    <row r="24">
      <c r="A24" s="43" t="inlineStr">
        <is>
          <t>Big Game Hunter</t>
        </is>
      </c>
      <c r="B24" s="43" t="inlineStr">
        <is>
          <t>Stalker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1.071428571429</v>
      </c>
      <c r="H24" s="57" t="n"/>
      <c r="I24" s="57" t="n"/>
      <c r="J24" s="57" t="n">
        <v>0.5</v>
      </c>
      <c r="K24" s="57" t="n">
        <v>0.833333333333</v>
      </c>
      <c r="L24" s="57" t="n">
        <v>1.153846153846</v>
      </c>
      <c r="M24" s="57" t="n">
        <v>1.3</v>
      </c>
      <c r="N24" s="57" t="n"/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BB24" s="81" t="inlineStr">
        <is>
          <t>A</t>
        </is>
      </c>
      <c r="BC24" s="81" t="inlineStr">
        <is>
          <t>4-round bursts with a much tighter grouping</t>
        </is>
      </c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</v>
      </c>
      <c r="I28" s="57" t="n">
        <v>1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>
        <v>0.3</v>
      </c>
      <c r="AF28" s="57" t="n"/>
      <c r="AG28" s="57" t="n"/>
      <c r="AH28" s="57" t="n"/>
      <c r="AI28" s="57" t="n"/>
      <c r="BB28" s="81" t="inlineStr">
        <is>
          <t>A</t>
        </is>
      </c>
      <c r="BC28" s="81" t="inlineStr">
        <is>
          <t>Much less kick while you stand still</t>
        </is>
      </c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1.294117647059</v>
      </c>
      <c r="I29" s="57" t="n">
        <v>1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n"/>
      <c r="AE29" s="57" t="n">
        <v>1</v>
      </c>
      <c r="AF29" s="57" t="n">
        <v>2.5</v>
      </c>
      <c r="AG29" s="57" t="n"/>
      <c r="AH29" s="57" t="n"/>
      <c r="AI29" s="57" t="n"/>
      <c r="BB29" s="81" t="inlineStr">
        <is>
          <t>A</t>
        </is>
      </c>
      <c r="BC29" s="81" t="inlineStr">
        <is>
          <t>Fire rate climbs while you hold the trigger</t>
        </is>
      </c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BB33" s="81" t="inlineStr">
        <is>
          <t>A</t>
        </is>
      </c>
      <c r="BC33" s="81" t="inlineStr">
        <is>
          <t>Hits harder and reaches further</t>
        </is>
      </c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</v>
      </c>
      <c r="M34" s="57" t="n">
        <v>1</v>
      </c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>
        <v>4</v>
      </c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BB34" s="81" t="inlineStr">
        <is>
          <t>A</t>
        </is>
      </c>
      <c r="BC34" s="81" t="inlineStr">
        <is>
          <t>Shots burst with a small splash</t>
        </is>
      </c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0.8</v>
      </c>
      <c r="K38" s="57" t="n"/>
      <c r="L38" s="57" t="n">
        <v>1.181818181818</v>
      </c>
      <c r="M38" s="57" t="n">
        <v>1</v>
      </c>
      <c r="N38" s="57" t="n"/>
      <c r="O38" s="57" t="n"/>
      <c r="P38" s="57" t="n"/>
      <c r="Q38" s="57" t="n"/>
      <c r="R38" s="57" t="n"/>
      <c r="S38" s="57" t="n">
        <v>3</v>
      </c>
      <c r="T38" s="57" t="n"/>
      <c r="U38" s="57" t="n"/>
      <c r="V38" s="57" t="n"/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BB38" s="81" t="inlineStr">
        <is>
          <t>A</t>
        </is>
      </c>
      <c r="BC38" s="81" t="inlineStr">
        <is>
          <t>Tighter, longer slugs that go through 3 dinos</t>
        </is>
      </c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0.625</v>
      </c>
      <c r="K39" s="57" t="n"/>
      <c r="L39" s="57" t="n">
        <v>1.153846153846</v>
      </c>
      <c r="M39" s="57" t="n">
        <v>1.492537313433</v>
      </c>
      <c r="N39" s="57" t="n"/>
      <c r="O39" s="57" t="n"/>
      <c r="P39" s="57" t="n"/>
      <c r="Q39" s="57" t="n"/>
      <c r="R39" s="57" t="n"/>
      <c r="S39" s="57" t="n">
        <v>6</v>
      </c>
      <c r="T39" s="57" t="n"/>
      <c r="U39" s="57" t="n"/>
      <c r="V39" s="57" t="n"/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BB39" s="81" t="inlineStr">
        <is>
          <t>A</t>
        </is>
      </c>
      <c r="BC39" s="81" t="inlineStr">
        <is>
          <t>Slugs go through 6 dinos</t>
        </is>
      </c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1</v>
      </c>
      <c r="K43" s="57" t="n"/>
      <c r="L43" s="57" t="n"/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/>
      <c r="AI43" s="57" t="n"/>
      <c r="BB43" s="81" t="inlineStr">
        <is>
          <t>A</t>
        </is>
      </c>
      <c r="BC43" s="81" t="inlineStr">
        <is>
          <t>Fires faster and reloads quicker</t>
        </is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Thicket Sweeper</t>
        </is>
      </c>
      <c r="F44" s="56">
        <f>ROUND(Tuning!$B$21*POWER(Tuning!$B$22,D44-1),0)</f>
        <v/>
      </c>
      <c r="G44" s="57" t="n">
        <v>1.375</v>
      </c>
      <c r="H44" s="57" t="n">
        <v>2</v>
      </c>
      <c r="I44" s="57" t="n">
        <v>1</v>
      </c>
      <c r="J44" s="57" t="n">
        <v>1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/>
      <c r="AI44" s="57" t="n"/>
      <c r="BB44" s="81" t="inlineStr">
        <is>
          <t>A</t>
        </is>
      </c>
      <c r="BC44" s="81" t="inlineStr">
        <is>
          <t>A full-auto drum</t>
        </is>
      </c>
    </row>
    <row r="45">
      <c r="A45" s="43" t="inlineStr">
        <is>
          <t>Brush Beater</t>
        </is>
      </c>
      <c r="B45" s="43" t="inlineStr">
        <is>
          <t>Point Blank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Point Blank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Point Blank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Point Blank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</v>
      </c>
      <c r="I48" s="57" t="n">
        <v>1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BB48" s="81" t="inlineStr">
        <is>
          <t>A</t>
        </is>
      </c>
      <c r="BC48" s="81" t="inlineStr">
        <is>
          <t>Blasts knock dinos back</t>
        </is>
      </c>
    </row>
    <row r="49">
      <c r="A49" s="43" t="inlineStr">
        <is>
          <t>Brush Beater</t>
        </is>
      </c>
      <c r="B49" s="43" t="inlineStr">
        <is>
          <t>Point Blank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</v>
      </c>
      <c r="I49" s="57" t="n">
        <v>1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BB49" s="81" t="inlineStr">
        <is>
          <t>A</t>
        </is>
      </c>
      <c r="BC49" s="81" t="inlineStr">
        <is>
          <t>Shells explode on impact</t>
        </is>
      </c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1</v>
      </c>
      <c r="AD53" s="57" t="n"/>
      <c r="AE53" s="57" t="n"/>
      <c r="AF53" s="57" t="n"/>
      <c r="AG53" s="57" t="n"/>
      <c r="AH53" s="57" t="n"/>
      <c r="AI53" s="57" t="n"/>
      <c r="AJ53" s="81" t="n">
        <v>1</v>
      </c>
      <c r="AK53" s="81" t="n">
        <v>1.5</v>
      </c>
      <c r="AL53" s="81" t="n"/>
      <c r="BB53" s="81" t="inlineStr">
        <is>
          <t>A</t>
        </is>
      </c>
      <c r="BC53" s="81" t="inlineStr">
        <is>
          <t>Your Triage Kit heals a wider area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1</v>
      </c>
      <c r="AD54" s="57" t="n"/>
      <c r="AE54" s="57" t="n"/>
      <c r="AF54" s="57" t="n"/>
      <c r="AG54" s="57" t="n"/>
      <c r="AH54" s="57" t="n"/>
      <c r="AI54" s="57" t="n"/>
      <c r="AJ54" s="81" t="n">
        <v>1</v>
      </c>
      <c r="AK54" s="81" t="n">
        <v>1</v>
      </c>
      <c r="AL54" s="81" t="n"/>
      <c r="AM54" s="81" t="n">
        <v>30</v>
      </c>
      <c r="AN54" s="81" t="n">
        <v>8</v>
      </c>
      <c r="BB54" s="81" t="inlineStr">
        <is>
          <t>A</t>
        </is>
      </c>
      <c r="BC54" s="81" t="inlineStr">
        <is>
          <t>Everyone you heal takes less damage for a while</t>
        </is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</v>
      </c>
      <c r="H58" s="57" t="n">
        <v>1</v>
      </c>
      <c r="I58" s="57" t="n">
        <v>1</v>
      </c>
      <c r="J58" s="57" t="n"/>
      <c r="K58" s="57" t="n">
        <v>0.5</v>
      </c>
      <c r="L58" s="57" t="n"/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  <c r="BB58" s="81" t="inlineStr">
        <is>
          <t>A</t>
        </is>
      </c>
      <c r="BC58" s="81" t="inlineStr">
        <is>
          <t>Half the kick</t>
        </is>
      </c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1.333333333333</v>
      </c>
      <c r="H59" s="57" t="n">
        <v>1</v>
      </c>
      <c r="I59" s="57" t="n">
        <v>1</v>
      </c>
      <c r="J59" s="57" t="n"/>
      <c r="K59" s="57" t="n">
        <v>1</v>
      </c>
      <c r="L59" s="57" t="n"/>
      <c r="M59" s="57" t="n"/>
      <c r="N59" s="57" t="inlineStr">
        <is>
          <t>auto</t>
        </is>
      </c>
      <c r="O59" s="57" t="n">
        <v>0</v>
      </c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  <c r="BB59" s="81" t="inlineStr">
        <is>
          <t>A</t>
        </is>
      </c>
      <c r="BC59" s="81" t="inlineStr">
        <is>
          <t>Goes full auto</t>
        </is>
      </c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/>
      <c r="AP63" s="81" t="n"/>
      <c r="AQ63" s="81" t="n">
        <v>3</v>
      </c>
      <c r="BB63" s="81" t="inlineStr">
        <is>
          <t>A</t>
        </is>
      </c>
      <c r="BC63" s="81" t="inlineStr">
        <is>
          <t>Jaw Lock keeps a dino's jaws shut for longer</t>
        </is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/>
      <c r="AP64" s="81" t="n"/>
      <c r="AQ64" s="81" t="n"/>
      <c r="AR64" s="81" t="n">
        <v>6</v>
      </c>
      <c r="BB64" s="81" t="inlineStr">
        <is>
          <t>A</t>
        </is>
      </c>
      <c r="BC64" s="81" t="inlineStr">
        <is>
          <t>Jaw Lock spreads to nearby dinos</t>
        </is>
      </c>
    </row>
    <row r="65">
      <c r="A65" s="43" t="inlineStr">
        <is>
          <t>Tracker</t>
        </is>
      </c>
      <c r="B65" s="43" t="inlineStr">
        <is>
          <t>Gunslinger</t>
        </is>
      </c>
      <c r="C65" s="43" t="inlineStr">
        <is>
          <t>handling</t>
        </is>
      </c>
      <c r="D65" s="43" t="n">
        <v>6</v>
      </c>
      <c r="E65" s="43" t="inlineStr">
        <is>
          <t>Hot Swap</t>
        </is>
      </c>
      <c r="F65" s="56">
        <f>ROUND(Tuning!$B$21*POWER(Tuning!$B$22,D65-1),0)</f>
        <v/>
      </c>
      <c r="G65" s="57" t="n">
        <v>1</v>
      </c>
      <c r="H65" s="57" t="n">
        <v>1</v>
      </c>
      <c r="I65" s="57" t="n">
        <v>0.8</v>
      </c>
      <c r="J65" s="57" t="n"/>
      <c r="K65" s="57" t="n"/>
      <c r="L65" s="57" t="n"/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U65" s="81" t="inlineStr">
        <is>
          <t>Yes</t>
        </is>
      </c>
    </row>
    <row r="66">
      <c r="A66" s="43" t="inlineStr">
        <is>
          <t>Tracker</t>
        </is>
      </c>
      <c r="B66" s="43" t="inlineStr">
        <is>
          <t>Marksman</t>
        </is>
      </c>
      <c r="C66" s="43" t="inlineStr">
        <is>
          <t>accuracy</t>
        </is>
      </c>
      <c r="D66" s="43" t="n">
        <v>6</v>
      </c>
      <c r="E66" s="43" t="inlineStr">
        <is>
          <t>Heart Shot</t>
        </is>
      </c>
      <c r="F66" s="56">
        <f>ROUND(Tuning!$B$21*POWER(Tuning!$B$22,D66-1),0)</f>
        <v/>
      </c>
      <c r="G66" s="57" t="n"/>
      <c r="H66" s="57" t="n"/>
      <c r="I66" s="57" t="n"/>
      <c r="J66" s="57" t="n">
        <v>1</v>
      </c>
      <c r="K66" s="57" t="n">
        <v>1</v>
      </c>
      <c r="L66" s="57" t="n">
        <v>1</v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>
        <v>1</v>
      </c>
      <c r="AC66" s="57" t="n"/>
      <c r="AD66" s="57" t="n"/>
      <c r="AE66" s="57" t="n"/>
      <c r="AF66" s="57" t="n"/>
      <c r="AG66" s="57" t="n"/>
      <c r="AH66" s="57" t="n"/>
      <c r="AI66" s="57" t="n"/>
      <c r="AS66" s="81" t="n">
        <v>2</v>
      </c>
      <c r="AZ66" s="81" t="n">
        <v>0</v>
      </c>
    </row>
    <row r="67">
      <c r="A67" s="43" t="inlineStr">
        <is>
          <t>Tracker</t>
        </is>
      </c>
      <c r="B67" s="43" t="inlineStr">
        <is>
          <t>Trick Shot</t>
        </is>
      </c>
      <c r="C67" s="43" t="inlineStr">
        <is>
          <t>utility</t>
        </is>
      </c>
      <c r="D67" s="43" t="n">
        <v>6</v>
      </c>
      <c r="E67" s="43" t="inlineStr">
        <is>
          <t>Bounce Back</t>
        </is>
      </c>
      <c r="F67" s="56">
        <f>ROUND(Tuning!$B$21*POWER(Tuning!$B$22,D67-1),0)</f>
        <v/>
      </c>
      <c r="G67" s="57" t="n"/>
      <c r="H67" s="57" t="n">
        <v>1</v>
      </c>
      <c r="I67" s="57" t="n">
        <v>1</v>
      </c>
      <c r="J67" s="57" t="n"/>
      <c r="K67" s="57" t="n"/>
      <c r="L67" s="57" t="n"/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>
        <v>1</v>
      </c>
      <c r="AD67" s="57" t="n"/>
      <c r="AE67" s="57" t="n"/>
      <c r="AF67" s="57" t="n"/>
      <c r="AG67" s="57" t="n"/>
      <c r="AH67" s="57" t="n"/>
      <c r="AI67" s="57" t="n"/>
      <c r="AV67" s="81" t="n">
        <v>1</v>
      </c>
    </row>
    <row r="68">
      <c r="A68" s="43" t="inlineStr">
        <is>
          <t>Big Game Hunter</t>
        </is>
      </c>
      <c r="B68" s="43" t="inlineStr">
        <is>
          <t>Stalker</t>
        </is>
      </c>
      <c r="C68" s="43" t="inlineStr">
        <is>
          <t>control</t>
        </is>
      </c>
      <c r="D68" s="43" t="n">
        <v>6</v>
      </c>
      <c r="E68" s="43" t="inlineStr">
        <is>
          <t>Big Five</t>
        </is>
      </c>
      <c r="F68" s="56">
        <f>ROUND(Tuning!$B$21*POWER(Tuning!$B$22,D68-1),0)</f>
        <v/>
      </c>
      <c r="G68" s="57" t="n">
        <v>1</v>
      </c>
      <c r="H68" s="57" t="n"/>
      <c r="I68" s="57" t="n"/>
      <c r="J68" s="57" t="n">
        <v>1</v>
      </c>
      <c r="K68" s="57" t="n">
        <v>1</v>
      </c>
      <c r="L68" s="57" t="n">
        <v>1</v>
      </c>
      <c r="M68" s="57" t="n">
        <v>1</v>
      </c>
      <c r="N68" s="57" t="n"/>
      <c r="O68" s="57" t="n">
        <v>5</v>
      </c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W68" s="81" t="inlineStr">
        <is>
          <t>Yes</t>
        </is>
      </c>
    </row>
    <row r="69">
      <c r="A69" s="43" t="inlineStr">
        <is>
          <t>Big Game Hunter</t>
        </is>
      </c>
      <c r="B69" s="43" t="inlineStr">
        <is>
          <t>Heavy</t>
        </is>
      </c>
      <c r="C69" s="43" t="inlineStr">
        <is>
          <t>sustain</t>
        </is>
      </c>
      <c r="D69" s="43" t="n">
        <v>6</v>
      </c>
      <c r="E69" s="43" t="inlineStr">
        <is>
          <t>Endless Belt</t>
        </is>
      </c>
      <c r="F69" s="56">
        <f>ROUND(Tuning!$B$21*POWER(Tuning!$B$22,D69-1),0)</f>
        <v/>
      </c>
      <c r="G69" s="57" t="n"/>
      <c r="H69" s="57" t="n">
        <v>1</v>
      </c>
      <c r="I69" s="57" t="n">
        <v>1</v>
      </c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>
        <v>1</v>
      </c>
      <c r="AF69" s="57" t="n">
        <v>1</v>
      </c>
      <c r="AG69" s="57" t="n"/>
      <c r="AH69" s="57" t="n"/>
      <c r="AI69" s="57" t="n"/>
      <c r="AX69" s="81" t="inlineStr">
        <is>
          <t>Yes</t>
        </is>
      </c>
    </row>
    <row r="70">
      <c r="A70" s="43" t="inlineStr">
        <is>
          <t>Big Game Hunter</t>
        </is>
      </c>
      <c r="B70" s="43" t="inlineStr">
        <is>
          <t>Special Ammo</t>
        </is>
      </c>
      <c r="C70" s="43" t="inlineStr">
        <is>
          <t>rounds</t>
        </is>
      </c>
      <c r="D70" s="43" t="n">
        <v>6</v>
      </c>
      <c r="E70" s="43" t="inlineStr">
        <is>
          <t>Dynamite Rounds</t>
        </is>
      </c>
      <c r="F70" s="56">
        <f>ROUND(Tuning!$B$21*POWER(Tuning!$B$22,D70-1),0)</f>
        <v/>
      </c>
      <c r="G70" s="57" t="n"/>
      <c r="H70" s="57" t="n"/>
      <c r="I70" s="57" t="n"/>
      <c r="J70" s="57" t="n"/>
      <c r="K70" s="57" t="n"/>
      <c r="L70" s="57" t="n">
        <v>1</v>
      </c>
      <c r="M70" s="57" t="n">
        <v>1</v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>
        <v>6</v>
      </c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</row>
    <row r="71">
      <c r="A71" s="43" t="inlineStr">
        <is>
          <t>Brush Beater</t>
        </is>
      </c>
      <c r="B71" s="43" t="inlineStr">
        <is>
          <t>Slug</t>
        </is>
      </c>
      <c r="C71" s="43" t="inlineStr">
        <is>
          <t>reach</t>
        </is>
      </c>
      <c r="D71" s="43" t="n">
        <v>6</v>
      </c>
      <c r="E71" s="43" t="inlineStr">
        <is>
          <t>Thunder Slug</t>
        </is>
      </c>
      <c r="F71" s="56">
        <f>ROUND(Tuning!$B$21*POWER(Tuning!$B$22,D71-1),0)</f>
        <v/>
      </c>
      <c r="G71" s="57" t="n"/>
      <c r="H71" s="57" t="n"/>
      <c r="I71" s="57" t="n"/>
      <c r="J71" s="57" t="n">
        <v>1</v>
      </c>
      <c r="K71" s="57" t="n"/>
      <c r="L71" s="57" t="n">
        <v>1</v>
      </c>
      <c r="M71" s="57" t="n">
        <v>1</v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S71" s="81" t="n">
        <v>2</v>
      </c>
      <c r="AY71" s="81" t="n">
        <v>0</v>
      </c>
    </row>
    <row r="72">
      <c r="A72" s="43" t="inlineStr">
        <is>
          <t>Brush Beater</t>
        </is>
      </c>
      <c r="B72" s="43" t="inlineStr">
        <is>
          <t>Buckshot</t>
        </is>
      </c>
      <c r="C72" s="43" t="inlineStr">
        <is>
          <t>crowds</t>
        </is>
      </c>
      <c r="D72" s="43" t="n">
        <v>6</v>
      </c>
      <c r="E72" s="43" t="inlineStr">
        <is>
          <t>Wildfire Drum</t>
        </is>
      </c>
      <c r="F72" s="56">
        <f>ROUND(Tuning!$B$21*POWER(Tuning!$B$22,D72-1),0)</f>
        <v/>
      </c>
      <c r="G72" s="57" t="n">
        <v>1</v>
      </c>
      <c r="H72" s="57" t="n">
        <v>1.5</v>
      </c>
      <c r="I72" s="57" t="n">
        <v>1</v>
      </c>
      <c r="J72" s="57" t="n">
        <v>1</v>
      </c>
      <c r="K72" s="57" t="n"/>
      <c r="L72" s="57" t="n"/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T72" s="81" t="n">
        <v>4</v>
      </c>
    </row>
    <row r="73">
      <c r="A73" s="43" t="inlineStr">
        <is>
          <t>Brush Beater</t>
        </is>
      </c>
      <c r="B73" s="43" t="inlineStr">
        <is>
          <t>Point Blank</t>
        </is>
      </c>
      <c r="C73" s="43" t="inlineStr">
        <is>
          <t>burst</t>
        </is>
      </c>
      <c r="D73" s="43" t="n">
        <v>6</v>
      </c>
      <c r="E73" s="43" t="inlineStr">
        <is>
          <t>Quad Barrel</t>
        </is>
      </c>
      <c r="F73" s="56">
        <f>ROUND(Tuning!$B$21*POWER(Tuning!$B$22,D73-1),0)</f>
        <v/>
      </c>
      <c r="G73" s="57" t="n"/>
      <c r="H73" s="57" t="n">
        <v>1</v>
      </c>
      <c r="I73" s="57" t="n">
        <v>1.25</v>
      </c>
      <c r="J73" s="57" t="n"/>
      <c r="K73" s="57" t="n"/>
      <c r="L73" s="57" t="n"/>
      <c r="M73" s="57" t="n"/>
      <c r="N73" s="57" t="n"/>
      <c r="O73" s="57" t="n"/>
      <c r="P73" s="57" t="n"/>
      <c r="Q73" s="57" t="n"/>
      <c r="R73" s="57" t="n">
        <v>4</v>
      </c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</row>
    <row r="74">
      <c r="A74" s="43" t="inlineStr">
        <is>
          <t>Field Medic</t>
        </is>
      </c>
      <c r="B74" s="43" t="inlineStr">
        <is>
          <t>Triage</t>
        </is>
      </c>
      <c r="C74" s="43" t="inlineStr">
        <is>
          <t>ability</t>
        </is>
      </c>
      <c r="D74" s="43" t="n">
        <v>6</v>
      </c>
      <c r="E74" s="43" t="inlineStr">
        <is>
          <t>Rapid Response</t>
        </is>
      </c>
      <c r="F74" s="56">
        <f>ROUND(Tuning!$B$21*POWER(Tuning!$B$22,D74-1),0)</f>
        <v/>
      </c>
      <c r="G74" s="57" t="n"/>
      <c r="H74" s="57" t="n"/>
      <c r="I74" s="57" t="n"/>
      <c r="J74" s="57" t="n"/>
      <c r="K74" s="57" t="n"/>
      <c r="L74" s="57" t="n"/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>
        <v>1</v>
      </c>
      <c r="AD74" s="57" t="n"/>
      <c r="AE74" s="57" t="n"/>
      <c r="AF74" s="57" t="n"/>
      <c r="AG74" s="57" t="n"/>
      <c r="AH74" s="57" t="n"/>
      <c r="AI74" s="57" t="n"/>
      <c r="AJ74" s="81" t="n">
        <v>1</v>
      </c>
      <c r="AK74" s="81" t="n">
        <v>1</v>
      </c>
      <c r="AL74" s="81" t="n"/>
      <c r="AM74" s="81" t="n"/>
      <c r="AN74" s="81" t="n"/>
      <c r="BA74" s="81" t="n">
        <v>2</v>
      </c>
    </row>
    <row r="75">
      <c r="A75" s="43" t="inlineStr">
        <is>
          <t>Field Medic</t>
        </is>
      </c>
      <c r="B75" s="43" t="inlineStr">
        <is>
          <t>Lever Action</t>
        </is>
      </c>
      <c r="C75" s="43" t="inlineStr">
        <is>
          <t>handling</t>
        </is>
      </c>
      <c r="D75" s="43" t="n">
        <v>6</v>
      </c>
      <c r="E75" s="43" t="inlineStr">
        <is>
          <t>Bottomless Tube</t>
        </is>
      </c>
      <c r="F75" s="56">
        <f>ROUND(Tuning!$B$21*POWER(Tuning!$B$22,D75-1),0)</f>
        <v/>
      </c>
      <c r="G75" s="57" t="n">
        <v>1</v>
      </c>
      <c r="H75" s="57" t="n">
        <v>1.5</v>
      </c>
      <c r="I75" s="57" t="n">
        <v>0.5</v>
      </c>
      <c r="J75" s="57" t="n"/>
      <c r="K75" s="57" t="n">
        <v>1</v>
      </c>
      <c r="L75" s="57" t="n"/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</row>
    <row r="76">
      <c r="A76" s="43" t="inlineStr">
        <is>
          <t>Field Medic</t>
        </is>
      </c>
      <c r="B76" s="43" t="inlineStr">
        <is>
          <t>Muzzle</t>
        </is>
      </c>
      <c r="C76" s="43" t="inlineStr">
        <is>
          <t>protective rounds</t>
        </is>
      </c>
      <c r="D76" s="43" t="n">
        <v>6</v>
      </c>
      <c r="E76" s="43" t="inlineStr">
        <is>
          <t>Lights Out</t>
        </is>
      </c>
      <c r="F76" s="56">
        <f>ROUND(Tuning!$B$21*POWER(Tuning!$B$22,D76-1),0)</f>
        <v/>
      </c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O76" s="81" t="n"/>
      <c r="AP76" s="81" t="n"/>
      <c r="AQ76" s="81" t="n">
        <v>4</v>
      </c>
      <c r="AR76" s="81" t="n">
        <v>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  <col width="14" customWidth="1" style="90" min="10" max="10"/>
    <col width="14" customWidth="1" style="90" min="11" max="11"/>
    <col width="14" customWidth="1" style="90" min="12" max="12"/>
    <col width="14" customWidth="1" style="90" min="13" max="13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gun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  <c r="J4" s="104" t="inlineStr">
        <is>
          <t>Pick-up reach +</t>
        </is>
      </c>
      <c r="K4" s="104" t="inlineStr">
        <is>
          <t>Heal per round +</t>
        </is>
      </c>
      <c r="L4" s="104" t="inlineStr">
        <is>
          <t>Respawn x</t>
        </is>
      </c>
      <c r="M4" s="104" t="inlineStr">
        <is>
          <t>Repair cost x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  <c r="L5" s="81" t="n">
        <v>1</v>
      </c>
      <c r="M5" s="81" t="n">
        <v>1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  <c r="L6" s="81" t="n">
        <v>1</v>
      </c>
      <c r="M6" s="81" t="n">
        <v>1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  <c r="L7" s="81" t="n">
        <v>1</v>
      </c>
      <c r="M7" s="81" t="n">
        <v>1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  <c r="L8" s="81" t="n">
        <v>1</v>
      </c>
      <c r="M8" s="81" t="n">
        <v>1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  <c r="L9" s="81" t="n">
        <v>1</v>
      </c>
      <c r="M9" s="81" t="n">
        <v>1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inlineStr">
        <is>
          <t>Long Arms I: pick up chests and med kits from 2 studs away</t>
        </is>
      </c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  <c r="J10" s="81" t="n">
        <v>2</v>
      </c>
      <c r="L10" s="81" t="n">
        <v>1</v>
      </c>
      <c r="M10" s="81" t="n">
        <v>1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inlineStr">
        <is>
          <t>First Aid I: heal 5 more HP when a round is cleared</t>
        </is>
      </c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  <c r="J11" s="81" t="n">
        <v>2</v>
      </c>
      <c r="K11" s="81" t="n">
        <v>5</v>
      </c>
      <c r="L11" s="81" t="n">
        <v>1</v>
      </c>
      <c r="M11" s="81" t="n">
        <v>1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inlineStr">
        <is>
          <t>Back in Action I: respawn 10% sooner</t>
        </is>
      </c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  <c r="J12" s="81" t="n">
        <v>2</v>
      </c>
      <c r="K12" s="81" t="n">
        <v>5</v>
      </c>
      <c r="L12" s="81" t="n">
        <v>0.9</v>
      </c>
      <c r="M12" s="81" t="n">
        <v>1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inlineStr">
        <is>
          <t>Handyman I: repairs cost 5% less</t>
        </is>
      </c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  <c r="J13" s="81" t="n">
        <v>2</v>
      </c>
      <c r="K13" s="81" t="n">
        <v>5</v>
      </c>
      <c r="L13" s="81" t="n">
        <v>0.9</v>
      </c>
      <c r="M13" s="81" t="n">
        <v>0.95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free, plus this hero's mastery-10 ability perk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  <c r="J14" s="81" t="n">
        <v>2</v>
      </c>
      <c r="K14" s="81" t="n">
        <v>5</v>
      </c>
      <c r="L14" s="81" t="n">
        <v>0.9</v>
      </c>
      <c r="M14" s="81" t="n">
        <v>0.95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inlineStr">
        <is>
          <t>Long Arms II: pick up chests and med kits from 4 studs away</t>
        </is>
      </c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  <c r="J15" s="81" t="n">
        <v>4</v>
      </c>
      <c r="K15" s="81" t="n">
        <v>5</v>
      </c>
      <c r="L15" s="81" t="n">
        <v>0.9</v>
      </c>
      <c r="M15" s="81" t="n">
        <v>0.95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inlineStr">
        <is>
          <t>First Aid II: heal 10 more HP when a round is cleared</t>
        </is>
      </c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  <c r="J16" s="81" t="n">
        <v>4</v>
      </c>
      <c r="K16" s="81" t="n">
        <v>10</v>
      </c>
      <c r="L16" s="81" t="n">
        <v>0.9</v>
      </c>
      <c r="M16" s="81" t="n">
        <v>0.95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inlineStr">
        <is>
          <t>Back in Action II: respawn 20% sooner</t>
        </is>
      </c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  <c r="J17" s="81" t="n">
        <v>4</v>
      </c>
      <c r="K17" s="81" t="n">
        <v>10</v>
      </c>
      <c r="L17" s="81" t="n">
        <v>0.8</v>
      </c>
      <c r="M17" s="81" t="n">
        <v>0.95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inlineStr">
        <is>
          <t>Handyman II: repairs cost 10% less</t>
        </is>
      </c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  <c r="J18" s="81" t="n">
        <v>4</v>
      </c>
      <c r="K18" s="81" t="n">
        <v>10</v>
      </c>
      <c r="L18" s="81" t="n">
        <v>0.8</v>
      </c>
      <c r="M18" s="81" t="n">
        <v>0.9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-30%, plus this hero's mastery-15 ability perk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  <c r="J19" s="81" t="n">
        <v>4</v>
      </c>
      <c r="K19" s="81" t="n">
        <v>10</v>
      </c>
      <c r="L19" s="81" t="n">
        <v>0.8</v>
      </c>
      <c r="M19" s="81" t="n">
        <v>0.9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inlineStr">
        <is>
          <t>Long Arms III: pick up chests and med kits from 6 studs away</t>
        </is>
      </c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  <c r="J20" s="81" t="n">
        <v>6</v>
      </c>
      <c r="K20" s="81" t="n">
        <v>10</v>
      </c>
      <c r="L20" s="81" t="n">
        <v>0.8</v>
      </c>
      <c r="M20" s="81" t="n">
        <v>0.9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inlineStr">
        <is>
          <t>First Aid III: heal 15 more HP when a round is cleared</t>
        </is>
      </c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  <c r="J21" s="81" t="n">
        <v>6</v>
      </c>
      <c r="K21" s="81" t="n">
        <v>15</v>
      </c>
      <c r="L21" s="81" t="n">
        <v>0.8</v>
      </c>
      <c r="M21" s="81" t="n">
        <v>0.9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inlineStr">
        <is>
          <t>Back in Action III: respawn 30% sooner</t>
        </is>
      </c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  <c r="J22" s="81" t="n">
        <v>6</v>
      </c>
      <c r="K22" s="81" t="n">
        <v>15</v>
      </c>
      <c r="L22" s="81" t="n">
        <v>0.7</v>
      </c>
      <c r="M22" s="81" t="n">
        <v>0.9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inlineStr">
        <is>
          <t>Handyman III: repairs cost 15% less</t>
        </is>
      </c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  <c r="J23" s="81" t="n">
        <v>6</v>
      </c>
      <c r="K23" s="81" t="n">
        <v>15</v>
      </c>
      <c r="L23" s="81" t="n">
        <v>0.7</v>
      </c>
      <c r="M23" s="81" t="n">
        <v>0.85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  <c r="J24" s="81" t="n">
        <v>6</v>
      </c>
      <c r="K24" s="81" t="n">
        <v>15</v>
      </c>
      <c r="L24" s="81" t="n">
        <v>0.7</v>
      </c>
      <c r="M24" s="81" t="n">
        <v>0.85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  <c r="Y4" s="104" t="inlineStr">
        <is>
          <t>Break resist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  <c r="Y5" s="106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  <c r="Y6" s="106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  <c r="Y7" s="106" t="n">
        <v>0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  <c r="Y8" s="106" t="n">
        <v>1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  <c r="Y9" s="106" t="n">
        <v>0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  <c r="Y10" s="106" t="n">
        <v>0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  <c r="Y11" s="106" t="n">
        <v>1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  <c r="Y12" s="106" t="n">
        <v>2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  <c r="K4" s="21" t="inlineStr">
        <is>
          <t>Starting cash</t>
        </is>
      </c>
      <c r="L4" s="21" t="inlineStr">
        <is>
          <t>Tower damage x</t>
        </is>
      </c>
      <c r="M4" s="21" t="inlineStr">
        <is>
          <t>Hero damage x</t>
        </is>
      </c>
      <c r="N4" s="21" t="inlineStr">
        <is>
          <t>Clear XP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  <c r="K5" s="27" t="n">
        <v>450</v>
      </c>
      <c r="L5" s="27" t="n">
        <v>1</v>
      </c>
      <c r="M5" s="27" t="n">
        <v>1</v>
      </c>
      <c r="N5" s="27" t="n">
        <v>500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  <c r="K6" s="27" t="n">
        <v>450</v>
      </c>
      <c r="L6" s="27" t="n">
        <v>1</v>
      </c>
      <c r="M6" s="27" t="n">
        <v>1</v>
      </c>
      <c r="N6" s="27" t="n">
        <v>1000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  <c r="K7" s="27" t="n">
        <v>850</v>
      </c>
      <c r="L7" s="27" t="n">
        <v>1</v>
      </c>
      <c r="M7" s="27" t="n">
        <v>1</v>
      </c>
      <c r="N7" s="27" t="n">
        <v>1500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  <c r="K8" s="27" t="n">
        <v>450</v>
      </c>
      <c r="L8" s="27" t="n">
        <v>0.6</v>
      </c>
      <c r="M8" s="27" t="n">
        <v>1.5</v>
      </c>
      <c r="N8" s="27" t="n">
        <v>2000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Take down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Take down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Take down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Take down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Take down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Take down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Take down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Deeper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Take down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Long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Take down {n} Triceratops (team take-downs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Take down a T-Rex (team take-downs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Longest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4" customWidth="1" style="90" min="2" max="2"/>
    <col width="18" customWidth="1" style="90" min="3" max="3"/>
    <col width="70" customWidth="1" style="90" min="4" max="4"/>
    <col width="18" customWidth="1" style="90" min="5" max="5"/>
    <col width="18" customWidth="1" style="90" min="6" max="6"/>
    <col width="18" customWidth="1" style="90" min="7" max="7"/>
    <col width="18" customWidth="1" style="90" min="8" max="8"/>
    <col width="18" customWidth="1" style="90" min="9" max="9"/>
    <col width="18" customWidth="1" style="90" min="10" max="10"/>
    <col width="18" customWidth="1" style="90" min="11" max="11"/>
    <col width="18" customWidth="1" style="90" min="12" max="12"/>
  </cols>
  <sheetData>
    <row r="1">
      <c r="A1" s="2" t="inlineStr">
        <is>
          <t>MASTERY PERKS — a level-10 and a level-15 ability perk per hunter</t>
        </is>
      </c>
    </row>
    <row r="2">
      <c r="A2" s="5" t="inlineStr">
        <is>
          <t>A hunter with mastery at or above the level has the perk (15 has both). Values are added to the hero's base ability value (Heroes sheet) before path multipliers. Blank = 0. Worth % = 100 x (seconds / base + radius / base + power / base + extra marks x extra mark power) + burn % per s x burn seconds: level 15 must be worth more than level 10, both at most Tuning 'Mastery perk worth cap'. Abilities only: no stun time, no gun damage (DECISIONS #97-#99).</t>
        </is>
      </c>
    </row>
    <row r="4">
      <c r="A4" s="21" t="inlineStr">
        <is>
          <t>Hero key</t>
        </is>
      </c>
      <c r="B4" s="21" t="inlineStr">
        <is>
          <t>Mastery level</t>
        </is>
      </c>
      <c r="C4" s="21" t="inlineStr">
        <is>
          <t>Name</t>
        </is>
      </c>
      <c r="D4" s="21" t="inlineStr">
        <is>
          <t>Text</t>
        </is>
      </c>
      <c r="E4" s="21" t="inlineStr">
        <is>
          <t>Ability seconds +</t>
        </is>
      </c>
      <c r="F4" s="21" t="inlineStr">
        <is>
          <t>Ability radius +</t>
        </is>
      </c>
      <c r="G4" s="21" t="inlineStr">
        <is>
          <t>Ability power +</t>
        </is>
      </c>
      <c r="H4" s="21" t="inlineStr">
        <is>
          <t>Extra marks</t>
        </is>
      </c>
      <c r="I4" s="21" t="inlineStr">
        <is>
          <t>Extra mark power x</t>
        </is>
      </c>
      <c r="J4" s="21" t="inlineStr">
        <is>
          <t>Extra mark reach</t>
        </is>
      </c>
      <c r="K4" s="21" t="inlineStr">
        <is>
          <t>Strike burn % per s</t>
        </is>
      </c>
      <c r="L4" s="21" t="inlineStr">
        <is>
          <t>Strike burn (s)</t>
        </is>
      </c>
    </row>
    <row r="5">
      <c r="A5" s="43" t="inlineStr">
        <is>
          <t>PISTOL</t>
        </is>
      </c>
      <c r="B5" s="27" t="n">
        <v>10</v>
      </c>
      <c r="C5" s="43" t="inlineStr">
        <is>
          <t>Sticky Dart</t>
        </is>
      </c>
      <c r="D5" s="43" t="inlineStr">
        <is>
          <t>Tracking Dart lasts 2s longer</t>
        </is>
      </c>
      <c r="E5" s="27" t="n">
        <v>2</v>
      </c>
    </row>
    <row r="6">
      <c r="A6" s="43" t="inlineStr">
        <is>
          <t>PISTOL</t>
        </is>
      </c>
      <c r="B6" s="27" t="n">
        <v>15</v>
      </c>
      <c r="C6" s="43" t="inlineStr">
        <is>
          <t>Spare Dart</t>
        </is>
      </c>
      <c r="D6" s="43" t="inlineStr">
        <is>
          <t>Tracking Dart also marks the nearest dino within 10 studs at 40% strength</t>
        </is>
      </c>
      <c r="H6" s="27" t="n">
        <v>1</v>
      </c>
      <c r="I6" s="27" t="n">
        <v>0.4</v>
      </c>
      <c r="J6" s="27" t="n">
        <v>10</v>
      </c>
    </row>
    <row r="7">
      <c r="A7" s="43" t="inlineStr">
        <is>
          <t>RIFLE</t>
        </is>
      </c>
      <c r="B7" s="27" t="n">
        <v>10</v>
      </c>
      <c r="C7" s="43" t="inlineStr">
        <is>
          <t>Hunting Horn</t>
        </is>
      </c>
      <c r="D7" s="43" t="inlineStr">
        <is>
          <t>Rally Cry reaches 6 studs further</t>
        </is>
      </c>
      <c r="F7" s="27" t="n">
        <v>6</v>
      </c>
    </row>
    <row r="8">
      <c r="A8" s="43" t="inlineStr">
        <is>
          <t>RIFLE</t>
        </is>
      </c>
      <c r="B8" s="27" t="n">
        <v>15</v>
      </c>
      <c r="C8" s="43" t="inlineStr">
        <is>
          <t>Long Rally</t>
        </is>
      </c>
      <c r="D8" s="43" t="inlineStr">
        <is>
          <t>Rally Cry lasts 3.5s longer</t>
        </is>
      </c>
      <c r="E8" s="27" t="n">
        <v>3.5</v>
      </c>
    </row>
    <row r="9">
      <c r="A9" s="43" t="inlineStr">
        <is>
          <t>SHOTGUN</t>
        </is>
      </c>
      <c r="B9" s="27" t="n">
        <v>10</v>
      </c>
      <c r="C9" s="43" t="inlineStr">
        <is>
          <t>Wide Flare</t>
        </is>
      </c>
      <c r="D9" s="43" t="inlineStr">
        <is>
          <t>Flare Strike reaches 2.5 studs further</t>
        </is>
      </c>
      <c r="F9" s="27" t="n">
        <v>2.5</v>
      </c>
    </row>
    <row r="10">
      <c r="A10" s="43" t="inlineStr">
        <is>
          <t>SHOTGUN</t>
        </is>
      </c>
      <c r="B10" s="27" t="n">
        <v>15</v>
      </c>
      <c r="C10" s="43" t="inlineStr">
        <is>
          <t>Smoulder</t>
        </is>
      </c>
      <c r="D10" s="43" t="inlineStr">
        <is>
          <t>Flare Strike leaves burning ground for 3s (12% of the strike's damage each second)</t>
        </is>
      </c>
      <c r="K10" s="27" t="n">
        <v>12</v>
      </c>
      <c r="L10" s="27" t="n">
        <v>3</v>
      </c>
    </row>
    <row r="11">
      <c r="A11" s="43" t="inlineStr">
        <is>
          <t>MEDIC</t>
        </is>
      </c>
      <c r="B11" s="27" t="n">
        <v>10</v>
      </c>
      <c r="C11" s="43" t="inlineStr">
        <is>
          <t>Far Reach</t>
        </is>
      </c>
      <c r="D11" s="43" t="inlineStr">
        <is>
          <t>Triage Kit reaches 5 studs further</t>
        </is>
      </c>
      <c r="F11" s="27" t="n">
        <v>5</v>
      </c>
    </row>
    <row r="12">
      <c r="A12" s="43" t="inlineStr">
        <is>
          <t>MEDIC</t>
        </is>
      </c>
      <c r="B12" s="27" t="n">
        <v>15</v>
      </c>
      <c r="C12" s="43" t="inlineStr">
        <is>
          <t>Stocked Kit</t>
        </is>
      </c>
      <c r="D12" s="43" t="inlineStr">
        <is>
          <t>Triage Kit heals 14 more HP</t>
        </is>
      </c>
      <c r="G12" s="27" t="n">
        <v>14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18"/>
  <sheetViews>
    <sheetView workbookViewId="0">
      <selection activeCell="A1" sqref="A1"/>
    </sheetView>
  </sheetViews>
  <sheetFormatPr baseColWidth="8" defaultRowHeight="15"/>
  <cols>
    <col width="16" customWidth="1" style="90" min="1" max="1"/>
    <col width="8" customWidth="1" style="90" min="2" max="2"/>
    <col width="20" customWidth="1" style="90" min="3" max="3"/>
    <col width="22" customWidth="1" style="90" min="4" max="4"/>
    <col width="11" customWidth="1" style="90" min="5" max="5"/>
    <col width="10" customWidth="1" style="90" min="6" max="6"/>
    <col width="14" customWidth="1" style="90" min="7" max="7"/>
    <col width="10" customWidth="1" style="90" min="8" max="8"/>
    <col width="13" customWidth="1" style="90" min="9" max="9"/>
  </cols>
  <sheetData>
    <row r="1">
      <c r="A1" s="107" t="inlineStr">
        <is>
          <t>COSMETICS — player level rewards (names are working names, Dino review T59)</t>
        </is>
      </c>
    </row>
    <row r="2">
      <c r="A2" s="108" t="inlineStr">
        <is>
          <t>One row per reward. Levels 2-99 except multiples of 10: one common each (name colour, gun tint, tracer colour, crosshair colour, tower flag, leaderboard banner). Every 10 to 100: a rare (hunting hat, gun pattern, hit-marker, sprint trail) + a title. 150 and 200: an animated set (legendary) + a title. Nothing else up to 200. Past 200: the row with 'Repeat every' gives a title every N levels, forever ({n} in its name = the level). Cosmetic only: no gameplay effect. No gold: gold is mastery 20's alone (DECISIONS #121). Colour = #RRGGBB; Material = a Roblox material; Pattern: hat Brim/Cap/Crest, hit-marker Cross/Plus/Diamond/Star, set Pulse/Cycle.</t>
        </is>
      </c>
    </row>
    <row r="4">
      <c r="A4" s="104" t="inlineStr">
        <is>
          <t>Id</t>
        </is>
      </c>
      <c r="B4" s="104" t="inlineStr">
        <is>
          <t>Level</t>
        </is>
      </c>
      <c r="C4" s="104" t="inlineStr">
        <is>
          <t>Kind</t>
        </is>
      </c>
      <c r="D4" s="104" t="inlineStr">
        <is>
          <t>Name</t>
        </is>
      </c>
      <c r="E4" s="104" t="inlineStr">
        <is>
          <t>Rarity</t>
        </is>
      </c>
      <c r="F4" s="104" t="inlineStr">
        <is>
          <t>Colour</t>
        </is>
      </c>
      <c r="G4" s="104" t="inlineStr">
        <is>
          <t>Material</t>
        </is>
      </c>
      <c r="H4" s="104" t="inlineStr">
        <is>
          <t>Pattern</t>
        </is>
      </c>
      <c r="I4" s="104" t="inlineStr">
        <is>
          <t>Repeat every</t>
        </is>
      </c>
    </row>
    <row r="5">
      <c r="A5" s="81" t="inlineStr">
        <is>
          <t>NAME_FERN</t>
        </is>
      </c>
      <c r="B5" s="81" t="n">
        <v>2</v>
      </c>
      <c r="C5" s="81" t="inlineStr">
        <is>
          <t>Name colour</t>
        </is>
      </c>
      <c r="D5" s="81" t="inlineStr">
        <is>
          <t>Fern Name</t>
        </is>
      </c>
      <c r="E5" s="81" t="inlineStr">
        <is>
          <t>common</t>
        </is>
      </c>
      <c r="F5" s="81" t="inlineStr">
        <is>
          <t>#4F7942</t>
        </is>
      </c>
    </row>
    <row r="6">
      <c r="A6" s="81" t="inlineStr">
        <is>
          <t>TINT_OCHRE</t>
        </is>
      </c>
      <c r="B6" s="81" t="n">
        <v>3</v>
      </c>
      <c r="C6" s="81" t="inlineStr">
        <is>
          <t>Gun tint</t>
        </is>
      </c>
      <c r="D6" s="81" t="inlineStr">
        <is>
          <t>Ochre Tint</t>
        </is>
      </c>
      <c r="E6" s="81" t="inlineStr">
        <is>
          <t>common</t>
        </is>
      </c>
      <c r="F6" s="81" t="inlineStr">
        <is>
          <t>#CC7722</t>
        </is>
      </c>
    </row>
    <row r="7">
      <c r="A7" s="81" t="inlineStr">
        <is>
          <t>TRACER_ASH</t>
        </is>
      </c>
      <c r="B7" s="81" t="n">
        <v>4</v>
      </c>
      <c r="C7" s="81" t="inlineStr">
        <is>
          <t>Tracer colour</t>
        </is>
      </c>
      <c r="D7" s="81" t="inlineStr">
        <is>
          <t>Ash Tracers</t>
        </is>
      </c>
      <c r="E7" s="81" t="inlineStr">
        <is>
          <t>common</t>
        </is>
      </c>
      <c r="F7" s="81" t="inlineStr">
        <is>
          <t>#B2B2B2</t>
        </is>
      </c>
    </row>
    <row r="8">
      <c r="A8" s="81" t="inlineStr">
        <is>
          <t>SIGHT_SKY</t>
        </is>
      </c>
      <c r="B8" s="81" t="n">
        <v>5</v>
      </c>
      <c r="C8" s="81" t="inlineStr">
        <is>
          <t>Crosshair colour</t>
        </is>
      </c>
      <c r="D8" s="81" t="inlineStr">
        <is>
          <t>Sky Sights</t>
        </is>
      </c>
      <c r="E8" s="81" t="inlineStr">
        <is>
          <t>common</t>
        </is>
      </c>
      <c r="F8" s="81" t="inlineStr">
        <is>
          <t>#78B4E6</t>
        </is>
      </c>
    </row>
    <row r="9">
      <c r="A9" s="81" t="inlineStr">
        <is>
          <t>FLAG_ROSE</t>
        </is>
      </c>
      <c r="B9" s="81" t="n">
        <v>6</v>
      </c>
      <c r="C9" s="81" t="inlineStr">
        <is>
          <t>Tower flag</t>
        </is>
      </c>
      <c r="D9" s="81" t="inlineStr">
        <is>
          <t>Rose Flag</t>
        </is>
      </c>
      <c r="E9" s="81" t="inlineStr">
        <is>
          <t>common</t>
        </is>
      </c>
      <c r="F9" s="81" t="inlineStr">
        <is>
          <t>#DC8296</t>
        </is>
      </c>
    </row>
    <row r="10">
      <c r="A10" s="81" t="inlineStr">
        <is>
          <t>BANNER_FERN</t>
        </is>
      </c>
      <c r="B10" s="81" t="n">
        <v>7</v>
      </c>
      <c r="C10" s="81" t="inlineStr">
        <is>
          <t>Leaderboard banner</t>
        </is>
      </c>
      <c r="D10" s="81" t="inlineStr">
        <is>
          <t>Fern Banner</t>
        </is>
      </c>
      <c r="E10" s="81" t="inlineStr">
        <is>
          <t>common</t>
        </is>
      </c>
      <c r="F10" s="81" t="inlineStr">
        <is>
          <t>#4F7942</t>
        </is>
      </c>
    </row>
    <row r="11">
      <c r="A11" s="81" t="inlineStr">
        <is>
          <t>NAME_MOSS</t>
        </is>
      </c>
      <c r="B11" s="81" t="n">
        <v>8</v>
      </c>
      <c r="C11" s="81" t="inlineStr">
        <is>
          <t>Name colour</t>
        </is>
      </c>
      <c r="D11" s="81" t="inlineStr">
        <is>
          <t>Moss Name</t>
        </is>
      </c>
      <c r="E11" s="81" t="inlineStr">
        <is>
          <t>common</t>
        </is>
      </c>
      <c r="F11" s="81" t="inlineStr">
        <is>
          <t>#8A9A5B</t>
        </is>
      </c>
    </row>
    <row r="12">
      <c r="A12" s="81" t="inlineStr">
        <is>
          <t>TINT_RUST</t>
        </is>
      </c>
      <c r="B12" s="81" t="n">
        <v>9</v>
      </c>
      <c r="C12" s="81" t="inlineStr">
        <is>
          <t>Gun tint</t>
        </is>
      </c>
      <c r="D12" s="81" t="inlineStr">
        <is>
          <t>Rust Tint</t>
        </is>
      </c>
      <c r="E12" s="81" t="inlineStr">
        <is>
          <t>common</t>
        </is>
      </c>
      <c r="F12" s="81" t="inlineStr">
        <is>
          <t>#A04828</t>
        </is>
      </c>
    </row>
    <row r="13">
      <c r="A13" s="81" t="inlineStr">
        <is>
          <t>HAT_BUSH</t>
        </is>
      </c>
      <c r="B13" s="81" t="n">
        <v>10</v>
      </c>
      <c r="C13" s="81" t="inlineStr">
        <is>
          <t>Hunting hat</t>
        </is>
      </c>
      <c r="D13" s="81" t="inlineStr">
        <is>
          <t>Bush Hat</t>
        </is>
      </c>
      <c r="E13" s="81" t="inlineStr">
        <is>
          <t>rare</t>
        </is>
      </c>
      <c r="F13" s="81" t="inlineStr">
        <is>
          <t>#6E7846</t>
        </is>
      </c>
      <c r="G13" s="81" t="inlineStr">
        <is>
          <t>Fabric</t>
        </is>
      </c>
      <c r="H13" s="81" t="inlineStr">
        <is>
          <t>Brim</t>
        </is>
      </c>
    </row>
    <row r="14">
      <c r="A14" s="81" t="inlineStr">
        <is>
          <t>TITLE_10</t>
        </is>
      </c>
      <c r="B14" s="81" t="n">
        <v>10</v>
      </c>
      <c r="C14" s="81" t="inlineStr">
        <is>
          <t>Title</t>
        </is>
      </c>
      <c r="D14" s="81" t="inlineStr">
        <is>
          <t>Greenhorn</t>
        </is>
      </c>
      <c r="E14" s="81" t="inlineStr">
        <is>
          <t>title</t>
        </is>
      </c>
    </row>
    <row r="15">
      <c r="A15" s="81" t="inlineStr">
        <is>
          <t>TRACER_SLATE</t>
        </is>
      </c>
      <c r="B15" s="81" t="n">
        <v>11</v>
      </c>
      <c r="C15" s="81" t="inlineStr">
        <is>
          <t>Tracer colour</t>
        </is>
      </c>
      <c r="D15" s="81" t="inlineStr">
        <is>
          <t>Slate Tracers</t>
        </is>
      </c>
      <c r="E15" s="81" t="inlineStr">
        <is>
          <t>common</t>
        </is>
      </c>
      <c r="F15" s="81" t="inlineStr">
        <is>
          <t>#586373</t>
        </is>
      </c>
    </row>
    <row r="16">
      <c r="A16" s="81" t="inlineStr">
        <is>
          <t>SIGHT_DUSK</t>
        </is>
      </c>
      <c r="B16" s="81" t="n">
        <v>12</v>
      </c>
      <c r="C16" s="81" t="inlineStr">
        <is>
          <t>Crosshair colour</t>
        </is>
      </c>
      <c r="D16" s="81" t="inlineStr">
        <is>
          <t>Dusk Sights</t>
        </is>
      </c>
      <c r="E16" s="81" t="inlineStr">
        <is>
          <t>common</t>
        </is>
      </c>
      <c r="F16" s="81" t="inlineStr">
        <is>
          <t>#62508C</t>
        </is>
      </c>
    </row>
    <row r="17">
      <c r="A17" s="81" t="inlineStr">
        <is>
          <t>FLAG_EMBER</t>
        </is>
      </c>
      <c r="B17" s="81" t="n">
        <v>13</v>
      </c>
      <c r="C17" s="81" t="inlineStr">
        <is>
          <t>Tower flag</t>
        </is>
      </c>
      <c r="D17" s="81" t="inlineStr">
        <is>
          <t>Ember Flag</t>
        </is>
      </c>
      <c r="E17" s="81" t="inlineStr">
        <is>
          <t>common</t>
        </is>
      </c>
      <c r="F17" s="81" t="inlineStr">
        <is>
          <t>#E65A32</t>
        </is>
      </c>
    </row>
    <row r="18">
      <c r="A18" s="81" t="inlineStr">
        <is>
          <t>BANNER_MOSS</t>
        </is>
      </c>
      <c r="B18" s="81" t="n">
        <v>14</v>
      </c>
      <c r="C18" s="81" t="inlineStr">
        <is>
          <t>Leaderboard banner</t>
        </is>
      </c>
      <c r="D18" s="81" t="inlineStr">
        <is>
          <t>Moss Banner</t>
        </is>
      </c>
      <c r="E18" s="81" t="inlineStr">
        <is>
          <t>common</t>
        </is>
      </c>
      <c r="F18" s="81" t="inlineStr">
        <is>
          <t>#8A9A5B</t>
        </is>
      </c>
    </row>
    <row r="19">
      <c r="A19" s="81" t="inlineStr">
        <is>
          <t>NAME_CLAY</t>
        </is>
      </c>
      <c r="B19" s="81" t="n">
        <v>15</v>
      </c>
      <c r="C19" s="81" t="inlineStr">
        <is>
          <t>Name colour</t>
        </is>
      </c>
      <c r="D19" s="81" t="inlineStr">
        <is>
          <t>Clay Name</t>
        </is>
      </c>
      <c r="E19" s="81" t="inlineStr">
        <is>
          <t>common</t>
        </is>
      </c>
      <c r="F19" s="81" t="inlineStr">
        <is>
          <t>#B0684A</t>
        </is>
      </c>
    </row>
    <row r="20">
      <c r="A20" s="81" t="inlineStr">
        <is>
          <t>TINT_BONE</t>
        </is>
      </c>
      <c r="B20" s="81" t="n">
        <v>16</v>
      </c>
      <c r="C20" s="81" t="inlineStr">
        <is>
          <t>Gun tint</t>
        </is>
      </c>
      <c r="D20" s="81" t="inlineStr">
        <is>
          <t>Bone Tint</t>
        </is>
      </c>
      <c r="E20" s="81" t="inlineStr">
        <is>
          <t>common</t>
        </is>
      </c>
      <c r="F20" s="81" t="inlineStr">
        <is>
          <t>#E3DAC9</t>
        </is>
      </c>
    </row>
    <row r="21">
      <c r="A21" s="81" t="inlineStr">
        <is>
          <t>TRACER_TEAL</t>
        </is>
      </c>
      <c r="B21" s="81" t="n">
        <v>17</v>
      </c>
      <c r="C21" s="81" t="inlineStr">
        <is>
          <t>Tracer colour</t>
        </is>
      </c>
      <c r="D21" s="81" t="inlineStr">
        <is>
          <t>Teal Tracers</t>
        </is>
      </c>
      <c r="E21" s="81" t="inlineStr">
        <is>
          <t>common</t>
        </is>
      </c>
      <c r="F21" s="81" t="inlineStr">
        <is>
          <t>#288080</t>
        </is>
      </c>
    </row>
    <row r="22">
      <c r="A22" s="81" t="inlineStr">
        <is>
          <t>SIGHT_PLUM</t>
        </is>
      </c>
      <c r="B22" s="81" t="n">
        <v>18</v>
      </c>
      <c r="C22" s="81" t="inlineStr">
        <is>
          <t>Crosshair colour</t>
        </is>
      </c>
      <c r="D22" s="81" t="inlineStr">
        <is>
          <t>Plum Sights</t>
        </is>
      </c>
      <c r="E22" s="81" t="inlineStr">
        <is>
          <t>common</t>
        </is>
      </c>
      <c r="F22" s="81" t="inlineStr">
        <is>
          <t>#823C64</t>
        </is>
      </c>
    </row>
    <row r="23">
      <c r="A23" s="81" t="inlineStr">
        <is>
          <t>FLAG_SAND</t>
        </is>
      </c>
      <c r="B23" s="81" t="n">
        <v>19</v>
      </c>
      <c r="C23" s="81" t="inlineStr">
        <is>
          <t>Tower flag</t>
        </is>
      </c>
      <c r="D23" s="81" t="inlineStr">
        <is>
          <t>Sand Flag</t>
        </is>
      </c>
      <c r="E23" s="81" t="inlineStr">
        <is>
          <t>common</t>
        </is>
      </c>
      <c r="F23" s="81" t="inlineStr">
        <is>
          <t>#C2B280</t>
        </is>
      </c>
    </row>
    <row r="24">
      <c r="A24" s="81" t="inlineStr">
        <is>
          <t>GUN_IRONWOOD</t>
        </is>
      </c>
      <c r="B24" s="81" t="n">
        <v>20</v>
      </c>
      <c r="C24" s="81" t="inlineStr">
        <is>
          <t>Gun pattern</t>
        </is>
      </c>
      <c r="D24" s="81" t="inlineStr">
        <is>
          <t>Ironwood Stock</t>
        </is>
      </c>
      <c r="E24" s="81" t="inlineStr">
        <is>
          <t>rare</t>
        </is>
      </c>
      <c r="F24" s="81" t="inlineStr">
        <is>
          <t>#785032</t>
        </is>
      </c>
      <c r="G24" s="81" t="inlineStr">
        <is>
          <t>Wood</t>
        </is>
      </c>
    </row>
    <row r="25">
      <c r="A25" s="81" t="inlineStr">
        <is>
          <t>TITLE_20</t>
        </is>
      </c>
      <c r="B25" s="81" t="n">
        <v>20</v>
      </c>
      <c r="C25" s="81" t="inlineStr">
        <is>
          <t>Title</t>
        </is>
      </c>
      <c r="D25" s="81" t="inlineStr">
        <is>
          <t>Trapper</t>
        </is>
      </c>
      <c r="E25" s="81" t="inlineStr">
        <is>
          <t>title</t>
        </is>
      </c>
    </row>
    <row r="26">
      <c r="A26" s="81" t="inlineStr">
        <is>
          <t>BANNER_CLAY</t>
        </is>
      </c>
      <c r="B26" s="81" t="n">
        <v>21</v>
      </c>
      <c r="C26" s="81" t="inlineStr">
        <is>
          <t>Leaderboard banner</t>
        </is>
      </c>
      <c r="D26" s="81" t="inlineStr">
        <is>
          <t>Clay Banner</t>
        </is>
      </c>
      <c r="E26" s="81" t="inlineStr">
        <is>
          <t>common</t>
        </is>
      </c>
      <c r="F26" s="81" t="inlineStr">
        <is>
          <t>#B0684A</t>
        </is>
      </c>
    </row>
    <row r="27">
      <c r="A27" s="81" t="inlineStr">
        <is>
          <t>NAME_OCHRE</t>
        </is>
      </c>
      <c r="B27" s="81" t="n">
        <v>22</v>
      </c>
      <c r="C27" s="81" t="inlineStr">
        <is>
          <t>Name colour</t>
        </is>
      </c>
      <c r="D27" s="81" t="inlineStr">
        <is>
          <t>Ochre Name</t>
        </is>
      </c>
      <c r="E27" s="81" t="inlineStr">
        <is>
          <t>common</t>
        </is>
      </c>
      <c r="F27" s="81" t="inlineStr">
        <is>
          <t>#CC7722</t>
        </is>
      </c>
    </row>
    <row r="28">
      <c r="A28" s="81" t="inlineStr">
        <is>
          <t>TINT_ASH</t>
        </is>
      </c>
      <c r="B28" s="81" t="n">
        <v>23</v>
      </c>
      <c r="C28" s="81" t="inlineStr">
        <is>
          <t>Gun tint</t>
        </is>
      </c>
      <c r="D28" s="81" t="inlineStr">
        <is>
          <t>Ash Tint</t>
        </is>
      </c>
      <c r="E28" s="81" t="inlineStr">
        <is>
          <t>common</t>
        </is>
      </c>
      <c r="F28" s="81" t="inlineStr">
        <is>
          <t>#B2B2B2</t>
        </is>
      </c>
    </row>
    <row r="29">
      <c r="A29" s="81" t="inlineStr">
        <is>
          <t>TRACER_SKY</t>
        </is>
      </c>
      <c r="B29" s="81" t="n">
        <v>24</v>
      </c>
      <c r="C29" s="81" t="inlineStr">
        <is>
          <t>Tracer colour</t>
        </is>
      </c>
      <c r="D29" s="81" t="inlineStr">
        <is>
          <t>Sky Tracers</t>
        </is>
      </c>
      <c r="E29" s="81" t="inlineStr">
        <is>
          <t>common</t>
        </is>
      </c>
      <c r="F29" s="81" t="inlineStr">
        <is>
          <t>#78B4E6</t>
        </is>
      </c>
    </row>
    <row r="30">
      <c r="A30" s="81" t="inlineStr">
        <is>
          <t>SIGHT_ROSE</t>
        </is>
      </c>
      <c r="B30" s="81" t="n">
        <v>25</v>
      </c>
      <c r="C30" s="81" t="inlineStr">
        <is>
          <t>Crosshair colour</t>
        </is>
      </c>
      <c r="D30" s="81" t="inlineStr">
        <is>
          <t>Rose Sights</t>
        </is>
      </c>
      <c r="E30" s="81" t="inlineStr">
        <is>
          <t>common</t>
        </is>
      </c>
      <c r="F30" s="81" t="inlineStr">
        <is>
          <t>#DC8296</t>
        </is>
      </c>
    </row>
    <row r="31">
      <c r="A31" s="81" t="inlineStr">
        <is>
          <t>FLAG_FERN</t>
        </is>
      </c>
      <c r="B31" s="81" t="n">
        <v>26</v>
      </c>
      <c r="C31" s="81" t="inlineStr">
        <is>
          <t>Tower flag</t>
        </is>
      </c>
      <c r="D31" s="81" t="inlineStr">
        <is>
          <t>Fern Flag</t>
        </is>
      </c>
      <c r="E31" s="81" t="inlineStr">
        <is>
          <t>common</t>
        </is>
      </c>
      <c r="F31" s="81" t="inlineStr">
        <is>
          <t>#4F7942</t>
        </is>
      </c>
    </row>
    <row r="32">
      <c r="A32" s="81" t="inlineStr">
        <is>
          <t>BANNER_OCHRE</t>
        </is>
      </c>
      <c r="B32" s="81" t="n">
        <v>27</v>
      </c>
      <c r="C32" s="81" t="inlineStr">
        <is>
          <t>Leaderboard banner</t>
        </is>
      </c>
      <c r="D32" s="81" t="inlineStr">
        <is>
          <t>Ochre Banner</t>
        </is>
      </c>
      <c r="E32" s="81" t="inlineStr">
        <is>
          <t>common</t>
        </is>
      </c>
      <c r="F32" s="81" t="inlineStr">
        <is>
          <t>#CC7722</t>
        </is>
      </c>
    </row>
    <row r="33">
      <c r="A33" s="81" t="inlineStr">
        <is>
          <t>NAME_RUST</t>
        </is>
      </c>
      <c r="B33" s="81" t="n">
        <v>28</v>
      </c>
      <c r="C33" s="81" t="inlineStr">
        <is>
          <t>Name colour</t>
        </is>
      </c>
      <c r="D33" s="81" t="inlineStr">
        <is>
          <t>Rust Name</t>
        </is>
      </c>
      <c r="E33" s="81" t="inlineStr">
        <is>
          <t>common</t>
        </is>
      </c>
      <c r="F33" s="81" t="inlineStr">
        <is>
          <t>#A04828</t>
        </is>
      </c>
    </row>
    <row r="34">
      <c r="A34" s="81" t="inlineStr">
        <is>
          <t>TINT_SLATE</t>
        </is>
      </c>
      <c r="B34" s="81" t="n">
        <v>29</v>
      </c>
      <c r="C34" s="81" t="inlineStr">
        <is>
          <t>Gun tint</t>
        </is>
      </c>
      <c r="D34" s="81" t="inlineStr">
        <is>
          <t>Slate Tint</t>
        </is>
      </c>
      <c r="E34" s="81" t="inlineStr">
        <is>
          <t>common</t>
        </is>
      </c>
      <c r="F34" s="81" t="inlineStr">
        <is>
          <t>#586373</t>
        </is>
      </c>
    </row>
    <row r="35">
      <c r="A35" s="81" t="inlineStr">
        <is>
          <t>MARK_TOOTH</t>
        </is>
      </c>
      <c r="B35" s="81" t="n">
        <v>30</v>
      </c>
      <c r="C35" s="81" t="inlineStr">
        <is>
          <t>Hit-marker</t>
        </is>
      </c>
      <c r="D35" s="81" t="inlineStr">
        <is>
          <t>Tooth Marker</t>
        </is>
      </c>
      <c r="E35" s="81" t="inlineStr">
        <is>
          <t>rare</t>
        </is>
      </c>
      <c r="F35" s="81" t="inlineStr">
        <is>
          <t>#EBE1BE</t>
        </is>
      </c>
      <c r="H35" s="81" t="inlineStr">
        <is>
          <t>Diamond</t>
        </is>
      </c>
    </row>
    <row r="36">
      <c r="A36" s="81" t="inlineStr">
        <is>
          <t>TITLE_30</t>
        </is>
      </c>
      <c r="B36" s="81" t="n">
        <v>30</v>
      </c>
      <c r="C36" s="81" t="inlineStr">
        <is>
          <t>Title</t>
        </is>
      </c>
      <c r="D36" s="81" t="inlineStr">
        <is>
          <t>Trailblazer</t>
        </is>
      </c>
      <c r="E36" s="81" t="inlineStr">
        <is>
          <t>title</t>
        </is>
      </c>
    </row>
    <row r="37">
      <c r="A37" s="81" t="inlineStr">
        <is>
          <t>TRACER_DUSK</t>
        </is>
      </c>
      <c r="B37" s="81" t="n">
        <v>31</v>
      </c>
      <c r="C37" s="81" t="inlineStr">
        <is>
          <t>Tracer colour</t>
        </is>
      </c>
      <c r="D37" s="81" t="inlineStr">
        <is>
          <t>Dusk Tracers</t>
        </is>
      </c>
      <c r="E37" s="81" t="inlineStr">
        <is>
          <t>common</t>
        </is>
      </c>
      <c r="F37" s="81" t="inlineStr">
        <is>
          <t>#62508C</t>
        </is>
      </c>
    </row>
    <row r="38">
      <c r="A38" s="81" t="inlineStr">
        <is>
          <t>SIGHT_EMBER</t>
        </is>
      </c>
      <c r="B38" s="81" t="n">
        <v>32</v>
      </c>
      <c r="C38" s="81" t="inlineStr">
        <is>
          <t>Crosshair colour</t>
        </is>
      </c>
      <c r="D38" s="81" t="inlineStr">
        <is>
          <t>Ember Sights</t>
        </is>
      </c>
      <c r="E38" s="81" t="inlineStr">
        <is>
          <t>common</t>
        </is>
      </c>
      <c r="F38" s="81" t="inlineStr">
        <is>
          <t>#E65A32</t>
        </is>
      </c>
    </row>
    <row r="39">
      <c r="A39" s="81" t="inlineStr">
        <is>
          <t>FLAG_MOSS</t>
        </is>
      </c>
      <c r="B39" s="81" t="n">
        <v>33</v>
      </c>
      <c r="C39" s="81" t="inlineStr">
        <is>
          <t>Tower flag</t>
        </is>
      </c>
      <c r="D39" s="81" t="inlineStr">
        <is>
          <t>Moss Flag</t>
        </is>
      </c>
      <c r="E39" s="81" t="inlineStr">
        <is>
          <t>common</t>
        </is>
      </c>
      <c r="F39" s="81" t="inlineStr">
        <is>
          <t>#8A9A5B</t>
        </is>
      </c>
    </row>
    <row r="40">
      <c r="A40" s="81" t="inlineStr">
        <is>
          <t>BANNER_RUST</t>
        </is>
      </c>
      <c r="B40" s="81" t="n">
        <v>34</v>
      </c>
      <c r="C40" s="81" t="inlineStr">
        <is>
          <t>Leaderboard banner</t>
        </is>
      </c>
      <c r="D40" s="81" t="inlineStr">
        <is>
          <t>Rust Banner</t>
        </is>
      </c>
      <c r="E40" s="81" t="inlineStr">
        <is>
          <t>common</t>
        </is>
      </c>
      <c r="F40" s="81" t="inlineStr">
        <is>
          <t>#A04828</t>
        </is>
      </c>
    </row>
    <row r="41">
      <c r="A41" s="81" t="inlineStr">
        <is>
          <t>NAME_BONE</t>
        </is>
      </c>
      <c r="B41" s="81" t="n">
        <v>35</v>
      </c>
      <c r="C41" s="81" t="inlineStr">
        <is>
          <t>Name colour</t>
        </is>
      </c>
      <c r="D41" s="81" t="inlineStr">
        <is>
          <t>Bone Name</t>
        </is>
      </c>
      <c r="E41" s="81" t="inlineStr">
        <is>
          <t>common</t>
        </is>
      </c>
      <c r="F41" s="81" t="inlineStr">
        <is>
          <t>#E3DAC9</t>
        </is>
      </c>
    </row>
    <row r="42">
      <c r="A42" s="81" t="inlineStr">
        <is>
          <t>TINT_TEAL</t>
        </is>
      </c>
      <c r="B42" s="81" t="n">
        <v>36</v>
      </c>
      <c r="C42" s="81" t="inlineStr">
        <is>
          <t>Gun tint</t>
        </is>
      </c>
      <c r="D42" s="81" t="inlineStr">
        <is>
          <t>Teal Tint</t>
        </is>
      </c>
      <c r="E42" s="81" t="inlineStr">
        <is>
          <t>common</t>
        </is>
      </c>
      <c r="F42" s="81" t="inlineStr">
        <is>
          <t>#288080</t>
        </is>
      </c>
    </row>
    <row r="43">
      <c r="A43" s="81" t="inlineStr">
        <is>
          <t>TRACER_PLUM</t>
        </is>
      </c>
      <c r="B43" s="81" t="n">
        <v>37</v>
      </c>
      <c r="C43" s="81" t="inlineStr">
        <is>
          <t>Tracer colour</t>
        </is>
      </c>
      <c r="D43" s="81" t="inlineStr">
        <is>
          <t>Plum Tracers</t>
        </is>
      </c>
      <c r="E43" s="81" t="inlineStr">
        <is>
          <t>common</t>
        </is>
      </c>
      <c r="F43" s="81" t="inlineStr">
        <is>
          <t>#823C64</t>
        </is>
      </c>
    </row>
    <row r="44">
      <c r="A44" s="81" t="inlineStr">
        <is>
          <t>SIGHT_SAND</t>
        </is>
      </c>
      <c r="B44" s="81" t="n">
        <v>38</v>
      </c>
      <c r="C44" s="81" t="inlineStr">
        <is>
          <t>Crosshair colour</t>
        </is>
      </c>
      <c r="D44" s="81" t="inlineStr">
        <is>
          <t>Sand Sights</t>
        </is>
      </c>
      <c r="E44" s="81" t="inlineStr">
        <is>
          <t>common</t>
        </is>
      </c>
      <c r="F44" s="81" t="inlineStr">
        <is>
          <t>#C2B280</t>
        </is>
      </c>
    </row>
    <row r="45">
      <c r="A45" s="81" t="inlineStr">
        <is>
          <t>FLAG_CLAY</t>
        </is>
      </c>
      <c r="B45" s="81" t="n">
        <v>39</v>
      </c>
      <c r="C45" s="81" t="inlineStr">
        <is>
          <t>Tower flag</t>
        </is>
      </c>
      <c r="D45" s="81" t="inlineStr">
        <is>
          <t>Clay Flag</t>
        </is>
      </c>
      <c r="E45" s="81" t="inlineStr">
        <is>
          <t>common</t>
        </is>
      </c>
      <c r="F45" s="81" t="inlineStr">
        <is>
          <t>#B0684A</t>
        </is>
      </c>
    </row>
    <row r="46">
      <c r="A46" s="81" t="inlineStr">
        <is>
          <t>TRAIL_DUST</t>
        </is>
      </c>
      <c r="B46" s="81" t="n">
        <v>40</v>
      </c>
      <c r="C46" s="81" t="inlineStr">
        <is>
          <t>Sprint trail</t>
        </is>
      </c>
      <c r="D46" s="81" t="inlineStr">
        <is>
          <t>Dust Trail</t>
        </is>
      </c>
      <c r="E46" s="81" t="inlineStr">
        <is>
          <t>rare</t>
        </is>
      </c>
      <c r="F46" s="81" t="inlineStr">
        <is>
          <t>#C2A078</t>
        </is>
      </c>
    </row>
    <row r="47">
      <c r="A47" s="81" t="inlineStr">
        <is>
          <t>TITLE_40</t>
        </is>
      </c>
      <c r="B47" s="81" t="n">
        <v>40</v>
      </c>
      <c r="C47" s="81" t="inlineStr">
        <is>
          <t>Title</t>
        </is>
      </c>
      <c r="D47" s="81" t="inlineStr">
        <is>
          <t>Ranger</t>
        </is>
      </c>
      <c r="E47" s="81" t="inlineStr">
        <is>
          <t>title</t>
        </is>
      </c>
    </row>
    <row r="48">
      <c r="A48" s="81" t="inlineStr">
        <is>
          <t>BANNER_BONE</t>
        </is>
      </c>
      <c r="B48" s="81" t="n">
        <v>41</v>
      </c>
      <c r="C48" s="81" t="inlineStr">
        <is>
          <t>Leaderboard banner</t>
        </is>
      </c>
      <c r="D48" s="81" t="inlineStr">
        <is>
          <t>Bone Banner</t>
        </is>
      </c>
      <c r="E48" s="81" t="inlineStr">
        <is>
          <t>common</t>
        </is>
      </c>
      <c r="F48" s="81" t="inlineStr">
        <is>
          <t>#E3DAC9</t>
        </is>
      </c>
    </row>
    <row r="49">
      <c r="A49" s="81" t="inlineStr">
        <is>
          <t>NAME_ASH</t>
        </is>
      </c>
      <c r="B49" s="81" t="n">
        <v>42</v>
      </c>
      <c r="C49" s="81" t="inlineStr">
        <is>
          <t>Name colour</t>
        </is>
      </c>
      <c r="D49" s="81" t="inlineStr">
        <is>
          <t>Ash Name</t>
        </is>
      </c>
      <c r="E49" s="81" t="inlineStr">
        <is>
          <t>common</t>
        </is>
      </c>
      <c r="F49" s="81" t="inlineStr">
        <is>
          <t>#B2B2B2</t>
        </is>
      </c>
    </row>
    <row r="50">
      <c r="A50" s="81" t="inlineStr">
        <is>
          <t>TINT_SKY</t>
        </is>
      </c>
      <c r="B50" s="81" t="n">
        <v>43</v>
      </c>
      <c r="C50" s="81" t="inlineStr">
        <is>
          <t>Gun tint</t>
        </is>
      </c>
      <c r="D50" s="81" t="inlineStr">
        <is>
          <t>Sky Tint</t>
        </is>
      </c>
      <c r="E50" s="81" t="inlineStr">
        <is>
          <t>common</t>
        </is>
      </c>
      <c r="F50" s="81" t="inlineStr">
        <is>
          <t>#78B4E6</t>
        </is>
      </c>
    </row>
    <row r="51">
      <c r="A51" s="81" t="inlineStr">
        <is>
          <t>TRACER_ROSE</t>
        </is>
      </c>
      <c r="B51" s="81" t="n">
        <v>44</v>
      </c>
      <c r="C51" s="81" t="inlineStr">
        <is>
          <t>Tracer colour</t>
        </is>
      </c>
      <c r="D51" s="81" t="inlineStr">
        <is>
          <t>Rose Tracers</t>
        </is>
      </c>
      <c r="E51" s="81" t="inlineStr">
        <is>
          <t>common</t>
        </is>
      </c>
      <c r="F51" s="81" t="inlineStr">
        <is>
          <t>#DC8296</t>
        </is>
      </c>
    </row>
    <row r="52">
      <c r="A52" s="81" t="inlineStr">
        <is>
          <t>SIGHT_FERN</t>
        </is>
      </c>
      <c r="B52" s="81" t="n">
        <v>45</v>
      </c>
      <c r="C52" s="81" t="inlineStr">
        <is>
          <t>Crosshair colour</t>
        </is>
      </c>
      <c r="D52" s="81" t="inlineStr">
        <is>
          <t>Fern Sights</t>
        </is>
      </c>
      <c r="E52" s="81" t="inlineStr">
        <is>
          <t>common</t>
        </is>
      </c>
      <c r="F52" s="81" t="inlineStr">
        <is>
          <t>#4F7942</t>
        </is>
      </c>
    </row>
    <row r="53">
      <c r="A53" s="81" t="inlineStr">
        <is>
          <t>FLAG_OCHRE</t>
        </is>
      </c>
      <c r="B53" s="81" t="n">
        <v>46</v>
      </c>
      <c r="C53" s="81" t="inlineStr">
        <is>
          <t>Tower flag</t>
        </is>
      </c>
      <c r="D53" s="81" t="inlineStr">
        <is>
          <t>Ochre Flag</t>
        </is>
      </c>
      <c r="E53" s="81" t="inlineStr">
        <is>
          <t>common</t>
        </is>
      </c>
      <c r="F53" s="81" t="inlineStr">
        <is>
          <t>#CC7722</t>
        </is>
      </c>
    </row>
    <row r="54">
      <c r="A54" s="81" t="inlineStr">
        <is>
          <t>BANNER_ASH</t>
        </is>
      </c>
      <c r="B54" s="81" t="n">
        <v>47</v>
      </c>
      <c r="C54" s="81" t="inlineStr">
        <is>
          <t>Leaderboard banner</t>
        </is>
      </c>
      <c r="D54" s="81" t="inlineStr">
        <is>
          <t>Ash Banner</t>
        </is>
      </c>
      <c r="E54" s="81" t="inlineStr">
        <is>
          <t>common</t>
        </is>
      </c>
      <c r="F54" s="81" t="inlineStr">
        <is>
          <t>#B2B2B2</t>
        </is>
      </c>
    </row>
    <row r="55">
      <c r="A55" s="81" t="inlineStr">
        <is>
          <t>NAME_SLATE</t>
        </is>
      </c>
      <c r="B55" s="81" t="n">
        <v>48</v>
      </c>
      <c r="C55" s="81" t="inlineStr">
        <is>
          <t>Name colour</t>
        </is>
      </c>
      <c r="D55" s="81" t="inlineStr">
        <is>
          <t>Slate Name</t>
        </is>
      </c>
      <c r="E55" s="81" t="inlineStr">
        <is>
          <t>common</t>
        </is>
      </c>
      <c r="F55" s="81" t="inlineStr">
        <is>
          <t>#586373</t>
        </is>
      </c>
    </row>
    <row r="56">
      <c r="A56" s="81" t="inlineStr">
        <is>
          <t>TINT_DUSK</t>
        </is>
      </c>
      <c r="B56" s="81" t="n">
        <v>49</v>
      </c>
      <c r="C56" s="81" t="inlineStr">
        <is>
          <t>Gun tint</t>
        </is>
      </c>
      <c r="D56" s="81" t="inlineStr">
        <is>
          <t>Dusk Tint</t>
        </is>
      </c>
      <c r="E56" s="81" t="inlineStr">
        <is>
          <t>common</t>
        </is>
      </c>
      <c r="F56" s="81" t="inlineStr">
        <is>
          <t>#62508C</t>
        </is>
      </c>
    </row>
    <row r="57">
      <c r="A57" s="81" t="inlineStr">
        <is>
          <t>HAT_RANGER</t>
        </is>
      </c>
      <c r="B57" s="81" t="n">
        <v>50</v>
      </c>
      <c r="C57" s="81" t="inlineStr">
        <is>
          <t>Hunting hat</t>
        </is>
      </c>
      <c r="D57" s="81" t="inlineStr">
        <is>
          <t>Ranger Cap</t>
        </is>
      </c>
      <c r="E57" s="81" t="inlineStr">
        <is>
          <t>rare</t>
        </is>
      </c>
      <c r="F57" s="81" t="inlineStr">
        <is>
          <t>#963C32</t>
        </is>
      </c>
      <c r="G57" s="81" t="inlineStr">
        <is>
          <t>Fabric</t>
        </is>
      </c>
      <c r="H57" s="81" t="inlineStr">
        <is>
          <t>Cap</t>
        </is>
      </c>
    </row>
    <row r="58">
      <c r="A58" s="81" t="inlineStr">
        <is>
          <t>TITLE_50</t>
        </is>
      </c>
      <c r="B58" s="81" t="n">
        <v>50</v>
      </c>
      <c r="C58" s="81" t="inlineStr">
        <is>
          <t>Title</t>
        </is>
      </c>
      <c r="D58" s="81" t="inlineStr">
        <is>
          <t>Veteran Hunter</t>
        </is>
      </c>
      <c r="E58" s="81" t="inlineStr">
        <is>
          <t>title</t>
        </is>
      </c>
    </row>
    <row r="59">
      <c r="A59" s="81" t="inlineStr">
        <is>
          <t>TRACER_EMBER</t>
        </is>
      </c>
      <c r="B59" s="81" t="n">
        <v>51</v>
      </c>
      <c r="C59" s="81" t="inlineStr">
        <is>
          <t>Tracer colour</t>
        </is>
      </c>
      <c r="D59" s="81" t="inlineStr">
        <is>
          <t>Ember Tracers</t>
        </is>
      </c>
      <c r="E59" s="81" t="inlineStr">
        <is>
          <t>common</t>
        </is>
      </c>
      <c r="F59" s="81" t="inlineStr">
        <is>
          <t>#E65A32</t>
        </is>
      </c>
    </row>
    <row r="60">
      <c r="A60" s="81" t="inlineStr">
        <is>
          <t>SIGHT_MOSS</t>
        </is>
      </c>
      <c r="B60" s="81" t="n">
        <v>52</v>
      </c>
      <c r="C60" s="81" t="inlineStr">
        <is>
          <t>Crosshair colour</t>
        </is>
      </c>
      <c r="D60" s="81" t="inlineStr">
        <is>
          <t>Moss Sights</t>
        </is>
      </c>
      <c r="E60" s="81" t="inlineStr">
        <is>
          <t>common</t>
        </is>
      </c>
      <c r="F60" s="81" t="inlineStr">
        <is>
          <t>#8A9A5B</t>
        </is>
      </c>
    </row>
    <row r="61">
      <c r="A61" s="81" t="inlineStr">
        <is>
          <t>FLAG_RUST</t>
        </is>
      </c>
      <c r="B61" s="81" t="n">
        <v>53</v>
      </c>
      <c r="C61" s="81" t="inlineStr">
        <is>
          <t>Tower flag</t>
        </is>
      </c>
      <c r="D61" s="81" t="inlineStr">
        <is>
          <t>Rust Flag</t>
        </is>
      </c>
      <c r="E61" s="81" t="inlineStr">
        <is>
          <t>common</t>
        </is>
      </c>
      <c r="F61" s="81" t="inlineStr">
        <is>
          <t>#A04828</t>
        </is>
      </c>
    </row>
    <row r="62">
      <c r="A62" s="81" t="inlineStr">
        <is>
          <t>BANNER_SLATE</t>
        </is>
      </c>
      <c r="B62" s="81" t="n">
        <v>54</v>
      </c>
      <c r="C62" s="81" t="inlineStr">
        <is>
          <t>Leaderboard banner</t>
        </is>
      </c>
      <c r="D62" s="81" t="inlineStr">
        <is>
          <t>Slate Banner</t>
        </is>
      </c>
      <c r="E62" s="81" t="inlineStr">
        <is>
          <t>common</t>
        </is>
      </c>
      <c r="F62" s="81" t="inlineStr">
        <is>
          <t>#586373</t>
        </is>
      </c>
    </row>
    <row r="63">
      <c r="A63" s="81" t="inlineStr">
        <is>
          <t>NAME_TEAL</t>
        </is>
      </c>
      <c r="B63" s="81" t="n">
        <v>55</v>
      </c>
      <c r="C63" s="81" t="inlineStr">
        <is>
          <t>Name colour</t>
        </is>
      </c>
      <c r="D63" s="81" t="inlineStr">
        <is>
          <t>Teal Name</t>
        </is>
      </c>
      <c r="E63" s="81" t="inlineStr">
        <is>
          <t>common</t>
        </is>
      </c>
      <c r="F63" s="81" t="inlineStr">
        <is>
          <t>#288080</t>
        </is>
      </c>
    </row>
    <row r="64">
      <c r="A64" s="81" t="inlineStr">
        <is>
          <t>TINT_PLUM</t>
        </is>
      </c>
      <c r="B64" s="81" t="n">
        <v>56</v>
      </c>
      <c r="C64" s="81" t="inlineStr">
        <is>
          <t>Gun tint</t>
        </is>
      </c>
      <c r="D64" s="81" t="inlineStr">
        <is>
          <t>Plum Tint</t>
        </is>
      </c>
      <c r="E64" s="81" t="inlineStr">
        <is>
          <t>common</t>
        </is>
      </c>
      <c r="F64" s="81" t="inlineStr">
        <is>
          <t>#823C64</t>
        </is>
      </c>
    </row>
    <row r="65">
      <c r="A65" s="81" t="inlineStr">
        <is>
          <t>TRACER_SAND</t>
        </is>
      </c>
      <c r="B65" s="81" t="n">
        <v>57</v>
      </c>
      <c r="C65" s="81" t="inlineStr">
        <is>
          <t>Tracer colour</t>
        </is>
      </c>
      <c r="D65" s="81" t="inlineStr">
        <is>
          <t>Sand Tracers</t>
        </is>
      </c>
      <c r="E65" s="81" t="inlineStr">
        <is>
          <t>common</t>
        </is>
      </c>
      <c r="F65" s="81" t="inlineStr">
        <is>
          <t>#C2B280</t>
        </is>
      </c>
    </row>
    <row r="66">
      <c r="A66" s="81" t="inlineStr">
        <is>
          <t>SIGHT_CLAY</t>
        </is>
      </c>
      <c r="B66" s="81" t="n">
        <v>58</v>
      </c>
      <c r="C66" s="81" t="inlineStr">
        <is>
          <t>Crosshair colour</t>
        </is>
      </c>
      <c r="D66" s="81" t="inlineStr">
        <is>
          <t>Clay Sights</t>
        </is>
      </c>
      <c r="E66" s="81" t="inlineStr">
        <is>
          <t>common</t>
        </is>
      </c>
      <c r="F66" s="81" t="inlineStr">
        <is>
          <t>#B0684A</t>
        </is>
      </c>
    </row>
    <row r="67">
      <c r="A67" s="81" t="inlineStr">
        <is>
          <t>FLAG_BONE</t>
        </is>
      </c>
      <c r="B67" s="81" t="n">
        <v>59</v>
      </c>
      <c r="C67" s="81" t="inlineStr">
        <is>
          <t>Tower flag</t>
        </is>
      </c>
      <c r="D67" s="81" t="inlineStr">
        <is>
          <t>Bone Flag</t>
        </is>
      </c>
      <c r="E67" s="81" t="inlineStr">
        <is>
          <t>common</t>
        </is>
      </c>
      <c r="F67" s="81" t="inlineStr">
        <is>
          <t>#E3DAC9</t>
        </is>
      </c>
    </row>
    <row r="68">
      <c r="A68" s="81" t="inlineStr">
        <is>
          <t>GUN_BONE</t>
        </is>
      </c>
      <c r="B68" s="81" t="n">
        <v>60</v>
      </c>
      <c r="C68" s="81" t="inlineStr">
        <is>
          <t>Gun pattern</t>
        </is>
      </c>
      <c r="D68" s="81" t="inlineStr">
        <is>
          <t>Bone Inlay</t>
        </is>
      </c>
      <c r="E68" s="81" t="inlineStr">
        <is>
          <t>rare</t>
        </is>
      </c>
      <c r="F68" s="81" t="inlineStr">
        <is>
          <t>#E6DECD</t>
        </is>
      </c>
      <c r="G68" s="81" t="inlineStr">
        <is>
          <t>Marble</t>
        </is>
      </c>
    </row>
    <row r="69">
      <c r="A69" s="81" t="inlineStr">
        <is>
          <t>TITLE_60</t>
        </is>
      </c>
      <c r="B69" s="81" t="n">
        <v>60</v>
      </c>
      <c r="C69" s="81" t="inlineStr">
        <is>
          <t>Title</t>
        </is>
      </c>
      <c r="D69" s="81" t="inlineStr">
        <is>
          <t>Game Warden</t>
        </is>
      </c>
      <c r="E69" s="81" t="inlineStr">
        <is>
          <t>title</t>
        </is>
      </c>
    </row>
    <row r="70">
      <c r="A70" s="81" t="inlineStr">
        <is>
          <t>BANNER_TEAL</t>
        </is>
      </c>
      <c r="B70" s="81" t="n">
        <v>61</v>
      </c>
      <c r="C70" s="81" t="inlineStr">
        <is>
          <t>Leaderboard banner</t>
        </is>
      </c>
      <c r="D70" s="81" t="inlineStr">
        <is>
          <t>Teal Banner</t>
        </is>
      </c>
      <c r="E70" s="81" t="inlineStr">
        <is>
          <t>common</t>
        </is>
      </c>
      <c r="F70" s="81" t="inlineStr">
        <is>
          <t>#288080</t>
        </is>
      </c>
    </row>
    <row r="71">
      <c r="A71" s="81" t="inlineStr">
        <is>
          <t>NAME_SKY</t>
        </is>
      </c>
      <c r="B71" s="81" t="n">
        <v>62</v>
      </c>
      <c r="C71" s="81" t="inlineStr">
        <is>
          <t>Name colour</t>
        </is>
      </c>
      <c r="D71" s="81" t="inlineStr">
        <is>
          <t>Sky Name</t>
        </is>
      </c>
      <c r="E71" s="81" t="inlineStr">
        <is>
          <t>common</t>
        </is>
      </c>
      <c r="F71" s="81" t="inlineStr">
        <is>
          <t>#78B4E6</t>
        </is>
      </c>
    </row>
    <row r="72">
      <c r="A72" s="81" t="inlineStr">
        <is>
          <t>TINT_ROSE</t>
        </is>
      </c>
      <c r="B72" s="81" t="n">
        <v>63</v>
      </c>
      <c r="C72" s="81" t="inlineStr">
        <is>
          <t>Gun tint</t>
        </is>
      </c>
      <c r="D72" s="81" t="inlineStr">
        <is>
          <t>Rose Tint</t>
        </is>
      </c>
      <c r="E72" s="81" t="inlineStr">
        <is>
          <t>common</t>
        </is>
      </c>
      <c r="F72" s="81" t="inlineStr">
        <is>
          <t>#DC8296</t>
        </is>
      </c>
    </row>
    <row r="73">
      <c r="A73" s="81" t="inlineStr">
        <is>
          <t>TRACER_FERN</t>
        </is>
      </c>
      <c r="B73" s="81" t="n">
        <v>64</v>
      </c>
      <c r="C73" s="81" t="inlineStr">
        <is>
          <t>Tracer colour</t>
        </is>
      </c>
      <c r="D73" s="81" t="inlineStr">
        <is>
          <t>Fern Tracers</t>
        </is>
      </c>
      <c r="E73" s="81" t="inlineStr">
        <is>
          <t>common</t>
        </is>
      </c>
      <c r="F73" s="81" t="inlineStr">
        <is>
          <t>#4F7942</t>
        </is>
      </c>
    </row>
    <row r="74">
      <c r="A74" s="81" t="inlineStr">
        <is>
          <t>SIGHT_OCHRE</t>
        </is>
      </c>
      <c r="B74" s="81" t="n">
        <v>65</v>
      </c>
      <c r="C74" s="81" t="inlineStr">
        <is>
          <t>Crosshair colour</t>
        </is>
      </c>
      <c r="D74" s="81" t="inlineStr">
        <is>
          <t>Ochre Sights</t>
        </is>
      </c>
      <c r="E74" s="81" t="inlineStr">
        <is>
          <t>common</t>
        </is>
      </c>
      <c r="F74" s="81" t="inlineStr">
        <is>
          <t>#CC7722</t>
        </is>
      </c>
    </row>
    <row r="75">
      <c r="A75" s="81" t="inlineStr">
        <is>
          <t>FLAG_ASH</t>
        </is>
      </c>
      <c r="B75" s="81" t="n">
        <v>66</v>
      </c>
      <c r="C75" s="81" t="inlineStr">
        <is>
          <t>Tower flag</t>
        </is>
      </c>
      <c r="D75" s="81" t="inlineStr">
        <is>
          <t>Ash Flag</t>
        </is>
      </c>
      <c r="E75" s="81" t="inlineStr">
        <is>
          <t>common</t>
        </is>
      </c>
      <c r="F75" s="81" t="inlineStr">
        <is>
          <t>#B2B2B2</t>
        </is>
      </c>
    </row>
    <row r="76">
      <c r="A76" s="81" t="inlineStr">
        <is>
          <t>BANNER_SKY</t>
        </is>
      </c>
      <c r="B76" s="81" t="n">
        <v>67</v>
      </c>
      <c r="C76" s="81" t="inlineStr">
        <is>
          <t>Leaderboard banner</t>
        </is>
      </c>
      <c r="D76" s="81" t="inlineStr">
        <is>
          <t>Sky Banner</t>
        </is>
      </c>
      <c r="E76" s="81" t="inlineStr">
        <is>
          <t>common</t>
        </is>
      </c>
      <c r="F76" s="81" t="inlineStr">
        <is>
          <t>#78B4E6</t>
        </is>
      </c>
    </row>
    <row r="77">
      <c r="A77" s="81" t="inlineStr">
        <is>
          <t>NAME_DUSK</t>
        </is>
      </c>
      <c r="B77" s="81" t="n">
        <v>68</v>
      </c>
      <c r="C77" s="81" t="inlineStr">
        <is>
          <t>Name colour</t>
        </is>
      </c>
      <c r="D77" s="81" t="inlineStr">
        <is>
          <t>Dusk Name</t>
        </is>
      </c>
      <c r="E77" s="81" t="inlineStr">
        <is>
          <t>common</t>
        </is>
      </c>
      <c r="F77" s="81" t="inlineStr">
        <is>
          <t>#62508C</t>
        </is>
      </c>
    </row>
    <row r="78">
      <c r="A78" s="81" t="inlineStr">
        <is>
          <t>TINT_EMBER</t>
        </is>
      </c>
      <c r="B78" s="81" t="n">
        <v>69</v>
      </c>
      <c r="C78" s="81" t="inlineStr">
        <is>
          <t>Gun tint</t>
        </is>
      </c>
      <c r="D78" s="81" t="inlineStr">
        <is>
          <t>Ember Tint</t>
        </is>
      </c>
      <c r="E78" s="81" t="inlineStr">
        <is>
          <t>common</t>
        </is>
      </c>
      <c r="F78" s="81" t="inlineStr">
        <is>
          <t>#E65A32</t>
        </is>
      </c>
    </row>
    <row r="79">
      <c r="A79" s="81" t="inlineStr">
        <is>
          <t>MARK_STAR</t>
        </is>
      </c>
      <c r="B79" s="81" t="n">
        <v>70</v>
      </c>
      <c r="C79" s="81" t="inlineStr">
        <is>
          <t>Hit-marker</t>
        </is>
      </c>
      <c r="D79" s="81" t="inlineStr">
        <is>
          <t>Claw Marker</t>
        </is>
      </c>
      <c r="E79" s="81" t="inlineStr">
        <is>
          <t>rare</t>
        </is>
      </c>
      <c r="F79" s="81" t="inlineStr">
        <is>
          <t>#78C8F0</t>
        </is>
      </c>
      <c r="H79" s="81" t="inlineStr">
        <is>
          <t>Star</t>
        </is>
      </c>
    </row>
    <row r="80">
      <c r="A80" s="81" t="inlineStr">
        <is>
          <t>TITLE_70</t>
        </is>
      </c>
      <c r="B80" s="81" t="n">
        <v>70</v>
      </c>
      <c r="C80" s="81" t="inlineStr">
        <is>
          <t>Title</t>
        </is>
      </c>
      <c r="D80" s="81" t="inlineStr">
        <is>
          <t>Pathfinder</t>
        </is>
      </c>
      <c r="E80" s="81" t="inlineStr">
        <is>
          <t>title</t>
        </is>
      </c>
    </row>
    <row r="81">
      <c r="A81" s="81" t="inlineStr">
        <is>
          <t>TRACER_MOSS</t>
        </is>
      </c>
      <c r="B81" s="81" t="n">
        <v>71</v>
      </c>
      <c r="C81" s="81" t="inlineStr">
        <is>
          <t>Tracer colour</t>
        </is>
      </c>
      <c r="D81" s="81" t="inlineStr">
        <is>
          <t>Moss Tracers</t>
        </is>
      </c>
      <c r="E81" s="81" t="inlineStr">
        <is>
          <t>common</t>
        </is>
      </c>
      <c r="F81" s="81" t="inlineStr">
        <is>
          <t>#8A9A5B</t>
        </is>
      </c>
    </row>
    <row r="82">
      <c r="A82" s="81" t="inlineStr">
        <is>
          <t>SIGHT_RUST</t>
        </is>
      </c>
      <c r="B82" s="81" t="n">
        <v>72</v>
      </c>
      <c r="C82" s="81" t="inlineStr">
        <is>
          <t>Crosshair colour</t>
        </is>
      </c>
      <c r="D82" s="81" t="inlineStr">
        <is>
          <t>Rust Sights</t>
        </is>
      </c>
      <c r="E82" s="81" t="inlineStr">
        <is>
          <t>common</t>
        </is>
      </c>
      <c r="F82" s="81" t="inlineStr">
        <is>
          <t>#A04828</t>
        </is>
      </c>
    </row>
    <row r="83">
      <c r="A83" s="81" t="inlineStr">
        <is>
          <t>FLAG_SLATE</t>
        </is>
      </c>
      <c r="B83" s="81" t="n">
        <v>73</v>
      </c>
      <c r="C83" s="81" t="inlineStr">
        <is>
          <t>Tower flag</t>
        </is>
      </c>
      <c r="D83" s="81" t="inlineStr">
        <is>
          <t>Slate Flag</t>
        </is>
      </c>
      <c r="E83" s="81" t="inlineStr">
        <is>
          <t>common</t>
        </is>
      </c>
      <c r="F83" s="81" t="inlineStr">
        <is>
          <t>#586373</t>
        </is>
      </c>
    </row>
    <row r="84">
      <c r="A84" s="81" t="inlineStr">
        <is>
          <t>BANNER_DUSK</t>
        </is>
      </c>
      <c r="B84" s="81" t="n">
        <v>74</v>
      </c>
      <c r="C84" s="81" t="inlineStr">
        <is>
          <t>Leaderboard banner</t>
        </is>
      </c>
      <c r="D84" s="81" t="inlineStr">
        <is>
          <t>Dusk Banner</t>
        </is>
      </c>
      <c r="E84" s="81" t="inlineStr">
        <is>
          <t>common</t>
        </is>
      </c>
      <c r="F84" s="81" t="inlineStr">
        <is>
          <t>#62508C</t>
        </is>
      </c>
    </row>
    <row r="85">
      <c r="A85" s="81" t="inlineStr">
        <is>
          <t>NAME_PLUM</t>
        </is>
      </c>
      <c r="B85" s="81" t="n">
        <v>75</v>
      </c>
      <c r="C85" s="81" t="inlineStr">
        <is>
          <t>Name colour</t>
        </is>
      </c>
      <c r="D85" s="81" t="inlineStr">
        <is>
          <t>Plum Name</t>
        </is>
      </c>
      <c r="E85" s="81" t="inlineStr">
        <is>
          <t>common</t>
        </is>
      </c>
      <c r="F85" s="81" t="inlineStr">
        <is>
          <t>#823C64</t>
        </is>
      </c>
    </row>
    <row r="86">
      <c r="A86" s="81" t="inlineStr">
        <is>
          <t>TINT_SAND</t>
        </is>
      </c>
      <c r="B86" s="81" t="n">
        <v>76</v>
      </c>
      <c r="C86" s="81" t="inlineStr">
        <is>
          <t>Gun tint</t>
        </is>
      </c>
      <c r="D86" s="81" t="inlineStr">
        <is>
          <t>Sand Tint</t>
        </is>
      </c>
      <c r="E86" s="81" t="inlineStr">
        <is>
          <t>common</t>
        </is>
      </c>
      <c r="F86" s="81" t="inlineStr">
        <is>
          <t>#C2B280</t>
        </is>
      </c>
    </row>
    <row r="87">
      <c r="A87" s="81" t="inlineStr">
        <is>
          <t>TRACER_CLAY</t>
        </is>
      </c>
      <c r="B87" s="81" t="n">
        <v>77</v>
      </c>
      <c r="C87" s="81" t="inlineStr">
        <is>
          <t>Tracer colour</t>
        </is>
      </c>
      <c r="D87" s="81" t="inlineStr">
        <is>
          <t>Clay Tracers</t>
        </is>
      </c>
      <c r="E87" s="81" t="inlineStr">
        <is>
          <t>common</t>
        </is>
      </c>
      <c r="F87" s="81" t="inlineStr">
        <is>
          <t>#B0684A</t>
        </is>
      </c>
    </row>
    <row r="88">
      <c r="A88" s="81" t="inlineStr">
        <is>
          <t>SIGHT_BONE</t>
        </is>
      </c>
      <c r="B88" s="81" t="n">
        <v>78</v>
      </c>
      <c r="C88" s="81" t="inlineStr">
        <is>
          <t>Crosshair colour</t>
        </is>
      </c>
      <c r="D88" s="81" t="inlineStr">
        <is>
          <t>Bone Sights</t>
        </is>
      </c>
      <c r="E88" s="81" t="inlineStr">
        <is>
          <t>common</t>
        </is>
      </c>
      <c r="F88" s="81" t="inlineStr">
        <is>
          <t>#E3DAC9</t>
        </is>
      </c>
    </row>
    <row r="89">
      <c r="A89" s="81" t="inlineStr">
        <is>
          <t>FLAG_TEAL</t>
        </is>
      </c>
      <c r="B89" s="81" t="n">
        <v>79</v>
      </c>
      <c r="C89" s="81" t="inlineStr">
        <is>
          <t>Tower flag</t>
        </is>
      </c>
      <c r="D89" s="81" t="inlineStr">
        <is>
          <t>Teal Flag</t>
        </is>
      </c>
      <c r="E89" s="81" t="inlineStr">
        <is>
          <t>common</t>
        </is>
      </c>
      <c r="F89" s="81" t="inlineStr">
        <is>
          <t>#288080</t>
        </is>
      </c>
    </row>
    <row r="90">
      <c r="A90" s="81" t="inlineStr">
        <is>
          <t>TRAIL_FERN</t>
        </is>
      </c>
      <c r="B90" s="81" t="n">
        <v>80</v>
      </c>
      <c r="C90" s="81" t="inlineStr">
        <is>
          <t>Sprint trail</t>
        </is>
      </c>
      <c r="D90" s="81" t="inlineStr">
        <is>
          <t>Footprint Trail</t>
        </is>
      </c>
      <c r="E90" s="81" t="inlineStr">
        <is>
          <t>rare</t>
        </is>
      </c>
      <c r="F90" s="81" t="inlineStr">
        <is>
          <t>#64AA5A</t>
        </is>
      </c>
    </row>
    <row r="91">
      <c r="A91" s="81" t="inlineStr">
        <is>
          <t>TITLE_80</t>
        </is>
      </c>
      <c r="B91" s="81" t="n">
        <v>80</v>
      </c>
      <c r="C91" s="81" t="inlineStr">
        <is>
          <t>Title</t>
        </is>
      </c>
      <c r="D91" s="81" t="inlineStr">
        <is>
          <t>Raptor Bane</t>
        </is>
      </c>
      <c r="E91" s="81" t="inlineStr">
        <is>
          <t>title</t>
        </is>
      </c>
    </row>
    <row r="92">
      <c r="A92" s="81" t="inlineStr">
        <is>
          <t>BANNER_PLUM</t>
        </is>
      </c>
      <c r="B92" s="81" t="n">
        <v>81</v>
      </c>
      <c r="C92" s="81" t="inlineStr">
        <is>
          <t>Leaderboard banner</t>
        </is>
      </c>
      <c r="D92" s="81" t="inlineStr">
        <is>
          <t>Plum Banner</t>
        </is>
      </c>
      <c r="E92" s="81" t="inlineStr">
        <is>
          <t>common</t>
        </is>
      </c>
      <c r="F92" s="81" t="inlineStr">
        <is>
          <t>#823C64</t>
        </is>
      </c>
    </row>
    <row r="93">
      <c r="A93" s="81" t="inlineStr">
        <is>
          <t>NAME_ROSE</t>
        </is>
      </c>
      <c r="B93" s="81" t="n">
        <v>82</v>
      </c>
      <c r="C93" s="81" t="inlineStr">
        <is>
          <t>Name colour</t>
        </is>
      </c>
      <c r="D93" s="81" t="inlineStr">
        <is>
          <t>Rose Name</t>
        </is>
      </c>
      <c r="E93" s="81" t="inlineStr">
        <is>
          <t>common</t>
        </is>
      </c>
      <c r="F93" s="81" t="inlineStr">
        <is>
          <t>#DC8296</t>
        </is>
      </c>
    </row>
    <row r="94">
      <c r="A94" s="81" t="inlineStr">
        <is>
          <t>TINT_FERN</t>
        </is>
      </c>
      <c r="B94" s="81" t="n">
        <v>83</v>
      </c>
      <c r="C94" s="81" t="inlineStr">
        <is>
          <t>Gun tint</t>
        </is>
      </c>
      <c r="D94" s="81" t="inlineStr">
        <is>
          <t>Fern Tint</t>
        </is>
      </c>
      <c r="E94" s="81" t="inlineStr">
        <is>
          <t>common</t>
        </is>
      </c>
      <c r="F94" s="81" t="inlineStr">
        <is>
          <t>#4F7942</t>
        </is>
      </c>
    </row>
    <row r="95">
      <c r="A95" s="81" t="inlineStr">
        <is>
          <t>TRACER_OCHRE</t>
        </is>
      </c>
      <c r="B95" s="81" t="n">
        <v>84</v>
      </c>
      <c r="C95" s="81" t="inlineStr">
        <is>
          <t>Tracer colour</t>
        </is>
      </c>
      <c r="D95" s="81" t="inlineStr">
        <is>
          <t>Ochre Tracers</t>
        </is>
      </c>
      <c r="E95" s="81" t="inlineStr">
        <is>
          <t>common</t>
        </is>
      </c>
      <c r="F95" s="81" t="inlineStr">
        <is>
          <t>#CC7722</t>
        </is>
      </c>
    </row>
    <row r="96">
      <c r="A96" s="81" t="inlineStr">
        <is>
          <t>SIGHT_ASH</t>
        </is>
      </c>
      <c r="B96" s="81" t="n">
        <v>85</v>
      </c>
      <c r="C96" s="81" t="inlineStr">
        <is>
          <t>Crosshair colour</t>
        </is>
      </c>
      <c r="D96" s="81" t="inlineStr">
        <is>
          <t>Ash Sights</t>
        </is>
      </c>
      <c r="E96" s="81" t="inlineStr">
        <is>
          <t>common</t>
        </is>
      </c>
      <c r="F96" s="81" t="inlineStr">
        <is>
          <t>#B2B2B2</t>
        </is>
      </c>
    </row>
    <row r="97">
      <c r="A97" s="81" t="inlineStr">
        <is>
          <t>FLAG_SKY</t>
        </is>
      </c>
      <c r="B97" s="81" t="n">
        <v>86</v>
      </c>
      <c r="C97" s="81" t="inlineStr">
        <is>
          <t>Tower flag</t>
        </is>
      </c>
      <c r="D97" s="81" t="inlineStr">
        <is>
          <t>Sky Flag</t>
        </is>
      </c>
      <c r="E97" s="81" t="inlineStr">
        <is>
          <t>common</t>
        </is>
      </c>
      <c r="F97" s="81" t="inlineStr">
        <is>
          <t>#78B4E6</t>
        </is>
      </c>
    </row>
    <row r="98">
      <c r="A98" s="81" t="inlineStr">
        <is>
          <t>BANNER_ROSE</t>
        </is>
      </c>
      <c r="B98" s="81" t="n">
        <v>87</v>
      </c>
      <c r="C98" s="81" t="inlineStr">
        <is>
          <t>Leaderboard banner</t>
        </is>
      </c>
      <c r="D98" s="81" t="inlineStr">
        <is>
          <t>Rose Banner</t>
        </is>
      </c>
      <c r="E98" s="81" t="inlineStr">
        <is>
          <t>common</t>
        </is>
      </c>
      <c r="F98" s="81" t="inlineStr">
        <is>
          <t>#DC8296</t>
        </is>
      </c>
    </row>
    <row r="99">
      <c r="A99" s="81" t="inlineStr">
        <is>
          <t>NAME_EMBER</t>
        </is>
      </c>
      <c r="B99" s="81" t="n">
        <v>88</v>
      </c>
      <c r="C99" s="81" t="inlineStr">
        <is>
          <t>Name colour</t>
        </is>
      </c>
      <c r="D99" s="81" t="inlineStr">
        <is>
          <t>Ember Name</t>
        </is>
      </c>
      <c r="E99" s="81" t="inlineStr">
        <is>
          <t>common</t>
        </is>
      </c>
      <c r="F99" s="81" t="inlineStr">
        <is>
          <t>#E65A32</t>
        </is>
      </c>
    </row>
    <row r="100">
      <c r="A100" s="81" t="inlineStr">
        <is>
          <t>TINT_MOSS</t>
        </is>
      </c>
      <c r="B100" s="81" t="n">
        <v>89</v>
      </c>
      <c r="C100" s="81" t="inlineStr">
        <is>
          <t>Gun tint</t>
        </is>
      </c>
      <c r="D100" s="81" t="inlineStr">
        <is>
          <t>Moss Tint</t>
        </is>
      </c>
      <c r="E100" s="81" t="inlineStr">
        <is>
          <t>common</t>
        </is>
      </c>
      <c r="F100" s="81" t="inlineStr">
        <is>
          <t>#8A9A5B</t>
        </is>
      </c>
    </row>
    <row r="101">
      <c r="A101" s="81" t="inlineStr">
        <is>
          <t>HAT_CREST</t>
        </is>
      </c>
      <c r="B101" s="81" t="n">
        <v>90</v>
      </c>
      <c r="C101" s="81" t="inlineStr">
        <is>
          <t>Hunting hat</t>
        </is>
      </c>
      <c r="D101" s="81" t="inlineStr">
        <is>
          <t>Crest Helm</t>
        </is>
      </c>
      <c r="E101" s="81" t="inlineStr">
        <is>
          <t>rare</t>
        </is>
      </c>
      <c r="F101" s="81" t="inlineStr">
        <is>
          <t>#6E737D</t>
        </is>
      </c>
      <c r="G101" s="81" t="inlineStr">
        <is>
          <t>Metal</t>
        </is>
      </c>
      <c r="H101" s="81" t="inlineStr">
        <is>
          <t>Crest</t>
        </is>
      </c>
    </row>
    <row r="102">
      <c r="A102" s="81" t="inlineStr">
        <is>
          <t>TITLE_90</t>
        </is>
      </c>
      <c r="B102" s="81" t="n">
        <v>90</v>
      </c>
      <c r="C102" s="81" t="inlineStr">
        <is>
          <t>Title</t>
        </is>
      </c>
      <c r="D102" s="81" t="inlineStr">
        <is>
          <t>Rex Wrangler</t>
        </is>
      </c>
      <c r="E102" s="81" t="inlineStr">
        <is>
          <t>title</t>
        </is>
      </c>
    </row>
    <row r="103">
      <c r="A103" s="81" t="inlineStr">
        <is>
          <t>TRACER_RUST</t>
        </is>
      </c>
      <c r="B103" s="81" t="n">
        <v>91</v>
      </c>
      <c r="C103" s="81" t="inlineStr">
        <is>
          <t>Tracer colour</t>
        </is>
      </c>
      <c r="D103" s="81" t="inlineStr">
        <is>
          <t>Rust Tracers</t>
        </is>
      </c>
      <c r="E103" s="81" t="inlineStr">
        <is>
          <t>common</t>
        </is>
      </c>
      <c r="F103" s="81" t="inlineStr">
        <is>
          <t>#A04828</t>
        </is>
      </c>
    </row>
    <row r="104">
      <c r="A104" s="81" t="inlineStr">
        <is>
          <t>SIGHT_SLATE</t>
        </is>
      </c>
      <c r="B104" s="81" t="n">
        <v>92</v>
      </c>
      <c r="C104" s="81" t="inlineStr">
        <is>
          <t>Crosshair colour</t>
        </is>
      </c>
      <c r="D104" s="81" t="inlineStr">
        <is>
          <t>Slate Sights</t>
        </is>
      </c>
      <c r="E104" s="81" t="inlineStr">
        <is>
          <t>common</t>
        </is>
      </c>
      <c r="F104" s="81" t="inlineStr">
        <is>
          <t>#586373</t>
        </is>
      </c>
    </row>
    <row r="105">
      <c r="A105" s="81" t="inlineStr">
        <is>
          <t>FLAG_DUSK</t>
        </is>
      </c>
      <c r="B105" s="81" t="n">
        <v>93</v>
      </c>
      <c r="C105" s="81" t="inlineStr">
        <is>
          <t>Tower flag</t>
        </is>
      </c>
      <c r="D105" s="81" t="inlineStr">
        <is>
          <t>Dusk Flag</t>
        </is>
      </c>
      <c r="E105" s="81" t="inlineStr">
        <is>
          <t>common</t>
        </is>
      </c>
      <c r="F105" s="81" t="inlineStr">
        <is>
          <t>#62508C</t>
        </is>
      </c>
    </row>
    <row r="106">
      <c r="A106" s="81" t="inlineStr">
        <is>
          <t>BANNER_EMBER</t>
        </is>
      </c>
      <c r="B106" s="81" t="n">
        <v>94</v>
      </c>
      <c r="C106" s="81" t="inlineStr">
        <is>
          <t>Leaderboard banner</t>
        </is>
      </c>
      <c r="D106" s="81" t="inlineStr">
        <is>
          <t>Ember Banner</t>
        </is>
      </c>
      <c r="E106" s="81" t="inlineStr">
        <is>
          <t>common</t>
        </is>
      </c>
      <c r="F106" s="81" t="inlineStr">
        <is>
          <t>#E65A32</t>
        </is>
      </c>
    </row>
    <row r="107">
      <c r="A107" s="81" t="inlineStr">
        <is>
          <t>NAME_SAND</t>
        </is>
      </c>
      <c r="B107" s="81" t="n">
        <v>95</v>
      </c>
      <c r="C107" s="81" t="inlineStr">
        <is>
          <t>Name colour</t>
        </is>
      </c>
      <c r="D107" s="81" t="inlineStr">
        <is>
          <t>Sand Name</t>
        </is>
      </c>
      <c r="E107" s="81" t="inlineStr">
        <is>
          <t>common</t>
        </is>
      </c>
      <c r="F107" s="81" t="inlineStr">
        <is>
          <t>#C2B280</t>
        </is>
      </c>
    </row>
    <row r="108">
      <c r="A108" s="81" t="inlineStr">
        <is>
          <t>TINT_CLAY</t>
        </is>
      </c>
      <c r="B108" s="81" t="n">
        <v>96</v>
      </c>
      <c r="C108" s="81" t="inlineStr">
        <is>
          <t>Gun tint</t>
        </is>
      </c>
      <c r="D108" s="81" t="inlineStr">
        <is>
          <t>Clay Tint</t>
        </is>
      </c>
      <c r="E108" s="81" t="inlineStr">
        <is>
          <t>common</t>
        </is>
      </c>
      <c r="F108" s="81" t="inlineStr">
        <is>
          <t>#B0684A</t>
        </is>
      </c>
    </row>
    <row r="109">
      <c r="A109" s="81" t="inlineStr">
        <is>
          <t>TRACER_BONE</t>
        </is>
      </c>
      <c r="B109" s="81" t="n">
        <v>97</v>
      </c>
      <c r="C109" s="81" t="inlineStr">
        <is>
          <t>Tracer colour</t>
        </is>
      </c>
      <c r="D109" s="81" t="inlineStr">
        <is>
          <t>Bone Tracers</t>
        </is>
      </c>
      <c r="E109" s="81" t="inlineStr">
        <is>
          <t>common</t>
        </is>
      </c>
      <c r="F109" s="81" t="inlineStr">
        <is>
          <t>#E3DAC9</t>
        </is>
      </c>
    </row>
    <row r="110">
      <c r="A110" s="81" t="inlineStr">
        <is>
          <t>SIGHT_TEAL</t>
        </is>
      </c>
      <c r="B110" s="81" t="n">
        <v>98</v>
      </c>
      <c r="C110" s="81" t="inlineStr">
        <is>
          <t>Crosshair colour</t>
        </is>
      </c>
      <c r="D110" s="81" t="inlineStr">
        <is>
          <t>Teal Sights</t>
        </is>
      </c>
      <c r="E110" s="81" t="inlineStr">
        <is>
          <t>common</t>
        </is>
      </c>
      <c r="F110" s="81" t="inlineStr">
        <is>
          <t>#288080</t>
        </is>
      </c>
    </row>
    <row r="111">
      <c r="A111" s="81" t="inlineStr">
        <is>
          <t>FLAG_PLUM</t>
        </is>
      </c>
      <c r="B111" s="81" t="n">
        <v>99</v>
      </c>
      <c r="C111" s="81" t="inlineStr">
        <is>
          <t>Tower flag</t>
        </is>
      </c>
      <c r="D111" s="81" t="inlineStr">
        <is>
          <t>Plum Flag</t>
        </is>
      </c>
      <c r="E111" s="81" t="inlineStr">
        <is>
          <t>common</t>
        </is>
      </c>
      <c r="F111" s="81" t="inlineStr">
        <is>
          <t>#823C64</t>
        </is>
      </c>
    </row>
    <row r="112">
      <c r="A112" s="81" t="inlineStr">
        <is>
          <t>GUN_SCALE</t>
        </is>
      </c>
      <c r="B112" s="81" t="n">
        <v>100</v>
      </c>
      <c r="C112" s="81" t="inlineStr">
        <is>
          <t>Gun pattern</t>
        </is>
      </c>
      <c r="D112" s="81" t="inlineStr">
        <is>
          <t>Raptor Scale</t>
        </is>
      </c>
      <c r="E112" s="81" t="inlineStr">
        <is>
          <t>rare</t>
        </is>
      </c>
      <c r="F112" s="81" t="inlineStr">
        <is>
          <t>#3C6E5A</t>
        </is>
      </c>
      <c r="G112" s="81" t="inlineStr">
        <is>
          <t>Slate</t>
        </is>
      </c>
    </row>
    <row r="113">
      <c r="A113" s="81" t="inlineStr">
        <is>
          <t>TITLE_100</t>
        </is>
      </c>
      <c r="B113" s="81" t="n">
        <v>100</v>
      </c>
      <c r="C113" s="81" t="inlineStr">
        <is>
          <t>Title</t>
        </is>
      </c>
      <c r="D113" s="81" t="inlineStr">
        <is>
          <t>Master Hunter</t>
        </is>
      </c>
      <c r="E113" s="81" t="inlineStr">
        <is>
          <t>title</t>
        </is>
      </c>
    </row>
    <row r="114">
      <c r="A114" s="81" t="inlineStr">
        <is>
          <t>SET_TARPIT</t>
        </is>
      </c>
      <c r="B114" s="81" t="n">
        <v>150</v>
      </c>
      <c r="C114" s="81" t="inlineStr">
        <is>
          <t>Animated set</t>
        </is>
      </c>
      <c r="D114" s="81" t="inlineStr">
        <is>
          <t>Volcano Set</t>
        </is>
      </c>
      <c r="E114" s="81" t="inlineStr">
        <is>
          <t>legendary</t>
        </is>
      </c>
      <c r="F114" s="81" t="inlineStr">
        <is>
          <t>#281E32</t>
        </is>
      </c>
      <c r="G114" s="81" t="inlineStr">
        <is>
          <t>Foil</t>
        </is>
      </c>
      <c r="H114" s="81" t="inlineStr">
        <is>
          <t>Pulse</t>
        </is>
      </c>
    </row>
    <row r="115">
      <c r="A115" s="81" t="inlineStr">
        <is>
          <t>TITLE_150</t>
        </is>
      </c>
      <c r="B115" s="81" t="n">
        <v>150</v>
      </c>
      <c r="C115" s="81" t="inlineStr">
        <is>
          <t>Title</t>
        </is>
      </c>
      <c r="D115" s="81" t="inlineStr">
        <is>
          <t>Fossil Legend</t>
        </is>
      </c>
      <c r="E115" s="81" t="inlineStr">
        <is>
          <t>title</t>
        </is>
      </c>
    </row>
    <row r="116">
      <c r="A116" s="81" t="inlineStr">
        <is>
          <t>SET_METEOR</t>
        </is>
      </c>
      <c r="B116" s="81" t="n">
        <v>200</v>
      </c>
      <c r="C116" s="81" t="inlineStr">
        <is>
          <t>Animated set</t>
        </is>
      </c>
      <c r="D116" s="81" t="inlineStr">
        <is>
          <t>Meteor Set</t>
        </is>
      </c>
      <c r="E116" s="81" t="inlineStr">
        <is>
          <t>legendary</t>
        </is>
      </c>
      <c r="F116" s="81" t="inlineStr">
        <is>
          <t>#FF6E28</t>
        </is>
      </c>
      <c r="G116" s="81" t="inlineStr">
        <is>
          <t>Glass</t>
        </is>
      </c>
      <c r="H116" s="81" t="inlineStr">
        <is>
          <t>Cycle</t>
        </is>
      </c>
    </row>
    <row r="117">
      <c r="A117" s="81" t="inlineStr">
        <is>
          <t>TITLE_200</t>
        </is>
      </c>
      <c r="B117" s="81" t="n">
        <v>200</v>
      </c>
      <c r="C117" s="81" t="inlineStr">
        <is>
          <t>Title</t>
        </is>
      </c>
      <c r="D117" s="81" t="inlineStr">
        <is>
          <t>Meteor Hunter</t>
        </is>
      </c>
      <c r="E117" s="81" t="inlineStr">
        <is>
          <t>title</t>
        </is>
      </c>
    </row>
    <row r="118">
      <c r="A118" s="81" t="inlineStr">
        <is>
          <t>TITLE_ELDER</t>
        </is>
      </c>
      <c r="B118" s="81" t="n">
        <v>250</v>
      </c>
      <c r="C118" s="81" t="inlineStr">
        <is>
          <t>Title</t>
        </is>
      </c>
      <c r="D118" s="81" t="inlineStr">
        <is>
          <t>Elder Hunter {n}</t>
        </is>
      </c>
      <c r="E118" s="81" t="inlineStr">
        <is>
          <t>title</t>
        </is>
      </c>
      <c r="I118" s="81" t="n">
        <v>50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style="90" min="1" max="1"/>
    <col width="24" customWidth="1" style="90" min="2" max="2"/>
    <col width="10" customWidth="1" style="90" min="3" max="3"/>
    <col width="20" customWidth="1" style="90" min="4" max="4"/>
  </cols>
  <sheetData>
    <row r="1">
      <c r="A1" s="2" t="inlineStr">
        <is>
          <t>ARENAS — ranked Trophy gates (names: Dino review Round 16, DECISIONS #229; PLAN T81)</t>
        </is>
      </c>
    </row>
    <row r="2">
      <c r="A2" s="5" t="inlineStr">
        <is>
          <t>One row per arena, lowest first. Floor = the Trophies that reach it; you never drop below the floor of the best arena you've reached, and never below 0 (DECISIONS #218). Floors run up from 0. Reward = a Cosmetics Id unlocked the first time you reach it, or blank (cosmetic or title only, never power). Keys are saved in profiles: never rename one.</t>
        </is>
      </c>
    </row>
    <row r="4">
      <c r="A4" s="21" t="inlineStr">
        <is>
          <t>Key</t>
        </is>
      </c>
      <c r="B4" s="21" t="inlineStr">
        <is>
          <t>Name</t>
        </is>
      </c>
      <c r="C4" s="21" t="inlineStr">
        <is>
          <t>Floor</t>
        </is>
      </c>
      <c r="D4" s="21" t="inlineStr">
        <is>
          <t>Reward</t>
        </is>
      </c>
    </row>
    <row r="5">
      <c r="A5" s="81" t="inlineStr">
        <is>
          <t>ARENA_1</t>
        </is>
      </c>
      <c r="B5" s="81" t="inlineStr">
        <is>
          <t>Fern Gully</t>
        </is>
      </c>
      <c r="C5" s="81" t="n">
        <v>0</v>
      </c>
    </row>
    <row r="6">
      <c r="A6" s="81" t="inlineStr">
        <is>
          <t>ARENA_2</t>
        </is>
      </c>
      <c r="B6" s="81" t="inlineStr">
        <is>
          <t>Raptor Ridge</t>
        </is>
      </c>
      <c r="C6" s="81" t="n">
        <v>300</v>
      </c>
    </row>
    <row r="7">
      <c r="A7" s="81" t="inlineStr">
        <is>
          <t>ARENA_3</t>
        </is>
      </c>
      <c r="B7" s="81" t="inlineStr">
        <is>
          <t>Muddy Springs</t>
        </is>
      </c>
      <c r="C7" s="81" t="n">
        <v>600</v>
      </c>
    </row>
    <row r="8">
      <c r="A8" s="81" t="inlineStr">
        <is>
          <t>ARENA_4</t>
        </is>
      </c>
      <c r="B8" s="81" t="inlineStr">
        <is>
          <t>Horn Canyon</t>
        </is>
      </c>
      <c r="C8" s="81" t="n">
        <v>1000</v>
      </c>
    </row>
    <row r="9">
      <c r="A9" s="81" t="inlineStr">
        <is>
          <t>ARENA_5</t>
        </is>
      </c>
      <c r="B9" s="81" t="inlineStr">
        <is>
          <t>Volcano Rim</t>
        </is>
      </c>
      <c r="C9" s="81" t="n">
        <v>1500</v>
      </c>
    </row>
    <row r="10">
      <c r="A10" s="81" t="inlineStr">
        <is>
          <t>ARENA_6</t>
        </is>
      </c>
      <c r="B10" s="81" t="inlineStr">
        <is>
          <t>Sky Cliffs</t>
        </is>
      </c>
      <c r="C10" s="81" t="n">
        <v>2000</v>
      </c>
    </row>
    <row r="11">
      <c r="A11" s="81" t="inlineStr">
        <is>
          <t>ARENA_7</t>
        </is>
      </c>
      <c r="B11" s="81" t="inlineStr">
        <is>
          <t>Misty Jungle</t>
        </is>
      </c>
      <c r="C11" s="81" t="n">
        <v>3000</v>
      </c>
    </row>
    <row r="12">
      <c r="A12" s="81" t="inlineStr">
        <is>
          <t>ARENA_8</t>
        </is>
      </c>
      <c r="B12" s="81" t="inlineStr">
        <is>
          <t>Rex Kingdom</t>
        </is>
      </c>
      <c r="C12" s="81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2026-10-13T23:40:22Z</dcterms:modified>
</cp:coreProperties>
</file>