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  <sheet name="Hunter Stats" sheetId="17" state="visible" r:id="rId17"/>
    <sheet name="Hunter Kit" sheetId="18" state="visible" r:id="rId18"/>
    <sheet name="Pet Rarities" sheetId="19" state="visible" r:id="rId19"/>
    <sheet name="Eggs" sheetId="20" state="visible" r:id="rId20"/>
    <sheet name="Pets" sheetId="21" state="visible" r:id="rId21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5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  <font>
      <b val="1"/>
      <sz val="14"/>
    </font>
    <font>
      <b val="1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19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  <xf numFmtId="0" fontId="0" fillId="0" borderId="5" applyAlignment="1" pivotButton="0" quotePrefix="0" xfId="0">
      <alignment vertical="bottom"/>
    </xf>
    <xf numFmtId="4" fontId="0" fillId="0" borderId="0" pivotButton="0" quotePrefix="0" xfId="0"/>
    <xf numFmtId="0" fontId="6" fillId="4" borderId="0" pivotButton="0" quotePrefix="0" xfId="0"/>
    <xf numFmtId="49" fontId="5" fillId="2" borderId="0" pivotButton="0" quotePrefix="0" xfId="0"/>
    <xf numFmtId="4" fontId="8" fillId="5" borderId="0" pivotButton="0" quotePrefix="0" xfId="0"/>
    <xf numFmtId="49" fontId="9" fillId="2" borderId="0" pivotButton="0" quotePrefix="0" xfId="0"/>
    <xf numFmtId="0" fontId="3" fillId="0" borderId="0" pivotButton="0" quotePrefix="0" xfId="0"/>
    <xf numFmtId="0" fontId="7" fillId="3" borderId="0" pivotButton="0" quotePrefix="0" xfId="0"/>
    <xf numFmtId="0" fontId="13" fillId="0" borderId="0" pivotButton="0" quotePrefix="0" xfId="0"/>
    <xf numFmtId="0" fontId="14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3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5000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50000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25000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15000</v>
      </c>
      <c r="C154" s="102" t="inlineStr">
        <is>
          <t>Amber each player stakes (exporter: 10,000-20,000)</t>
        </is>
      </c>
    </row>
    <row r="155">
      <c r="A155" s="100" t="inlineStr">
        <is>
          <t>Team win payout</t>
        </is>
      </c>
      <c r="B155" s="101" t="n">
        <v>50000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5000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60000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30000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10000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5000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species' count per round (half up, min 1; bosses kept), spawn gaps unchanged; dino HP x (unpaced round EHP x the pace factor (pace·S + W) / (S + W)) / paced round EHP, kill cash x the count ratio; S = enemies x spawn gap, W = Track walk seconds / difficulty speed; every mode (DECISIONS #250, #258)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  <row r="183">
      <c r="A183" s="81" t="inlineStr">
        <is>
          <t>Battle crowd x</t>
        </is>
      </c>
      <c r="B183" s="81" t="n">
        <v>0.7</v>
      </c>
      <c r="C183" s="81" t="inlineStr">
        <is>
          <t>x every battle round's dino counts on top of Round pace (bosses kept); HP and kill cash scaled so round EHP and cash are unchanged; keeps peak live dinos under Max concurrent enemies (DECISIONS #258)</t>
        </is>
      </c>
    </row>
    <row r="184">
      <c r="A184" s="81" t="inlineStr">
        <is>
          <t>Ability tempo</t>
        </is>
      </c>
      <c r="B184" s="81" t="n">
        <v>2</v>
      </c>
      <c r="C184" s="81" t="inlineStr">
        <is>
          <t>hero ability cooldowns / this (on top of mastery), Field Hospital heal rate x this: paced rounds are shorter (DECISIONS #259); 1 to 1 / Round pace</t>
        </is>
      </c>
    </row>
    <row r="185">
      <c r="A185" s="109" t="inlineStr">
        <is>
          <t>Battle Fence drain</t>
        </is>
      </c>
      <c r="B185" s="109" t="n">
        <v>4</v>
      </c>
      <c r="C185" s="109" t="inlineStr">
        <is>
          <t>Fence per second, per side: battles only; a leak adds its cost to the side's pending loss, which comes off the Fence at most this fast and is applied in full before any match-end ranking (DECISIONS #267); co-op unchanged</t>
        </is>
      </c>
    </row>
    <row r="186">
      <c r="A186" s="109" t="inlineStr">
        <is>
          <t>Strip (s)</t>
        </is>
      </c>
      <c r="B186" s="109" t="n">
        <v>3</v>
      </c>
      <c r="C186" s="109" t="inlineStr">
        <is>
          <t>s a dino hit by a Strips armour shot stays unarmoured (Blind, Perch, Mortar options; PLAN 9c, #290); bosses half of it, as Jaw Lock (#307)</t>
        </is>
      </c>
    </row>
    <row r="187">
      <c r="A187" s="81" t="inlineStr">
        <is>
          <t>Raider sting cooldown (s)</t>
        </is>
      </c>
      <c r="B187" s="81" t="n">
        <v>3</v>
      </c>
      <c r="C187" s="81" t="inlineStr">
        <is>
          <t>s before the same enemy hunter can be stung again by this side's Raider towers (Sleeper Darts, Barbed Wire; battles only; PLAN 9d, #294)</t>
        </is>
      </c>
    </row>
    <row r="188">
      <c r="A188" s="81" t="inlineStr">
        <is>
          <t>Chain stun cap (s)</t>
        </is>
      </c>
      <c r="B188" s="81" t="n">
        <v>0.3</v>
      </c>
      <c r="C188" s="81" t="inlineStr">
        <is>
          <t>s: an arc's stun on a Chain effects coil (Supercell, Superconductor) is capped at this; the first target keeps its full stun (PLAN 9e, #297)</t>
        </is>
      </c>
    </row>
    <row r="189">
      <c r="A189" s="81" t="inlineStr">
        <is>
          <t>Bomblet fires per shell</t>
        </is>
      </c>
      <c r="B189" s="81" t="n">
        <v>6</v>
      </c>
      <c r="C189" s="81" t="inlineStr">
        <is>
          <t>fires a Fire Bomblets shell lights at most (first generation first, then the next); the rest of its bomblets still hit (Fire Bomblets, Firecracker Rain; PLAN T115b, #306)</t>
        </is>
      </c>
    </row>
    <row r="190">
      <c r="A190" s="81" t="inlineStr">
        <is>
          <t>Pool sting reach (studs)</t>
        </is>
      </c>
      <c r="B190" s="81" t="n">
        <v>12</v>
      </c>
      <c r="C190" s="81" t="inlineStr">
        <is>
          <t>studs: an on-track Raider tower (Bog Boots) stings a raider within this of the nearest point of its pool (its current length, Tar Lake included), not the whole pool; off-track Raider towers keep their range (PLAN T120b, #321)</t>
        </is>
      </c>
    </row>
    <row r="192">
      <c r="A192" s="81" t="inlineStr">
        <is>
          <t>4× TOWERS</t>
        </is>
      </c>
    </row>
    <row r="193">
      <c r="A193" s="81" t="inlineStr">
        <is>
          <t>Boss hard stop x</t>
        </is>
      </c>
      <c r="B193" s="81" t="n">
        <v>0.5</v>
      </c>
      <c r="C193" s="81" t="inlineStr">
        <is>
          <t>x a 4x hard stop (entomb, walls, nets, holds) on a boss unless the option says otherwise; hard stops never stack, the longer remaining wins (PLAN 9g common rule 4, #316)</t>
        </is>
      </c>
    </row>
    <row r="194">
      <c r="A194" s="81" t="inlineStr">
        <is>
          <t>Small size</t>
        </is>
      </c>
      <c r="B194" s="81" t="n">
        <v>2</v>
      </c>
      <c r="C194" s="81" t="inlineStr">
        <is>
          <t>"small dinos" = a non-boss at its last this many sizes (#316)</t>
        </is>
      </c>
    </row>
    <row r="195">
      <c r="A195" s="81" t="inlineStr">
        <is>
          <t>Wall min bunch</t>
        </is>
      </c>
      <c r="B195" s="81" t="n">
        <v>6</v>
      </c>
      <c r="C195" s="81" t="inlineStr">
        <is>
          <t>dinos in an area that set off a once-a-round effect at once (Shared/AutoFire, #316)</t>
        </is>
      </c>
    </row>
    <row r="196">
      <c r="A196" s="81" t="inlineStr">
        <is>
          <t>Wall reach (studs)</t>
        </is>
      </c>
      <c r="B196" s="81" t="n">
        <v>10</v>
      </c>
      <c r="C196" s="81" t="inlineStr">
        <is>
          <t>studs of track around a point counted as one bunch (Shared/AutoFire: the densest bunch)</t>
        </is>
      </c>
    </row>
    <row r="197">
      <c r="A197" s="81" t="inlineStr">
        <is>
          <t>Take-down mark radius</t>
        </is>
      </c>
      <c r="B197" s="81" t="n">
        <v>6</v>
      </c>
      <c r="C197" s="81" t="inlineStr">
        <is>
          <t>studs: a Take-down mark % take-down marks the dinos this near (Mark duration 3 s)</t>
        </is>
      </c>
    </row>
    <row r="198">
      <c r="A198" s="81" t="inlineStr">
        <is>
          <t>Round seconds (model)</t>
        </is>
      </c>
      <c r="B198" s="81" t="n">
        <v>50</v>
      </c>
      <c r="C198" s="81" t="inlineStr">
        <is>
          <t>s a round lasts in the value.py 4x metrics (per-round effects and cash a round; #313)</t>
        </is>
      </c>
    </row>
    <row r="199">
      <c r="A199" s="81" t="inlineStr">
        <is>
          <t>Walker cap per side</t>
        </is>
      </c>
      <c r="B199" s="81" t="n">
        <v>24</v>
      </c>
      <c r="C199" s="81" t="inlineStr">
        <is>
          <t>walkers (raptors, later paratroopers, rangers) a side may have out; past it none spawn (Shared/Walker, #315)</t>
        </is>
      </c>
    </row>
    <row r="201">
      <c r="A201" s="81" t="inlineStr">
        <is>
          <t>AMBER RESIN CANNON</t>
        </is>
      </c>
    </row>
    <row r="202">
      <c r="A202" s="81" t="inlineStr">
        <is>
          <t>Resin hits to entomb</t>
        </is>
      </c>
      <c r="B202" s="81" t="n">
        <v>6</v>
      </c>
      <c r="C202" s="81" t="inlineStr">
        <is>
          <t>resin a full-HP dino needs before it is entombed (x Entomb hits x x its HP-left share, at least 1; Shared/Resin)</t>
        </is>
      </c>
    </row>
    <row r="203">
      <c r="A203" s="81" t="inlineStr">
        <is>
          <t>Entomb base (s)</t>
        </is>
      </c>
      <c r="B203" s="81" t="n">
        <v>0.8</v>
      </c>
      <c r="C203" s="81" t="inlineStr">
        <is>
          <t>s an entomb holds when the build sets no Entomb (s) (a hard stop; bosses x Boss hard stop x)</t>
        </is>
      </c>
    </row>
    <row r="204">
      <c r="A204" s="81" t="inlineStr">
        <is>
          <t>Resin hit slow %</t>
        </is>
      </c>
      <c r="B204" s="81" t="n">
        <v>20</v>
      </c>
      <c r="C204" s="81" t="inlineStr">
        <is>
          <t>% slower after each resin hit (not bosses)</t>
        </is>
      </c>
    </row>
    <row r="205">
      <c r="A205" s="81" t="inlineStr">
        <is>
          <t>Resin hit slow (s)</t>
        </is>
      </c>
      <c r="B205" s="81" t="n">
        <v>1</v>
      </c>
      <c r="C205" s="81" t="inlineStr">
        <is>
          <t>s the resin-hit slow lasts</t>
        </is>
      </c>
    </row>
    <row r="206">
      <c r="A206" s="81" t="inlineStr">
        <is>
          <t>Boss entomb every (s)</t>
        </is>
      </c>
      <c r="B206" s="81" t="n">
        <v>10</v>
      </c>
      <c r="C206" s="81" t="inlineStr">
        <is>
          <t>s: a boss is entombed at most once per this, per boss</t>
        </is>
      </c>
    </row>
    <row r="207">
      <c r="A207" s="81" t="inlineStr">
        <is>
          <t>Spread reach (studs)</t>
        </is>
      </c>
      <c r="B207" s="81" t="n">
        <v>6</v>
      </c>
      <c r="C207" s="81" t="inlineStr">
        <is>
          <t>studs: Spreading Amber takes the nearest dinos this close</t>
        </is>
      </c>
    </row>
    <row r="208">
      <c r="A208" s="81" t="inlineStr">
        <is>
          <t>Sticky bed reach (studs)</t>
        </is>
      </c>
      <c r="B208" s="81" t="n">
        <v>6</v>
      </c>
      <c r="C208" s="81" t="inlineStr">
        <is>
          <t>studs: Sticky Bed slows dinos this close to an entombed one</t>
        </is>
      </c>
    </row>
    <row r="209">
      <c r="A209" s="81" t="inlineStr">
        <is>
          <t>Fossil Fuel cap %</t>
        </is>
      </c>
      <c r="B209" s="81" t="n">
        <v>30</v>
      </c>
      <c r="C209" s="81" t="inlineStr">
        <is>
          <t>% attack speed Fossil Fuel's stack reaches at most (per round)</t>
        </is>
      </c>
    </row>
    <row r="210">
      <c r="A210" s="81" t="inlineStr">
        <is>
          <t>RAPTOR PEN</t>
        </is>
      </c>
    </row>
    <row r="211">
      <c r="A211" s="81" t="inlineStr">
        <is>
          <t>Raptor HP</t>
        </is>
      </c>
      <c r="B211" s="81" t="n">
        <v>60</v>
      </c>
      <c r="C211" s="81" t="inlineStr">
        <is>
          <t>a raptor's HP (x Walker HP x x (1 + Tower HP per tier x tiers bought), as towers; Shared/Walker)</t>
        </is>
      </c>
    </row>
    <row r="212">
      <c r="A212" s="81" t="inlineStr">
        <is>
          <t>Raptor speed</t>
        </is>
      </c>
      <c r="B212" s="81" t="n">
        <v>30</v>
      </c>
      <c r="C212" s="81" t="inlineStr">
        <is>
          <t>studs/s a raptor runs along the track (home at x1.5)</t>
        </is>
      </c>
    </row>
    <row r="213">
      <c r="A213" s="81" t="inlineStr">
        <is>
          <t>Raptor reach</t>
        </is>
      </c>
      <c r="B213" s="81" t="n">
        <v>4</v>
      </c>
      <c r="C213" s="81" t="inlineStr">
        <is>
          <t>studs: a raptor this close to its target pounces / bites</t>
        </is>
      </c>
    </row>
    <row r="214">
      <c r="A214" s="81" t="inlineStr">
        <is>
          <t>Pounce hold (s)</t>
        </is>
      </c>
      <c r="B214" s="81" t="n">
        <v>0.5</v>
      </c>
      <c r="C214" s="81" t="inlineStr">
        <is>
          <t>s a pounce holds a non-boss when the build sets no Hold (s)</t>
        </is>
      </c>
    </row>
    <row r="215">
      <c r="A215" s="81" t="inlineStr">
        <is>
          <t>Retreat HP share</t>
        </is>
      </c>
      <c r="B215" s="81" t="n">
        <v>0.3</v>
      </c>
      <c r="C215" s="81" t="inlineStr">
        <is>
          <t>a raptor at or below this share of its HP runs home</t>
        </is>
      </c>
    </row>
    <row r="216">
      <c r="A216" s="81" t="inlineStr">
        <is>
          <t>Raptor respawn (s)</t>
        </is>
      </c>
      <c r="B216" s="81" t="n">
        <v>8</v>
      </c>
      <c r="C216" s="81" t="inlineStr">
        <is>
          <t>s a raptor bitten to 0 HP is gone (x Walker respawn x)</t>
        </is>
      </c>
    </row>
    <row r="217">
      <c r="A217" s="81" t="inlineStr">
        <is>
          <t>Pen heal (HP/s)</t>
        </is>
      </c>
      <c r="B217" s="81" t="n">
        <v>15</v>
      </c>
      <c r="C217" s="81" t="inlineStr">
        <is>
          <t>HP/s a raptor heals at home (it runs out again at 80 %)</t>
        </is>
      </c>
    </row>
    <row r="218">
      <c r="A218" s="81" t="inlineStr">
        <is>
          <t>Leash x</t>
        </is>
      </c>
      <c r="B218" s="81" t="n">
        <v>1.5</v>
      </c>
      <c r="C218" s="81" t="inlineStr">
        <is>
          <t>x range: a target further than this from the pen is let go</t>
        </is>
      </c>
    </row>
    <row r="219">
      <c r="A219" s="81" t="inlineStr">
        <is>
          <t>Trample size</t>
        </is>
      </c>
      <c r="B219" s="81" t="n">
        <v>3</v>
      </c>
      <c r="C219" s="81" t="inlineStr">
        <is>
          <t>a dino with at least this many sizes left tramples a raptor in its path</t>
        </is>
      </c>
    </row>
    <row r="220">
      <c r="A220" s="81" t="inlineStr">
        <is>
          <t>Trample share</t>
        </is>
      </c>
      <c r="B220" s="81" t="n">
        <v>0.25</v>
      </c>
      <c r="C220" s="81" t="inlineStr">
        <is>
          <t>x a raptor's max HP a trample takes (once per dino)</t>
        </is>
      </c>
    </row>
    <row r="221">
      <c r="A221" s="81" t="inlineStr">
        <is>
          <t>Dodge every (s)</t>
        </is>
      </c>
      <c r="B221" s="81" t="n">
        <v>3</v>
      </c>
      <c r="C221" s="81" t="inlineStr">
        <is>
          <t>Clever Girls: a raptor ignores one bite per this many s</t>
        </is>
      </c>
    </row>
    <row r="222">
      <c r="A222" s="81" t="inlineStr">
        <is>
          <t>Swarm raptors</t>
        </is>
      </c>
      <c r="B222" s="81" t="n">
        <v>10</v>
      </c>
      <c r="C222" s="81" t="inlineStr">
        <is>
          <t>Raptor Swarm: small raptors that pour out once a round</t>
        </is>
      </c>
    </row>
    <row r="223">
      <c r="A223" s="81" t="inlineStr">
        <is>
          <t>Swarm share</t>
        </is>
      </c>
      <c r="B223" s="81" t="n">
        <v>0.4</v>
      </c>
      <c r="C223" s="81" t="inlineStr">
        <is>
          <t>x a raptor's HP and bite for a Swarm raptor</t>
        </is>
      </c>
    </row>
    <row r="224">
      <c r="A224" s="81" t="inlineStr">
        <is>
          <t>Swarm (s)</t>
        </is>
      </c>
      <c r="B224" s="81" t="n">
        <v>15</v>
      </c>
      <c r="C224" s="81" t="inlineStr">
        <is>
          <t>s the Swarm hunts anywhere on your side's track, then vanishes</t>
        </is>
      </c>
    </row>
    <row r="225">
      <c r="A225" s="81" t="inlineStr">
        <is>
          <t>Charge knockback (studs)</t>
        </is>
      </c>
      <c r="B225" s="81" t="n">
        <v>6</v>
      </c>
      <c r="C225" s="81" t="inlineStr">
        <is>
          <t>Raptor Charge: small dinos a charging raptor passes are knocked back this far (not bosses)</t>
        </is>
      </c>
    </row>
    <row r="226">
      <c r="A226" s="81" t="inlineStr">
        <is>
          <t>Guard reach (studs)</t>
        </is>
      </c>
      <c r="B226" s="81" t="n">
        <v>10</v>
      </c>
      <c r="C226" s="81" t="inlineStr">
        <is>
          <t>Guard Raptors: a dino this close to a guarded tower that bites or throws at it is attacked</t>
        </is>
      </c>
    </row>
    <row r="227">
      <c r="A227" s="81" t="inlineStr">
        <is>
          <t>Roar reach (studs)</t>
        </is>
      </c>
      <c r="B227" s="81" t="n">
        <v>10</v>
      </c>
      <c r="C227" s="81" t="inlineStr">
        <is>
          <t>Rex Tamer: small dinos this close to the alpha are stunned by its roar</t>
        </is>
      </c>
    </row>
    <row r="228">
      <c r="A228" s="81" t="inlineStr">
        <is>
          <t>Hungry Alpha cap %</t>
        </is>
      </c>
      <c r="B228" s="81" t="n">
        <v>50</v>
      </c>
      <c r="C228" s="81" t="inlineStr">
        <is>
          <t>Hungry Alpha: the most its take-down stack adds this round</t>
        </is>
      </c>
    </row>
    <row r="230">
      <c r="A230" s="81" t="inlineStr">
        <is>
          <t>BONE TOTEM</t>
        </is>
      </c>
    </row>
    <row r="231">
      <c r="A231" s="81" t="inlineStr">
        <is>
          <t>Totem charge (Bones)</t>
        </is>
      </c>
      <c r="B231" s="81" t="n">
        <v>3</v>
      </c>
      <c r="C231" s="81" t="inlineStr">
        <is>
          <t>pops (a dino losing a size) inside a Bone Totem's range that fill it (x Charge needed x; Shared/Totem)</t>
        </is>
      </c>
    </row>
    <row r="232">
      <c r="A232" s="81" t="inlineStr">
        <is>
          <t>Roar breaks</t>
        </is>
      </c>
      <c r="B232" s="81" t="n">
        <v>2</v>
      </c>
      <c r="C232" s="81" t="inlineStr">
        <is>
          <t>sizes the Spirit Roar may drop on each dino it hits (a Size breaks tier raises it)</t>
        </is>
      </c>
    </row>
    <row r="233">
      <c r="A233" s="81" t="inlineStr">
        <is>
          <t>Fear knockback (studs)</t>
        </is>
      </c>
      <c r="B233" s="81" t="n">
        <v>8</v>
      </c>
      <c r="C233" s="81" t="inlineStr">
        <is>
          <t>the most the roar knocks a small dino back (Fear: Knockback (studs); never a boss)</t>
        </is>
      </c>
    </row>
    <row r="234">
      <c r="A234" s="81" t="inlineStr">
        <is>
          <t>Shatter strip (s)</t>
        </is>
      </c>
      <c r="B234" s="81" t="n">
        <v>4</v>
      </c>
      <c r="C234" s="81" t="inlineStr">
        <is>
          <t>s a dino hit by a Shatter Roar stays unarmoured (bosses half, as Strip (s))</t>
        </is>
      </c>
    </row>
    <row r="235">
      <c r="A235" s="81" t="inlineStr">
        <is>
          <t>Skull x</t>
        </is>
      </c>
      <c r="B235" s="81" t="n">
        <v>0.6</v>
      </c>
      <c r="C235" s="81" t="inlineStr">
        <is>
          <t>x the roar's damage for each Skull Storm skull (one dino each, breaks 1)</t>
        </is>
      </c>
    </row>
    <row r="236">
      <c r="A236" s="81" t="inlineStr">
        <is>
          <t>Spirit hunters</t>
        </is>
      </c>
      <c r="B236" s="81" t="n">
        <v>3</v>
      </c>
      <c r="C236" s="81" t="inlineStr">
        <is>
          <t>ghost hunters a full Spirit Hunters totem calls</t>
        </is>
      </c>
    </row>
    <row r="237">
      <c r="A237" s="81" t="inlineStr">
        <is>
          <t>Spirit hunter damage</t>
        </is>
      </c>
      <c r="B237" s="81" t="n">
        <v>8</v>
      </c>
      <c r="C237" s="81" t="inlineStr">
        <is>
          <t>a ghost hunter's shot (x the team's level)</t>
        </is>
      </c>
    </row>
    <row r="238">
      <c r="A238" s="81" t="inlineStr">
        <is>
          <t>Spirit hunter rate</t>
        </is>
      </c>
      <c r="B238" s="81" t="n">
        <v>2</v>
      </c>
      <c r="C238" s="81" t="inlineStr">
        <is>
          <t>shots a second per ghost hunter</t>
        </is>
      </c>
    </row>
    <row r="239">
      <c r="A239" s="81" t="inlineStr">
        <is>
          <t>Spirit (s)</t>
        </is>
      </c>
      <c r="B239" s="81" t="n">
        <v>6</v>
      </c>
      <c r="C239" s="81" t="inlineStr">
        <is>
          <t>s the ghost hunters stay</t>
        </is>
      </c>
    </row>
    <row r="240">
      <c r="A240" s="81" t="inlineStr">
        <is>
          <t>Full buff (s)</t>
        </is>
      </c>
      <c r="B240" s="81" t="n">
        <v>6</v>
      </c>
      <c r="C240" s="81" t="inlineStr">
        <is>
          <t>s War Paint's hunter buff lasts after a full charge</t>
        </is>
      </c>
    </row>
    <row r="241">
      <c r="A241" s="81" t="inlineStr">
        <is>
          <t>Finisher %</t>
        </is>
      </c>
      <c r="B241" s="81" t="n">
        <v>25</v>
      </c>
      <c r="C241" s="81" t="inlineStr">
        <is>
          <t>Finishing Roar: a boss in range dropping below this % of its HP gets one free roar (once per boss)</t>
        </is>
      </c>
    </row>
    <row r="242">
      <c r="A242" s="81" t="inlineStr">
        <is>
          <t>Treasure cash</t>
        </is>
      </c>
      <c r="B242" s="81" t="n">
        <v>1500</v>
      </c>
      <c r="C242" s="81" t="inlineStr">
        <is>
          <t>Ancient Treasure: the first full charge of the match also drops a chest worth this</t>
        </is>
      </c>
    </row>
    <row r="244">
      <c r="A244" s="81" t="inlineStr">
        <is>
          <t>SPOTTER BLIMP</t>
        </is>
      </c>
    </row>
    <row r="245">
      <c r="A245" s="81" t="inlineStr">
        <is>
          <t>Blimp speed (studs/s)</t>
        </is>
      </c>
      <c r="B245" s="81" t="n">
        <v>40</v>
      </c>
      <c r="C245" s="81" t="inlineStr">
        <is>
          <t>the blimp's flying speed along its side's track (x Blimp speed x); a lap = spawn end to exit end and back (Shared/Blimp)</t>
        </is>
      </c>
    </row>
    <row r="246">
      <c r="A246" s="81" t="inlineStr">
        <is>
          <t>Paratrooper HP</t>
        </is>
      </c>
      <c r="B246" s="81" t="n">
        <v>80</v>
      </c>
      <c r="C246" s="81" t="inlineStr">
        <is>
          <t>a Paratroopers ranger's HP (the 9g walker, fight mode)</t>
        </is>
      </c>
    </row>
    <row r="247">
      <c r="A247" s="81" t="inlineStr">
        <is>
          <t>Paratrooper damage</t>
        </is>
      </c>
      <c r="B247" s="81" t="n">
        <v>40</v>
      </c>
      <c r="C247" s="81" t="inlineStr">
        <is>
          <t>a paratrooper's shot (x the team's level)</t>
        </is>
      </c>
    </row>
    <row r="248">
      <c r="A248" s="81" t="inlineStr">
        <is>
          <t>Paratrooper rate</t>
        </is>
      </c>
      <c r="B248" s="81" t="n">
        <v>1.5</v>
      </c>
      <c r="C248" s="81" t="inlineStr">
        <is>
          <t>shots a second per paratrooper</t>
        </is>
      </c>
    </row>
    <row r="249">
      <c r="A249" s="81" t="inlineStr">
        <is>
          <t>Paratrooper reach</t>
        </is>
      </c>
      <c r="B249" s="81" t="n">
        <v>14</v>
      </c>
      <c r="C249" s="81" t="inlineStr">
        <is>
          <t>studs: paratroopers hunt dinos within this of where they land</t>
        </is>
      </c>
    </row>
    <row r="250">
      <c r="A250" s="81" t="inlineStr">
        <is>
          <t>Paratrooper speed</t>
        </is>
      </c>
      <c r="B250" s="81" t="n">
        <v>14</v>
      </c>
      <c r="C250" s="81" t="inlineStr">
        <is>
          <t>studs/s a paratrooper walks</t>
        </is>
      </c>
    </row>
    <row r="251">
      <c r="A251" s="81" t="inlineStr">
        <is>
          <t>Hook max sizes</t>
        </is>
      </c>
      <c r="B251" s="81" t="n">
        <v>2</v>
      </c>
      <c r="C251" s="81" t="inlineStr">
        <is>
          <t>Sky Hook takes only a non-boss dino with at most this many sizes left</t>
        </is>
      </c>
    </row>
    <row r="253">
      <c r="A253" s="81" t="inlineStr">
        <is>
          <t>METEOR BEACON</t>
        </is>
      </c>
    </row>
    <row r="254">
      <c r="A254" s="81" t="inlineStr">
        <is>
          <t>Bunch radius (studs)</t>
        </is>
      </c>
      <c r="B254" s="81" t="n">
        <v>8</v>
      </c>
      <c r="C254" s="81" t="inlineStr">
        <is>
          <t>studs: a meteor aims at the track point with the most dinos within this (a boss counts 3; Shared/Meteor)</t>
        </is>
      </c>
    </row>
    <row r="255">
      <c r="A255" s="81" t="inlineStr">
        <is>
          <t>Strike warning (s)</t>
        </is>
      </c>
      <c r="B255" s="81" t="n">
        <v>1</v>
      </c>
      <c r="C255" s="81" t="inlineStr">
        <is>
          <t>s the red warning ring shows before a meteor lands</t>
        </is>
      </c>
    </row>
    <row r="256">
      <c r="A256" s="81" t="inlineStr">
        <is>
          <t>Crater radius</t>
        </is>
      </c>
      <c r="B256" s="81" t="n">
        <v>6</v>
      </c>
      <c r="C256" s="81" t="inlineStr">
        <is>
          <t>studs: the burning crater a strike's densest-point meteor leaves</t>
        </is>
      </c>
    </row>
    <row r="257">
      <c r="A257" s="81" t="inlineStr">
        <is>
          <t>Crater (s)</t>
        </is>
      </c>
      <c r="B257" s="81" t="n">
        <v>5</v>
      </c>
      <c r="C257" s="81" t="inlineStr">
        <is>
          <t>s a crater lasts when the build sets no Crater (s)</t>
        </is>
      </c>
    </row>
    <row r="258">
      <c r="A258" s="81" t="inlineStr">
        <is>
          <t>Crater burn DPS</t>
        </is>
      </c>
      <c r="B258" s="81" t="n">
        <v>10</v>
      </c>
      <c r="C258" s="81" t="inlineStr">
        <is>
          <t>a crater's burn a second when the build sets no Burn DPS (x the team's level)</t>
        </is>
      </c>
    </row>
    <row r="259">
      <c r="A259" s="81" t="inlineStr">
        <is>
          <t>Small meteor x</t>
        </is>
      </c>
      <c r="B259" s="81" t="n">
        <v>0.6</v>
      </c>
      <c r="C259" s="81" t="inlineStr">
        <is>
          <t>x the meteor's damage for each small meteor (Sky Rocks, Endless Rain, Starfall)</t>
        </is>
      </c>
    </row>
    <row r="260">
      <c r="A260" s="81" t="inlineStr">
        <is>
          <t>Small splash x</t>
        </is>
      </c>
      <c r="B260" s="81" t="n">
        <v>0.7</v>
      </c>
      <c r="C260" s="81" t="inlineStr">
        <is>
          <t>x the splash radius for each small meteor</t>
        </is>
      </c>
    </row>
    <row r="261">
      <c r="A261" s="81" t="inlineStr">
        <is>
          <t>Extinction min bunch</t>
        </is>
      </c>
      <c r="B261" s="81" t="n">
        <v>6</v>
      </c>
      <c r="C261" s="81" t="inlineStr">
        <is>
          <t>Extinction Event fires itself on a boss or this many dinos in the bunch (else at the last spawn)</t>
        </is>
      </c>
    </row>
    <row r="262">
      <c r="A262" s="81" t="inlineStr">
        <is>
          <t>Extinction x</t>
        </is>
      </c>
      <c r="B262" s="81" t="n">
        <v>3</v>
      </c>
      <c r="C262" s="81" t="inlineStr">
        <is>
          <t>x the meteor's damage on every dino on your side (Extinction Event, once per round played)</t>
        </is>
      </c>
    </row>
    <row r="263">
      <c r="A263" s="81" t="inlineStr">
        <is>
          <t>Extinction breaks</t>
        </is>
      </c>
      <c r="B263" s="81" t="n">
        <v>4</v>
      </c>
      <c r="C263" s="81" t="inlineStr">
        <is>
          <t>sizes the Extinction Event breaks on the densest bunch's dinos (the rest break 1)</t>
        </is>
      </c>
    </row>
    <row r="264">
      <c r="A264" s="81" t="inlineStr">
        <is>
          <t>Starfall meteors</t>
        </is>
      </c>
      <c r="B264" s="81" t="n">
        <v>20</v>
      </c>
      <c r="C264" s="81" t="inlineStr">
        <is>
          <t>Starfall: small meteors on the densest points across your side, in place of the strike</t>
        </is>
      </c>
    </row>
    <row r="265">
      <c r="A265" s="81" t="inlineStr">
        <is>
          <t>Fire line gap (studs)</t>
        </is>
      </c>
      <c r="B265" s="81" t="n">
        <v>30</v>
      </c>
      <c r="C265" s="81" t="inlineStr">
        <is>
          <t>Fire Line: craters this close along the track join into one burning strip while both last</t>
        </is>
      </c>
    </row>
    <row r="266">
      <c r="A266" s="81" t="inlineStr">
        <is>
          <t>Streak length (studs)</t>
        </is>
      </c>
      <c r="B266" s="81" t="n">
        <v>10</v>
      </c>
      <c r="C266" s="81" t="inlineStr">
        <is>
          <t>Cinder Trail: each small meteor leaves a burning strip this long for 3 s</t>
        </is>
      </c>
    </row>
    <row r="268">
      <c r="A268" s="81" t="inlineStr">
        <is>
          <t>VOLCANO VENT</t>
        </is>
      </c>
    </row>
    <row r="269">
      <c r="A269" s="81" t="inlineStr">
        <is>
          <t>Flow length (studs)</t>
        </is>
      </c>
      <c r="B269" s="81" t="n">
        <v>24</v>
      </c>
      <c r="C269" s="81" t="inlineStr">
        <is>
          <t>studs of track a Volcano Vent's lava covers, centred on the track point nearest it (x Flow length x; Shared/Vent)</t>
        </is>
      </c>
    </row>
    <row r="270">
      <c r="A270" s="81" t="inlineStr">
        <is>
          <t>Flow (s)</t>
        </is>
      </c>
      <c r="B270" s="81" t="n">
        <v>6</v>
      </c>
      <c r="C270" s="81" t="inlineStr">
        <is>
          <t>s the lava stays down when the build sets no Flow (s)</t>
        </is>
      </c>
    </row>
    <row r="271">
      <c r="A271" s="81" t="inlineStr">
        <is>
          <t>Flow burn DPS</t>
        </is>
      </c>
      <c r="B271" s="81" t="n">
        <v>8</v>
      </c>
      <c r="C271" s="81" t="inlineStr">
        <is>
          <t>lava burn a second on each dino in it (x Damage x x the team's level)</t>
        </is>
      </c>
    </row>
    <row r="272">
      <c r="A272" s="81" t="inlineStr">
        <is>
          <t>Flow shove (studs/s)</t>
        </is>
      </c>
      <c r="B272" s="81" t="n">
        <v>3</v>
      </c>
      <c r="C272" s="81" t="inlineStr">
        <is>
          <t>studs a second the lava shoves a dino off its path (not a slow; bosses aren't shoved)</t>
        </is>
      </c>
    </row>
    <row r="273">
      <c r="A273" s="81" t="inlineStr">
        <is>
          <t>Shove max (studs)</t>
        </is>
      </c>
      <c r="B273" s="81" t="n">
        <v>4</v>
      </c>
      <c r="C273" s="81" t="inlineStr">
        <is>
          <t>the furthest the lava shoves a dino off its path (it walks back after the flow)</t>
        </is>
      </c>
    </row>
    <row r="274">
      <c r="A274" s="81" t="inlineStr">
        <is>
          <t>Geyser x</t>
        </is>
      </c>
      <c r="B274" s="81" t="n">
        <v>0.3</v>
      </c>
      <c r="C274" s="81" t="inlineStr">
        <is>
          <t>x the eruption's damage for a Geyser burst between eruptions</t>
        </is>
      </c>
    </row>
    <row r="275">
      <c r="A275" s="81" t="inlineStr">
        <is>
          <t>Crust (s)</t>
        </is>
      </c>
      <c r="B275" s="81" t="n">
        <v>6</v>
      </c>
      <c r="C275" s="81" t="inlineStr">
        <is>
          <t>s a flow's stretch stays crust after the lava (Obsidian)</t>
        </is>
      </c>
    </row>
    <row r="276">
      <c r="A276" s="81" t="inlineStr">
        <is>
          <t>Crust slow %</t>
        </is>
      </c>
      <c r="B276" s="81" t="n">
        <v>30</v>
      </c>
      <c r="C276" s="81" t="inlineStr">
        <is>
          <t>dinos on the crust are slowed this much</t>
        </is>
      </c>
    </row>
    <row r="277">
      <c r="A277" s="81" t="inlineStr">
        <is>
          <t>Lava bomb x</t>
        </is>
      </c>
      <c r="B277" s="81" t="n">
        <v>0.5</v>
      </c>
      <c r="C277" s="81" t="inlineStr">
        <is>
          <t>x the eruption's damage for each Lava Bombs bomb</t>
        </is>
      </c>
    </row>
    <row r="278">
      <c r="A278" s="81" t="inlineStr">
        <is>
          <t>Lava bombs</t>
        </is>
      </c>
      <c r="B278" s="81" t="n">
        <v>6</v>
      </c>
      <c r="C278" s="81" t="inlineStr">
        <is>
          <t>bombs Lava Bombs throws at the biggest dinos in range each eruption</t>
        </is>
      </c>
    </row>
    <row r="279">
      <c r="A279" s="81" t="inlineStr">
        <is>
          <t>Extra vent x</t>
        </is>
      </c>
      <c r="B279" s="81" t="n">
        <v>0.5</v>
      </c>
      <c r="C279" s="81" t="inlineStr">
        <is>
          <t>Ring of Fire: each small vent's eruption, x the main one's size</t>
        </is>
      </c>
    </row>
    <row r="280">
      <c r="A280" s="81" t="inlineStr">
        <is>
          <t>Supervolcano (s)</t>
        </is>
      </c>
      <c r="B280" s="81" t="n">
        <v>4</v>
      </c>
      <c r="C280" s="81" t="inlineStr">
        <is>
          <t>Supervolcano: once per round played every dino on your side is in lava this long</t>
        </is>
      </c>
    </row>
    <row r="281">
      <c r="A281" s="81" t="inlineStr">
        <is>
          <t>Ash (s)</t>
        </is>
      </c>
      <c r="B281" s="81" t="n">
        <v>5</v>
      </c>
      <c r="C281" s="81" t="inlineStr">
        <is>
          <t>Ash Blanket: s the ash after each eruption makes dinos on your side miss throws</t>
        </is>
      </c>
    </row>
    <row r="283">
      <c r="A283" s="81" t="inlineStr">
        <is>
          <t>RANGER STATION</t>
        </is>
      </c>
    </row>
    <row r="284">
      <c r="A284" s="81" t="inlineStr">
        <is>
          <t>Ranger HP</t>
        </is>
      </c>
      <c r="B284" s="81" t="n">
        <v>100</v>
      </c>
    </row>
    <row r="285">
      <c r="A285" s="81" t="inlineStr">
        <is>
          <t>Ranger speed</t>
        </is>
      </c>
      <c r="B285" s="81" t="n">
        <v>16</v>
      </c>
    </row>
    <row r="286">
      <c r="A286" s="81" t="inlineStr">
        <is>
          <t>Ranger reach</t>
        </is>
      </c>
      <c r="B286" s="81" t="n">
        <v>14</v>
      </c>
    </row>
    <row r="287">
      <c r="A287" s="81" t="inlineStr">
        <is>
          <t>Ranger retreat HP share</t>
        </is>
      </c>
      <c r="B287" s="81" t="n">
        <v>0.3</v>
      </c>
    </row>
    <row r="288">
      <c r="A288" s="81" t="inlineStr">
        <is>
          <t>Ranger respawn (s)</t>
        </is>
      </c>
      <c r="B288" s="81" t="n">
        <v>10</v>
      </c>
    </row>
    <row r="289">
      <c r="A289" s="81" t="inlineStr">
        <is>
          <t>Cabin heal (HP/s)</t>
        </is>
      </c>
      <c r="B289" s="81" t="n">
        <v>20</v>
      </c>
    </row>
    <row r="290">
      <c r="A290" s="81" t="inlineStr">
        <is>
          <t>Ranger leash x</t>
        </is>
      </c>
      <c r="B290" s="81" t="n">
        <v>1</v>
      </c>
    </row>
    <row r="291">
      <c r="A291" s="81" t="inlineStr">
        <is>
          <t>Max posts</t>
        </is>
      </c>
      <c r="B291" s="81" t="n">
        <v>3</v>
      </c>
    </row>
    <row r="292">
      <c r="A292" s="81" t="inlineStr">
        <is>
          <t>Trap every (s)</t>
        </is>
      </c>
      <c r="B292" s="81" t="n">
        <v>8</v>
      </c>
    </row>
    <row r="293">
      <c r="A293" s="81" t="inlineStr">
        <is>
          <t>Trap slow %</t>
        </is>
      </c>
      <c r="B293" s="81" t="n">
        <v>40</v>
      </c>
    </row>
    <row r="294">
      <c r="A294" s="81" t="inlineStr">
        <is>
          <t>Trap slow (s)</t>
        </is>
      </c>
      <c r="B294" s="81" t="n">
        <v>2</v>
      </c>
    </row>
    <row r="295">
      <c r="A295" s="81" t="inlineStr">
        <is>
          <t>Trap reach (studs)</t>
        </is>
      </c>
      <c r="B295" s="81" t="n">
        <v>3</v>
      </c>
    </row>
    <row r="296">
      <c r="A296" s="81" t="inlineStr">
        <is>
          <t>Trap line traps</t>
        </is>
      </c>
      <c r="B296" s="81" t="n">
        <v>6</v>
      </c>
    </row>
    <row r="297">
      <c r="A297" s="81" t="inlineStr">
        <is>
          <t>Heavy x</t>
        </is>
      </c>
      <c r="B297" s="81" t="n">
        <v>3</v>
      </c>
    </row>
    <row r="298">
      <c r="A298" s="81" t="inlineStr">
        <is>
          <t>Legend x</t>
        </is>
      </c>
      <c r="B298" s="81" t="n">
        <v>3</v>
      </c>
    </row>
    <row r="299">
      <c r="A299" s="81" t="inlineStr">
        <is>
          <t>Legend HP x</t>
        </is>
      </c>
      <c r="B299" s="81" t="n">
        <v>3</v>
      </c>
    </row>
    <row r="300">
      <c r="A300" s="81" t="inlineStr">
        <is>
          <t>Legend dart every (s)</t>
        </is>
      </c>
      <c r="B300" s="81" t="n">
        <v>12</v>
      </c>
    </row>
    <row r="301">
      <c r="A301" s="81" t="inlineStr">
        <is>
          <t>Legend dart mark %</t>
        </is>
      </c>
      <c r="B301" s="81" t="n">
        <v>25</v>
      </c>
    </row>
    <row r="302">
      <c r="A302" s="81" t="inlineStr">
        <is>
          <t>Legend dart (s)</t>
        </is>
      </c>
      <c r="B302" s="81" t="n">
        <v>8</v>
      </c>
    </row>
    <row r="303">
      <c r="A303" s="81" t="inlineStr">
        <is>
          <t>Jeep speed</t>
        </is>
      </c>
      <c r="B303" s="81" t="n">
        <v>20</v>
      </c>
    </row>
    <row r="304">
      <c r="A304" s="81" t="inlineStr">
        <is>
          <t>Ranger guard reach (studs)</t>
        </is>
      </c>
      <c r="B304" s="81" t="n">
        <v>10</v>
      </c>
    </row>
    <row r="305">
      <c r="A305" s="81" t="inlineStr">
        <is>
          <t>Walker cap total</t>
        </is>
      </c>
      <c r="B305" s="81" t="n">
        <v>96</v>
      </c>
      <c r="C305" s="81" t="inlineStr">
        <is>
          <t>walkers out on the whole server: a side's cap = min(Walker cap per side, max(8, floor(this / sides))); co-op and 2-3 camps keep 24, a 10-camp Bone Rush 9 each; walkers never count toward the dino cap (Shared/Walker.sideCap, #354)</t>
        </is>
      </c>
    </row>
    <row r="306">
      <c r="A306" s="81" t="inlineStr">
        <is>
          <t>Co-op leak cap share</t>
        </is>
      </c>
      <c r="B306" s="81" t="n">
        <v>0.25</v>
      </c>
      <c r="C306" s="81" t="inlineStr">
        <is>
          <t>co-op only: a non-boss dino's leak costs at most this share of the starting Fence, ⌈⌉, min 1; bosses in full; battles use #267's drain (Shared/Pace.coopLeak, #357)</t>
        </is>
      </c>
    </row>
    <row r="307">
      <c r="A307" s="81" t="inlineStr">
        <is>
          <t>Amber scale</t>
        </is>
      </c>
      <c r="B307" s="81" t="n">
        <v>1000</v>
      </c>
      <c r="C307" s="81" t="inlineStr">
        <is>
          <t>x every Amber value was multiplied by once (PLAN 10a T134, #394; tools/amber_rescale.py); saves older than this are migrated once by Shared/Profile (amberScale)</t>
        </is>
      </c>
    </row>
    <row r="308">
      <c r="A308" s="111" t="inlineStr">
        <is>
          <t>HUNTER BODIES</t>
        </is>
      </c>
    </row>
    <row r="309">
      <c r="A309" s="112" t="inlineStr">
        <is>
          <t>Player walk speed</t>
        </is>
      </c>
      <c r="B309" s="113" t="n">
        <v>16</v>
      </c>
      <c r="C309" s="114" t="inlineStr">
        <is>
          <t>studs/s: a player with no hunter picked (Roblox default), and the body parity reference speed (PLAN 10a T135, #365)</t>
        </is>
      </c>
    </row>
    <row r="310">
      <c r="A310" s="112" t="inlineStr">
        <is>
          <t>Body speed weight</t>
        </is>
      </c>
      <c r="B310" s="113" t="n">
        <v>1.5</v>
      </c>
      <c r="C310" s="114" t="inlineStr">
        <is>
          <t>body score = Max HP / Player max health x (Walk speed / Player walk speed) ^ this (#365)</t>
        </is>
      </c>
    </row>
    <row r="311">
      <c r="A311" s="112" t="inlineStr">
        <is>
          <t>Body parity max</t>
        </is>
      </c>
      <c r="B311" s="113" t="n">
        <v>1.15</v>
      </c>
      <c r="C311" s="114" t="inlineStr">
        <is>
          <t>x the exporter refuses Hunter Stats whose best body score / worst is above this (the #235 bar, #365)</t>
        </is>
      </c>
    </row>
    <row r="312">
      <c r="A312" s="112" t="inlineStr">
        <is>
          <t>Trained health max %</t>
        </is>
      </c>
      <c r="B312" s="113" t="n">
        <v>10</v>
      </c>
      <c r="C312" s="114" t="inlineStr">
        <is>
          <t>% most trained Health adds to a hunter's Max HP (account-wide training, #370; Shared/HunterStats caps it)</t>
        </is>
      </c>
    </row>
    <row r="313">
      <c r="A313" s="112" t="inlineStr">
        <is>
          <t>Trained speed max %</t>
        </is>
      </c>
      <c r="B313" s="113" t="n">
        <v>15</v>
      </c>
      <c r="C313" s="114" t="inlineStr">
        <is>
          <t>% most trained Speed adds to a hunter's Walk speed (#370; Shared/HunterStats caps it)</t>
        </is>
      </c>
    </row>
    <row r="314">
      <c r="A314" s="111" t="inlineStr">
        <is>
          <t>HUNTER KIT</t>
        </is>
      </c>
    </row>
    <row r="315">
      <c r="A315" s="112" t="inlineStr">
        <is>
          <t>Trained reach max %</t>
        </is>
      </c>
      <c r="B315" s="113" t="n">
        <v>20</v>
      </c>
      <c r="C315" s="114" t="inlineStr">
        <is>
          <t>% most trained Reach adds to a hunter's melee reach (account-wide training, #370; +20 % kept, #395; Shared/HunterKit caps it)</t>
        </is>
      </c>
    </row>
    <row r="316">
      <c r="A316" s="112" t="inlineStr">
        <is>
          <t>Kit hunter slow max %</t>
        </is>
      </c>
      <c r="B316" s="113" t="n">
        <v>30</v>
      </c>
      <c r="C316" s="114" t="inlineStr">
        <is>
          <t>% a melee or grenade may slow an enemy hunter at most; the exporter refuses more, and any stun or knockback on hunters (#368; Shared/HunterKit caps it too)</t>
        </is>
      </c>
    </row>
    <row r="317">
      <c r="A317" s="112" t="inlineStr">
        <is>
          <t>Kit hunter slow max (s)</t>
        </is>
      </c>
      <c r="B317" s="113" t="n">
        <v>2</v>
      </c>
      <c r="C317" s="114" t="inlineStr">
        <is>
          <t>s a melee or grenade slow may last on an enemy hunter at most (#368)</t>
        </is>
      </c>
    </row>
    <row r="318">
      <c r="A318" s="112" t="inlineStr">
        <is>
          <t>Trained throw max %</t>
        </is>
      </c>
      <c r="B318" s="113" t="n">
        <v>30</v>
      </c>
      <c r="C318" s="114" t="inlineStr">
        <is>
          <t>% most trained Throw adds to a grenade's Base range (account-wide training, #370; Shared/HunterKit caps it)</t>
        </is>
      </c>
    </row>
    <row r="319">
      <c r="A319" s="112" t="inlineStr">
        <is>
          <t>Grenade throw speed</t>
        </is>
      </c>
      <c r="B319" s="113" t="n">
        <v>60</v>
      </c>
      <c r="C319" s="114" t="inlineStr">
        <is>
          <t>studs/s along the ground: a grenade lands distance / this seconds after the throw (Shared/Grenade)</t>
        </is>
      </c>
    </row>
    <row r="321">
      <c r="A321" s="81" t="inlineStr">
        <is>
          <t>TRAINING</t>
        </is>
      </c>
    </row>
    <row r="322">
      <c r="A322" s="81" t="inlineStr">
        <is>
          <t>Training levels</t>
        </is>
      </c>
      <c r="B322" s="81" t="n">
        <v>10</v>
      </c>
      <c r="C322" s="81" t="inlineStr">
        <is>
          <t>levels per trained stat; each level adds Trained &lt;stat&gt; max / this (#370, #397: +2 % Reach, +1.5 % Speed, +1 % Health, +3 % Throw)</t>
        </is>
      </c>
    </row>
    <row r="323">
      <c r="A323" s="81" t="inlineStr">
        <is>
          <t>Train minutes</t>
        </is>
      </c>
      <c r="B323" s="81" t="n">
        <v>10</v>
      </c>
      <c r="C323" s="81" t="inlineStr">
        <is>
          <t>min x L: level L takes this x L minutes of full-rate training (#371: 550 min a stat)</t>
        </is>
      </c>
    </row>
    <row r="324">
      <c r="A324" s="81" t="inlineStr">
        <is>
          <t>Training elsewhere rate</t>
        </is>
      </c>
      <c r="B324" s="81" t="n">
        <v>0.5</v>
      </c>
      <c r="C324" s="81" t="inlineStr">
        <is>
          <t>x the full rate while online but away from the stat's station (in a match, around camp); nothing offline (#391; Shared/Training)</t>
        </is>
      </c>
    </row>
    <row r="325">
      <c r="A325" s="81" t="inlineStr">
        <is>
          <t>Training slots</t>
        </is>
      </c>
      <c r="B325" s="81" t="n">
        <v>1</v>
      </c>
      <c r="C325" s="81" t="inlineStr">
        <is>
          <t>stats that train at once (#371; the 2nd-slot Game Pass comes with the Store, T143)</t>
        </is>
      </c>
    </row>
    <row r="326">
      <c r="A326" s="81" t="inlineStr">
        <is>
          <t>Training bank (s)</t>
        </is>
      </c>
      <c r="B326" s="81" t="n">
        <v>60</v>
      </c>
      <c r="C326" s="81" t="inlineStr">
        <is>
          <t>s between saves of training progress (also on leave and shutdown; the idle kick loses at most this, #391)</t>
        </is>
      </c>
    </row>
    <row r="327">
      <c r="A327" s="81" t="inlineStr">
        <is>
          <t>Training finish Amber per min</t>
        </is>
      </c>
      <c r="B327" s="81" t="n">
        <v>2000</v>
      </c>
      <c r="C327" s="81" t="inlineStr">
        <is>
          <t>Amber per remaining minute to finish a level, whole minutes rounded up (#373, #403: ~2/3 of a played minute; a whole level 10 = 200K, a stat 1.1M) (Shared/Training)</t>
        </is>
      </c>
    </row>
    <row r="328">
      <c r="A328" s="81" t="inlineStr">
        <is>
          <t>Pet inventory cap</t>
        </is>
      </c>
      <c r="B328" s="81" t="n">
        <v>60</v>
      </c>
      <c r="C328" s="81" t="inlineStr">
        <is>
          <t>pets a player can keep (#377; Shared/Pets); hatching is refused when full, fusing makes room</t>
        </is>
      </c>
    </row>
    <row r="329">
      <c r="A329" s="81" t="inlineStr">
        <is>
          <t>Incubators</t>
        </is>
      </c>
      <c r="B329" s="81" t="n">
        <v>1</v>
      </c>
      <c r="C329" s="81" t="inlineStr">
        <is>
          <t>eggs warming at once (#377; the 2nd-incubator Game Pass comes with the Store, T143)</t>
        </is>
      </c>
    </row>
    <row r="330">
      <c r="A330" s="81" t="inlineStr">
        <is>
          <t>Hatchling Pen pets</t>
        </is>
      </c>
      <c r="B330" s="81" t="n">
        <v>3</v>
      </c>
      <c r="C330" s="81" t="inlineStr">
        <is>
          <t>pets shown in your Campsite's Hatchling Pen (#384; Shared/Pets)</t>
        </is>
      </c>
    </row>
    <row r="331">
      <c r="A331" s="81" t="inlineStr">
        <is>
          <t>Pet fuse count</t>
        </is>
      </c>
      <c r="B331" s="81" t="n">
        <v>3</v>
      </c>
      <c r="C331" s="81" t="inlineStr">
        <is>
          <t>identical pets (species + rarity) fused into one of the next rarity (#377/#393; Mythic does not fuse)</t>
        </is>
      </c>
    </row>
    <row r="332">
      <c r="A332" s="81" t="inlineStr">
        <is>
          <t>Pet Mythic odds max %</t>
        </is>
      </c>
      <c r="B332" s="81" t="n">
        <v>2</v>
      </c>
      <c r="C332" s="81" t="inlineStr">
        <is>
          <t>the most any egg may give Mythic (#392; the exporter refuses more)</t>
        </is>
      </c>
    </row>
    <row r="333">
      <c r="A333" s="81" t="inlineStr">
        <is>
          <t>Egg warm Amber per min</t>
        </is>
      </c>
      <c r="B333" s="81" t="n">
        <v>2000</v>
      </c>
      <c r="C333" s="81" t="inlineStr">
        <is>
          <t>Amber per remaining minute to finish a hatch now, whole minutes rounded up ("Warm it up", #375); BLANK = not for sale until the Director sets it (Shared/Pets)</t>
        </is>
      </c>
    </row>
    <row r="334">
      <c r="A334" s="81" t="inlineStr">
        <is>
          <t>Honk every (s)</t>
        </is>
      </c>
      <c r="B334" s="81" t="n">
        <v>10</v>
      </c>
      <c r="C334" s="81" t="inlineStr">
        <is>
          <t>s between a Honker's honks (#407; Shared/Pets)</t>
        </is>
      </c>
    </row>
    <row r="335">
      <c r="A335" s="81" t="inlineStr">
        <is>
          <t>Honk mark (s)</t>
        </is>
      </c>
      <c r="B335" s="81" t="n">
        <v>3</v>
      </c>
      <c r="C335" s="81" t="inlineStr">
        <is>
          <t>s a honked dino takes the Honker's bonus from its hunter's gun, melee and grenade (#407)</t>
        </is>
      </c>
    </row>
    <row r="336">
      <c r="A336" s="81" t="inlineStr">
        <is>
          <t>Honk reach (studs)</t>
        </is>
      </c>
      <c r="B336" s="81" t="n">
        <v>40</v>
      </c>
      <c r="C336" s="81" t="inlineStr">
        <is>
          <t>studs from its hunter: the nearest boss in reach, else the dino there with the most HP left (#407)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2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  <c r="Y4" s="81" t="inlineStr">
        <is>
          <t>Resin</t>
        </is>
      </c>
      <c r="Z4" s="81" t="inlineStr">
        <is>
          <t>Walkers</t>
        </is>
      </c>
      <c r="AA4" s="81" t="inlineStr">
        <is>
          <t>Near track (studs)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100000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150000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100000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150000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300000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200000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250000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300000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  <row r="19">
      <c r="A19" s="81" t="inlineStr">
        <is>
          <t>Amber Resin Cannon</t>
        </is>
      </c>
      <c r="B19" s="81" t="inlineStr">
        <is>
          <t>Control: resin slows, entombs and fossilizes</t>
        </is>
      </c>
      <c r="C19" s="81" t="n">
        <v>800</v>
      </c>
      <c r="D19" s="81" t="n">
        <v>2</v>
      </c>
      <c r="E19" s="81" t="n">
        <v>1</v>
      </c>
      <c r="F19" s="81" t="n">
        <v>1</v>
      </c>
      <c r="G19" s="81">
        <f>D19*E19*F19</f>
        <v/>
      </c>
      <c r="H19" s="81" t="n">
        <v>18</v>
      </c>
      <c r="I19" s="81" t="inlineStr">
        <is>
          <t>No</t>
        </is>
      </c>
      <c r="J19" s="81" t="n">
        <v>0</v>
      </c>
      <c r="K19" s="81" t="inlineStr">
        <is>
          <t>Resin globs: slows, entombs (hard stop), fossils. TOWERS_LATER.md.</t>
        </is>
      </c>
      <c r="L19" s="81" t="n">
        <v>0</v>
      </c>
      <c r="M19" s="81" t="n">
        <v>0</v>
      </c>
      <c r="N19" s="81" t="n">
        <v>500000</v>
      </c>
      <c r="O19" s="81" t="inlineStr">
        <is>
          <t>RESIN</t>
        </is>
      </c>
      <c r="P19" s="81" t="n">
        <v>150</v>
      </c>
      <c r="Q19" s="81" t="n">
        <v>0</v>
      </c>
      <c r="R19" s="81" t="n">
        <v>0</v>
      </c>
      <c r="Y19" s="81" t="inlineStr">
        <is>
          <t>Yes</t>
        </is>
      </c>
    </row>
    <row r="20">
      <c r="A20" s="81" t="inlineStr">
        <is>
          <t>Raptor Pen</t>
        </is>
      </c>
      <c r="B20" s="81" t="inlineStr">
        <is>
          <t>Tamed raptors: they run out, bite and come back</t>
        </is>
      </c>
      <c r="C20" s="81" t="n">
        <v>600</v>
      </c>
      <c r="D20" s="81" t="n">
        <v>10</v>
      </c>
      <c r="E20" s="81" t="n">
        <v>2.3</v>
      </c>
      <c r="F20" s="81" t="n">
        <v>1</v>
      </c>
      <c r="G20" s="81">
        <f>D20*E20*F20</f>
        <v/>
      </c>
      <c r="H20" s="81" t="n">
        <v>22</v>
      </c>
      <c r="I20" s="81" t="inlineStr">
        <is>
          <t>No</t>
        </is>
      </c>
      <c r="J20" s="81" t="n">
        <v>0</v>
      </c>
      <c r="K20" s="81" t="inlineStr">
        <is>
          <t>Tamed raptors sprint out, pounce, bite and come back; they can be bitten. TOWERS_LATER.md.</t>
        </is>
      </c>
      <c r="L20" s="81" t="n">
        <v>0</v>
      </c>
      <c r="M20" s="81" t="n">
        <v>0</v>
      </c>
      <c r="N20" s="81" t="n">
        <v>500000</v>
      </c>
      <c r="O20" s="81" t="inlineStr">
        <is>
          <t>RAPTOR</t>
        </is>
      </c>
      <c r="P20" s="81" t="n">
        <v>150</v>
      </c>
      <c r="Q20" s="81" t="n">
        <v>0</v>
      </c>
      <c r="R20" s="81" t="n">
        <v>0</v>
      </c>
      <c r="Z20" s="81" t="n">
        <v>1</v>
      </c>
    </row>
    <row r="21">
      <c r="A21" s="81" t="inlineStr">
        <is>
          <t>Bone Totem</t>
        </is>
      </c>
      <c r="B21" s="81" t="inlineStr">
        <is>
          <t>Bones charge it: a roar, buffs or cash</t>
        </is>
      </c>
      <c r="C21" s="81" t="n">
        <v>600</v>
      </c>
      <c r="D21" s="81" t="n">
        <v>60</v>
      </c>
      <c r="E21" s="81" t="n">
        <v>0</v>
      </c>
      <c r="F21" s="81" t="n">
        <v>1</v>
      </c>
      <c r="G21" s="81">
        <f>D21*E21*F21</f>
        <v/>
      </c>
      <c r="H21" s="81" t="n">
        <v>24</v>
      </c>
      <c r="I21" s="81" t="inlineStr">
        <is>
          <t>Yes</t>
        </is>
      </c>
      <c r="J21" s="81" t="n">
        <v>0</v>
      </c>
      <c r="K21" s="81" t="inlineStr">
        <is>
          <t>Bones taken near it charge it; full = Spirit Roar (area, breaks 2). Never adds Bones to any score. TOWERS_LATER.md.</t>
        </is>
      </c>
      <c r="L21" s="81" t="n">
        <v>0</v>
      </c>
      <c r="M21" s="81" t="n">
        <v>0</v>
      </c>
      <c r="N21" s="81" t="n">
        <v>450000</v>
      </c>
      <c r="O21" s="81" t="inlineStr">
        <is>
          <t>TOTEM</t>
        </is>
      </c>
      <c r="P21" s="81" t="n">
        <v>200</v>
      </c>
      <c r="Q21" s="81" t="n">
        <v>0</v>
      </c>
      <c r="R21" s="81" t="n">
        <v>0</v>
      </c>
      <c r="Z21" s="81" t="n"/>
    </row>
    <row r="22">
      <c r="A22" s="81" t="inlineStr">
        <is>
          <t>Spotter Blimp</t>
        </is>
      </c>
      <c r="B22" s="81" t="inlineStr">
        <is>
          <t>Flies your track: a door gun, a searchlight or cargo</t>
        </is>
      </c>
      <c r="C22" s="81" t="n">
        <v>600</v>
      </c>
      <c r="D22" s="81" t="n">
        <v>5</v>
      </c>
      <c r="E22" s="81" t="n">
        <v>2</v>
      </c>
      <c r="F22" s="81" t="n">
        <v>1</v>
      </c>
      <c r="G22" s="81">
        <f>D22*E22*F22</f>
        <v/>
      </c>
      <c r="H22" s="81" t="n">
        <v>14</v>
      </c>
      <c r="I22" s="81" t="inlineStr">
        <is>
          <t>Yes</t>
        </is>
      </c>
      <c r="J22" s="81" t="n">
        <v>0</v>
      </c>
      <c r="K22" s="81" t="inlineStr">
        <is>
          <t>Its mooring mast is placed like any tower; the blimp flies your track there and back. Can't be damaged (#148).</t>
        </is>
      </c>
      <c r="L22" s="81" t="n">
        <v>0</v>
      </c>
      <c r="M22" s="81" t="n">
        <v>0</v>
      </c>
      <c r="N22" s="81" t="n">
        <v>400000</v>
      </c>
      <c r="O22" s="81" t="inlineStr">
        <is>
          <t>BLIMP</t>
        </is>
      </c>
      <c r="P22" s="81" t="n">
        <v>0</v>
      </c>
      <c r="Q22" s="81" t="n">
        <v>0</v>
      </c>
      <c r="R22" s="81" t="n">
        <v>0</v>
      </c>
      <c r="T22" s="81" t="inlineStr">
        <is>
          <t>Yes</t>
        </is>
      </c>
    </row>
    <row r="23">
      <c r="A23" s="81" t="inlineStr">
        <is>
          <t>Meteor Beacon</t>
        </is>
      </c>
      <c r="B23" s="81" t="inlineStr">
        <is>
          <t>Meteors on the biggest bunch: area hits and burning craters</t>
        </is>
      </c>
      <c r="C23" s="81" t="n">
        <v>600</v>
      </c>
      <c r="D23" s="81" t="n">
        <v>40</v>
      </c>
      <c r="E23" s="81" t="n">
        <v>0.125</v>
      </c>
      <c r="F23" s="81" t="n">
        <v>6</v>
      </c>
      <c r="G23" s="81">
        <f>D23*E23*F23</f>
        <v/>
      </c>
      <c r="H23" s="81" t="n">
        <v>999</v>
      </c>
      <c r="I23" s="81" t="inlineStr">
        <is>
          <t>No</t>
        </is>
      </c>
      <c r="J23" s="81" t="n">
        <v>0</v>
      </c>
      <c r="K23" s="81" t="inlineStr">
        <is>
          <t>Every 8 s calls a meteor on the biggest bunch of dinos on your side: area hit + burning crater. Ground only.</t>
        </is>
      </c>
      <c r="L23" s="81" t="n">
        <v>8</v>
      </c>
      <c r="M23" s="81" t="n">
        <v>0</v>
      </c>
      <c r="N23" s="81" t="n">
        <v>600000</v>
      </c>
      <c r="O23" s="81" t="inlineStr">
        <is>
          <t>METEOR</t>
        </is>
      </c>
      <c r="P23" s="81" t="n">
        <v>150</v>
      </c>
      <c r="Q23" s="81" t="n">
        <v>0</v>
      </c>
      <c r="R23" s="81" t="n">
        <v>0</v>
      </c>
    </row>
    <row r="24">
      <c r="A24" s="81" t="inlineStr">
        <is>
          <t>Volcano Vent</t>
        </is>
      </c>
      <c r="B24" s="81" t="inlineStr">
        <is>
          <t>Lava on one stretch of track: burns, shoves, crust</t>
        </is>
      </c>
      <c r="C24" s="81" t="n">
        <v>600</v>
      </c>
      <c r="D24" s="81" t="n">
        <v>30</v>
      </c>
      <c r="E24" s="81" t="n">
        <v>0.0833</v>
      </c>
      <c r="F24" s="81" t="n">
        <v>4</v>
      </c>
      <c r="G24" s="81">
        <f>D24*E24*F24</f>
        <v/>
      </c>
      <c r="H24" s="81" t="n">
        <v>20</v>
      </c>
      <c r="I24" s="81" t="inlineStr">
        <is>
          <t>No</t>
        </is>
      </c>
      <c r="J24" s="81" t="n">
        <v>0</v>
      </c>
      <c r="K24" s="81" t="inlineStr">
        <is>
          <t>Erupts every 12 s: lava floods its stretch of track for 6 s; dinos burn and are shoved aside.</t>
        </is>
      </c>
      <c r="L24" s="81" t="n">
        <v>0</v>
      </c>
      <c r="M24" s="81" t="n">
        <v>0</v>
      </c>
      <c r="N24" s="81" t="n">
        <v>600000</v>
      </c>
      <c r="O24" s="81" t="inlineStr">
        <is>
          <t>VENT</t>
        </is>
      </c>
      <c r="P24" s="81" t="n">
        <v>200</v>
      </c>
      <c r="Q24" s="81" t="n">
        <v>0</v>
      </c>
      <c r="R24" s="81" t="n">
        <v>0</v>
      </c>
      <c r="AA24" s="81" t="n">
        <v>8</v>
      </c>
    </row>
    <row r="25">
      <c r="A25" s="81" t="inlineStr">
        <is>
          <t>Ranger Station</t>
        </is>
      </c>
      <c r="B25" s="81" t="inlineStr">
        <is>
          <t>Rangers at posts on the track: shoot, trap, guard</t>
        </is>
      </c>
      <c r="C25" s="81" t="n">
        <v>600</v>
      </c>
      <c r="D25" s="81" t="n">
        <v>10</v>
      </c>
      <c r="E25" s="81" t="n">
        <v>2.3</v>
      </c>
      <c r="F25" s="81" t="n">
        <v>1</v>
      </c>
      <c r="G25" s="81">
        <f>D25*E25*F25</f>
        <v/>
      </c>
      <c r="H25" s="81" t="n">
        <v>30</v>
      </c>
      <c r="I25" s="81" t="inlineStr">
        <is>
          <t>No</t>
        </is>
      </c>
      <c r="J25" s="81" t="n">
        <v>0</v>
      </c>
      <c r="K25" s="81" t="inlineStr">
        <is>
          <t>Trains rangers who stand at posts on the track and shoot; bitten too much, they go back to the cabin to patch up.</t>
        </is>
      </c>
      <c r="L25" s="81" t="n">
        <v>0</v>
      </c>
      <c r="M25" s="81" t="n">
        <v>0</v>
      </c>
      <c r="N25" s="81" t="n">
        <v>500000</v>
      </c>
      <c r="O25" s="81" t="inlineStr">
        <is>
          <t>RANGER</t>
        </is>
      </c>
      <c r="P25" s="81" t="n">
        <v>200</v>
      </c>
      <c r="Q25" s="81" t="n">
        <v>0</v>
      </c>
      <c r="R25" s="81" t="n">
        <v>0</v>
      </c>
      <c r="Z25" s="81" t="n">
        <v>1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Y490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 A/B/C (PLAN Phase 9, DECISIONS #275): tiers 1-3 rows are cumulative; a tier-4 or tier-5 row is one option (Option A/B/C, Blurb = its card line, max 60 chars) and holds ONLY ITS OWN STEP over the tier below (x columns multiply, amounts take the higher, flags add, overrides replace; blank = no change). The exporter composes every build. New options are appended at the bottom.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  <c r="CI4" s="81" t="inlineStr">
        <is>
          <t>Option</t>
        </is>
      </c>
      <c r="CJ4" s="81" t="inlineStr">
        <is>
          <t>Blurb</t>
        </is>
      </c>
      <c r="CK4" s="109" t="inlineStr">
        <is>
          <t>PvP effect</t>
        </is>
      </c>
      <c r="CL4" s="81" t="inlineStr">
        <is>
          <t>Raider slow %</t>
        </is>
      </c>
      <c r="CM4" s="81" t="inlineStr">
        <is>
          <t>Raider slow (s)</t>
        </is>
      </c>
      <c r="CN4" s="81" t="inlineStr">
        <is>
          <t>Raider damage</t>
        </is>
      </c>
      <c r="CO4" s="81" t="inlineStr">
        <is>
          <t>Bounty cash</t>
        </is>
      </c>
      <c r="CP4" s="81" t="inlineStr">
        <is>
          <t>Biter slow %</t>
        </is>
      </c>
      <c r="CQ4" s="81" t="inlineStr">
        <is>
          <t>Biter slow (s)</t>
        </is>
      </c>
      <c r="CR4" s="81" t="inlineStr">
        <is>
          <t>Field strike every (s)</t>
        </is>
      </c>
      <c r="CS4" s="81" t="inlineStr">
        <is>
          <t>Field strike x</t>
        </is>
      </c>
      <c r="CT4" s="81" t="inlineStr">
        <is>
          <t>Chain effects</t>
        </is>
      </c>
      <c r="CU4" s="81" t="inlineStr">
        <is>
          <t>Targets biggest</t>
        </is>
      </c>
      <c r="CV4" s="81" t="inlineStr">
        <is>
          <t>Entomb (s)</t>
        </is>
      </c>
      <c r="CW4" s="81" t="inlineStr">
        <is>
          <t>Entomb hits x</t>
        </is>
      </c>
      <c r="CX4" s="81" t="inlineStr">
        <is>
          <t>Entomb amp %</t>
        </is>
      </c>
      <c r="CY4" s="81" t="inlineStr">
        <is>
          <t>Entomb spread</t>
        </is>
      </c>
      <c r="CZ4" s="81" t="inlineStr">
        <is>
          <t>Entomb slow %</t>
        </is>
      </c>
      <c r="DA4" s="81" t="inlineStr">
        <is>
          <t>Entomb all every (s)</t>
        </is>
      </c>
      <c r="DB4" s="81" t="inlineStr">
        <is>
          <t>Boss entomb (s)</t>
        </is>
      </c>
      <c r="DC4" s="81" t="inlineStr">
        <is>
          <t>Send back (studs)</t>
        </is>
      </c>
      <c r="DD4" s="81" t="inlineStr">
        <is>
          <t>Fossil below %</t>
        </is>
      </c>
      <c r="DE4" s="81" t="inlineStr">
        <is>
          <t>Fossil rate %</t>
        </is>
      </c>
      <c r="DF4" s="81" t="inlineStr">
        <is>
          <t>Bounty fossils x</t>
        </is>
      </c>
      <c r="DG4" s="81" t="inlineStr">
        <is>
          <t>Heart every (fossils)</t>
        </is>
      </c>
      <c r="DH4" s="81" t="inlineStr">
        <is>
          <t>Seal (s)</t>
        </is>
      </c>
      <c r="DI4" s="81" t="inlineStr">
        <is>
          <t>Seal every (s)</t>
        </is>
      </c>
      <c r="DJ4" s="81" t="inlineStr">
        <is>
          <t>Seal heal %</t>
        </is>
      </c>
      <c r="DK4" s="81" t="inlineStr">
        <is>
          <t>Reflect damage</t>
        </is>
      </c>
      <c r="DL4" s="81" t="inlineStr">
        <is>
          <t>Wall (s)</t>
        </is>
      </c>
      <c r="DM4" s="81" t="inlineStr">
        <is>
          <t>Take-down mark %</t>
        </is>
      </c>
      <c r="DN4" s="81" t="inlineStr">
        <is>
          <t>Walkers</t>
        </is>
      </c>
      <c r="DO4" s="81" t="inlineStr">
        <is>
          <t>Walker HP x</t>
        </is>
      </c>
      <c r="DP4" s="81" t="inlineStr">
        <is>
          <t>Walker speed x</t>
        </is>
      </c>
      <c r="DQ4" s="81" t="inlineStr">
        <is>
          <t>Walker resist %</t>
        </is>
      </c>
      <c r="DR4" s="81" t="inlineStr">
        <is>
          <t>Walker respawn x</t>
        </is>
      </c>
      <c r="DS4" s="81" t="inlineStr">
        <is>
          <t>Hold (s)</t>
        </is>
      </c>
      <c r="DT4" s="81" t="inlineStr">
        <is>
          <t>Boss hold (s)</t>
        </is>
      </c>
      <c r="DU4" s="81" t="inlineStr">
        <is>
          <t>Flanking</t>
        </is>
      </c>
      <c r="DV4" s="81" t="inlineStr">
        <is>
          <t>Targets first</t>
        </is>
      </c>
      <c r="DW4" s="81" t="inlineStr">
        <is>
          <t>Hits air</t>
        </is>
      </c>
      <c r="DX4" s="81" t="inlineStr">
        <is>
          <t>Heals between rounds</t>
        </is>
      </c>
      <c r="DY4" s="81" t="inlineStr">
        <is>
          <t>Dodge</t>
        </is>
      </c>
      <c r="DZ4" s="81" t="inlineStr">
        <is>
          <t>Alpha</t>
        </is>
      </c>
      <c r="EA4" s="81" t="inlineStr">
        <is>
          <t>Swarm</t>
        </is>
      </c>
      <c r="EB4" s="81" t="inlineStr">
        <is>
          <t>Charge</t>
        </is>
      </c>
      <c r="EC4" s="81" t="inlineStr">
        <is>
          <t>Guard</t>
        </is>
      </c>
      <c r="ED4" s="81" t="inlineStr">
        <is>
          <t>Stun roar every (s)</t>
        </is>
      </c>
      <c r="EE4" s="81" t="inlineStr">
        <is>
          <t>Take-down stack %</t>
        </is>
      </c>
      <c r="EF4" s="81" t="inlineStr">
        <is>
          <t>Avenger x</t>
        </is>
      </c>
      <c r="EG4" s="81" t="inlineStr">
        <is>
          <t>Hunter damage %</t>
        </is>
      </c>
      <c r="EH4" s="81" t="inlineStr">
        <is>
          <t>Charge x</t>
        </is>
      </c>
      <c r="EI4" s="81" t="inlineStr">
        <is>
          <t>Hunter charge x</t>
        </is>
      </c>
      <c r="EJ4" s="81" t="inlineStr">
        <is>
          <t>Boss charge %</t>
        </is>
      </c>
      <c r="EK4" s="81" t="inlineStr">
        <is>
          <t>Bounty charge x</t>
        </is>
      </c>
      <c r="EL4" s="81" t="inlineStr">
        <is>
          <t>Charge needed x</t>
        </is>
      </c>
      <c r="EM4" s="81" t="inlineStr">
        <is>
          <t>Roar echoes</t>
        </is>
      </c>
      <c r="EN4" s="81" t="inlineStr">
        <is>
          <t>Roar whole track</t>
        </is>
      </c>
      <c r="EO4" s="81" t="inlineStr">
        <is>
          <t>Skulls</t>
        </is>
      </c>
      <c r="EP4" s="81" t="inlineStr">
        <is>
          <t>Full guard (s)</t>
        </is>
      </c>
      <c r="EQ4" s="81" t="inlineStr">
        <is>
          <t>Spirit hunters</t>
        </is>
      </c>
      <c r="ER4" s="81" t="inlineStr">
        <is>
          <t>Full cash</t>
        </is>
      </c>
      <c r="ES4" s="81" t="inlineStr">
        <is>
          <t>Payday cash</t>
        </is>
      </c>
      <c r="ET4" s="81" t="inlineStr">
        <is>
          <t>Treasure</t>
        </is>
      </c>
      <c r="EU4" s="81" t="inlineStr">
        <is>
          <t>Charge aura damage %</t>
        </is>
      </c>
      <c r="EV4" s="81" t="inlineStr">
        <is>
          <t>Hunter ability cooldown x</t>
        </is>
      </c>
      <c r="EW4" s="81" t="inlineStr">
        <is>
          <t>Side aura half</t>
        </is>
      </c>
      <c r="EX4" s="81" t="inlineStr">
        <is>
          <t>Bone cash</t>
        </is>
      </c>
      <c r="EY4" s="81" t="inlineStr">
        <is>
          <t>Bank cash per charge</t>
        </is>
      </c>
      <c r="EZ4" s="81" t="inlineStr">
        <is>
          <t>Finishing roar</t>
        </is>
      </c>
      <c r="FA4" s="81" t="inlineStr">
        <is>
          <t>Aura range %</t>
        </is>
      </c>
      <c r="FB4" s="81" t="inlineStr">
        <is>
          <t>Blimp speed x</t>
        </is>
      </c>
      <c r="FC4" s="81" t="inlineStr">
        <is>
          <t>Lap chests</t>
        </is>
      </c>
      <c r="FD4" s="81" t="inlineStr">
        <is>
          <t>Lap repairs</t>
        </is>
      </c>
      <c r="FE4" s="81" t="inlineStr">
        <is>
          <t>Crate heal %</t>
        </is>
      </c>
      <c r="FF4" s="81" t="inlineStr">
        <is>
          <t>Paratroopers</t>
        </is>
      </c>
      <c r="FG4" s="81" t="inlineStr">
        <is>
          <t>Airlift</t>
        </is>
      </c>
      <c r="FH4" s="81" t="inlineStr">
        <is>
          <t>Throw miss %</t>
        </is>
      </c>
      <c r="FI4" s="81" t="inlineStr">
        <is>
          <t>Aura reach x</t>
        </is>
      </c>
      <c r="FJ4" s="81" t="inlineStr">
        <is>
          <t>Dino outlines</t>
        </is>
      </c>
      <c r="FK4" s="81" t="inlineStr">
        <is>
          <t>Bombing run</t>
        </is>
      </c>
      <c r="FL4" s="81" t="inlineStr">
        <is>
          <t>Hook every (s)</t>
        </is>
      </c>
      <c r="FM4" s="81" t="inlineStr">
        <is>
          <t>Meteors</t>
        </is>
      </c>
      <c r="FN4" s="81" t="inlineStr">
        <is>
          <t>Scatter</t>
        </is>
      </c>
      <c r="FO4" s="81" t="inlineStr">
        <is>
          <t>Meteor every (s)</t>
        </is>
      </c>
      <c r="FP4" s="81" t="inlineStr">
        <is>
          <t>Starfall every (s)</t>
        </is>
      </c>
      <c r="FQ4" s="81" t="inlineStr">
        <is>
          <t>Crater (s)</t>
        </is>
      </c>
      <c r="FR4" s="81" t="inlineStr">
        <is>
          <t>Crater amp %</t>
        </is>
      </c>
      <c r="FS4" s="81" t="inlineStr">
        <is>
          <t>Bite miss %</t>
        </is>
      </c>
      <c r="FT4" s="81" t="inlineStr">
        <is>
          <t>Crater freeze (s)</t>
        </is>
      </c>
      <c r="FU4" s="81" t="inlineStr">
        <is>
          <t>Fire line</t>
        </is>
      </c>
      <c r="FV4" s="81" t="inlineStr">
        <is>
          <t>Burn streak</t>
        </is>
      </c>
      <c r="FW4" s="81" t="inlineStr">
        <is>
          <t>Extinction</t>
        </is>
      </c>
      <c r="FX4" s="81" t="inlineStr">
        <is>
          <t>Side slow %</t>
        </is>
      </c>
      <c r="FY4" s="81" t="inlineStr">
        <is>
          <t>Side slow (s)</t>
        </is>
      </c>
      <c r="FZ4" s="81" t="inlineStr">
        <is>
          <t>Biggest breaks +</t>
        </is>
      </c>
      <c r="GA4" s="81" t="inlineStr">
        <is>
          <t>Flow (s)</t>
        </is>
      </c>
      <c r="GB4" s="81" t="inlineStr">
        <is>
          <t>Flow length x</t>
        </is>
      </c>
      <c r="GC4" s="81" t="inlineStr">
        <is>
          <t>Burn breaks</t>
        </is>
      </c>
      <c r="GD4" s="81" t="inlineStr">
        <is>
          <t>Geyser every (s)</t>
        </is>
      </c>
      <c r="GE4" s="81" t="inlineStr">
        <is>
          <t>Extra vents</t>
        </is>
      </c>
      <c r="GF4" s="81" t="inlineStr">
        <is>
          <t>Lava bombs</t>
        </is>
      </c>
      <c r="GG4" s="81" t="inlineStr">
        <is>
          <t>Boss erupt</t>
        </is>
      </c>
      <c r="GH4" s="81" t="inlineStr">
        <is>
          <t>Side throw miss %</t>
        </is>
      </c>
      <c r="GI4" s="81" t="inlineStr">
        <is>
          <t>Supervolcano</t>
        </is>
      </c>
      <c r="GJ4" s="81" t="inlineStr">
        <is>
          <t>Crust</t>
        </is>
      </c>
      <c r="GK4" s="81" t="inlineStr">
        <is>
          <t>Crust DPS</t>
        </is>
      </c>
      <c r="GL4" s="81" t="inlineStr">
        <is>
          <t>Maze (studs)</t>
        </is>
      </c>
      <c r="GM4" s="81" t="inlineStr">
        <is>
          <t>Freeze flow (s)</t>
        </is>
      </c>
      <c r="GN4" s="81" t="inlineStr">
        <is>
          <t>Throw resist %</t>
        </is>
      </c>
      <c r="GO4" s="81" t="inlineStr">
        <is>
          <t>Walker regen</t>
        </is>
      </c>
      <c r="GP4" s="81" t="inlineStr">
        <is>
          <t>Heavy ranger</t>
        </is>
      </c>
      <c r="GQ4" s="81" t="inlineStr">
        <is>
          <t>Legend</t>
        </is>
      </c>
      <c r="GR4" s="81" t="inlineStr">
        <is>
          <t>Jeep</t>
        </is>
      </c>
      <c r="GS4" s="81" t="inlineStr">
        <is>
          <t>Trap</t>
        </is>
      </c>
      <c r="GT4" s="81" t="inlineStr">
        <is>
          <t>Trap every (s)</t>
        </is>
      </c>
      <c r="GU4" s="81" t="inlineStr">
        <is>
          <t>Trap stun (s)</t>
        </is>
      </c>
      <c r="GV4" s="81" t="inlineStr">
        <is>
          <t>Trap line</t>
        </is>
      </c>
      <c r="GW4" s="81" t="inlineStr">
        <is>
          <t>Decoy (s)</t>
        </is>
      </c>
      <c r="GX4" s="81" t="inlineStr">
        <is>
          <t>Post aura</t>
        </is>
      </c>
      <c r="GY4" s="81" t="inlineStr">
        <is>
          <t>Boss round guard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Spyglass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1.3</v>
      </c>
      <c r="H8" s="57" t="n">
        <v>1.151315789474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1.166666666667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  <c r="CI8" s="81" t="inlineStr">
        <is>
          <t>A</t>
        </is>
      </c>
      <c r="CJ8" s="81" t="inlineStr">
        <is>
          <t>Sees further, and shoots faster and harder</t>
        </is>
      </c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1.297202797203</v>
      </c>
      <c r="H9" s="57" t="n">
        <v>1.148571428571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1.142857142857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CI9" s="81" t="inlineStr">
        <is>
          <t>A</t>
        </is>
      </c>
      <c r="CJ9" s="81" t="inlineStr">
        <is>
          <t>Towers in range hit harder and can hurt armour</t>
        </is>
      </c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1.349593495935</v>
      </c>
      <c r="H13" s="57" t="n">
        <v>1.423076923077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CI13" s="81" t="inlineStr">
        <is>
          <t>A</t>
        </is>
      </c>
      <c r="CJ13" s="81" t="inlineStr">
        <is>
          <t>Fires much faster and hits harder</t>
        </is>
      </c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1.349397590361</v>
      </c>
      <c r="H14" s="57" t="n">
        <v>1.41769041769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  <c r="CI14" s="81" t="inlineStr">
        <is>
          <t>A</t>
        </is>
      </c>
      <c r="CJ14" s="81" t="inlineStr">
        <is>
          <t>The fastest fire in the game</t>
        </is>
      </c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1.899416909621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n"/>
      <c r="O18" s="57" t="n">
        <v>1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  <c r="CI18" s="81" t="inlineStr">
        <is>
          <t>A</t>
        </is>
      </c>
      <c r="CJ18" s="81" t="inlineStr">
        <is>
          <t>Each bullet goes through 3 dinos</t>
        </is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1.900230237913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n"/>
      <c r="O19" s="57" t="n">
        <v>2</v>
      </c>
      <c r="P19" s="57" t="n">
        <v>4</v>
      </c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/>
      <c r="CI19" s="81" t="inlineStr">
        <is>
          <t>A</t>
        </is>
      </c>
      <c r="CJ19" s="81" t="inlineStr">
        <is>
          <t>Hits armoured dinos and bosses 4 times as hard</t>
        </is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1.449180327869</v>
      </c>
      <c r="H23" s="57" t="n">
        <v>1</v>
      </c>
      <c r="I23" s="57" t="n">
        <v>1.321739130435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n"/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  <c r="CI23" s="81" t="inlineStr">
        <is>
          <t>A</t>
        </is>
      </c>
      <c r="CJ23" s="81" t="inlineStr">
        <is>
          <t>Shots go through more dinos, shrinking each 2 sizes</t>
        </is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2</v>
      </c>
      <c r="H24" s="57" t="n">
        <v>1</v>
      </c>
      <c r="I24" s="57" t="n">
        <v>1.319078947368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n"/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  <c r="CI24" s="81" t="inlineStr">
        <is>
          <t>A</t>
        </is>
      </c>
      <c r="CJ24" s="81" t="inlineStr">
        <is>
          <t>Each shot hits 10 dinos in a line, double damage</t>
        </is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1.349593495935</v>
      </c>
      <c r="H28" s="57" t="n">
        <v>1.423076923077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  <c r="CI28" s="81" t="inlineStr">
        <is>
          <t>A</t>
        </is>
      </c>
      <c r="CJ28" s="81" t="inlineStr">
        <is>
          <t>Fires faster, and its mark hits harder</t>
        </is>
      </c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1.349397590361</v>
      </c>
      <c r="H29" s="57" t="n">
        <v>1.41769041769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  <c r="CI29" s="81" t="inlineStr">
        <is>
          <t>A</t>
        </is>
      </c>
      <c r="CJ29" s="81" t="inlineStr">
        <is>
          <t>A bigger mark, and towers in range shoot faster</t>
        </is>
      </c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1.899416909621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1.666666666667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  <c r="CI33" s="81" t="inlineStr">
        <is>
          <t>A</t>
        </is>
      </c>
      <c r="CJ33" s="81" t="inlineStr">
        <is>
          <t>Huge shots that stun and shrink a dino 3 sizes</t>
        </is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1.900230237913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2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  <c r="CI34" s="81" t="inlineStr">
        <is>
          <t>A</t>
        </is>
      </c>
      <c r="CJ34" s="81" t="inlineStr">
        <is>
          <t>10 times damage to bosses, and stuns them</t>
        </is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1.449180327869</v>
      </c>
      <c r="H38" s="57" t="n">
        <v>1</v>
      </c>
      <c r="I38" s="57" t="n">
        <v>1.321739130435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1.066666666667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  <c r="CI38" s="81" t="inlineStr">
        <is>
          <t>A</t>
        </is>
      </c>
      <c r="CJ38" s="81" t="inlineStr">
        <is>
          <t>Bigger blasts that leave dinos burning</t>
        </is>
      </c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1.450226244344</v>
      </c>
      <c r="H39" s="57" t="n">
        <v>1</v>
      </c>
      <c r="I39" s="57" t="n">
        <v>1.319078947368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1.125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  <c r="CI39" s="81" t="inlineStr">
        <is>
          <t>A</t>
        </is>
      </c>
      <c r="CJ39" s="81" t="inlineStr">
        <is>
          <t>Leaves a long burning stretch of track</t>
        </is>
      </c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1.449180327869</v>
      </c>
      <c r="H43" s="57" t="n">
        <v>1</v>
      </c>
      <c r="I43" s="57" t="n">
        <v>1.321739130435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  <c r="CI43" s="81" t="inlineStr">
        <is>
          <t>A</t>
        </is>
      </c>
      <c r="CJ43" s="81" t="inlineStr">
        <is>
          <t>More bomblets and harder blasts</t>
        </is>
      </c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1.450226244344</v>
      </c>
      <c r="H44" s="57" t="n">
        <v>1</v>
      </c>
      <c r="I44" s="57" t="n">
        <v>1.319078947368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  <c r="CI44" s="81" t="inlineStr">
        <is>
          <t>A</t>
        </is>
      </c>
      <c r="CJ44" s="81" t="inlineStr">
        <is>
          <t>Even more bomblets rain down</t>
        </is>
      </c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1.899416909621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n"/>
      <c r="O48" s="57" t="n">
        <v>1</v>
      </c>
      <c r="P48" s="57" t="n"/>
      <c r="Q48" s="57" t="n"/>
      <c r="R48" s="57" t="n"/>
      <c r="S48" s="57" t="n"/>
      <c r="T48" s="57" t="n"/>
      <c r="U48" s="57" t="n"/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  <c r="CI48" s="81" t="inlineStr">
        <is>
          <t>A</t>
        </is>
      </c>
      <c r="CJ48" s="81" t="inlineStr">
        <is>
          <t>Hits much harder and knocks dinos further back</t>
        </is>
      </c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2.609363008442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n"/>
      <c r="O49" s="57" t="n">
        <v>1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  <c r="CI49" s="81" t="inlineStr">
        <is>
          <t>A</t>
        </is>
      </c>
      <c r="CJ49" s="81" t="inlineStr">
        <is>
          <t>Stuns every dino it hits for a second</t>
        </is>
      </c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1.3</v>
      </c>
      <c r="H53" s="57" t="n">
        <v>1.151315789474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1.166666666667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/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  <c r="CI53" s="81" t="inlineStr">
        <is>
          <t>A</t>
        </is>
      </c>
      <c r="CJ53" s="81" t="inlineStr">
        <is>
          <t>A much stronger slow over a wider area</t>
        </is>
      </c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1.297202797203</v>
      </c>
      <c r="H54" s="57" t="n">
        <v>1.148571428571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1.142857142857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  <c r="CI54" s="81" t="inlineStr">
        <is>
          <t>A</t>
        </is>
      </c>
      <c r="CJ54" s="81" t="inlineStr">
        <is>
          <t>Its slow works on bosses too</t>
        </is>
      </c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1.349593495935</v>
      </c>
      <c r="H58" s="57" t="n">
        <v>1.423076923077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/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  <c r="CI58" s="81" t="inlineStr">
        <is>
          <t>A</t>
        </is>
      </c>
      <c r="CJ58" s="81" t="inlineStr">
        <is>
          <t>Knockouts come sooner and hurt more</t>
        </is>
      </c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1.349397590361</v>
      </c>
      <c r="H59" s="57" t="n">
        <v>1.41769041769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  <c r="CI59" s="81" t="inlineStr">
        <is>
          <t>A</t>
        </is>
      </c>
      <c r="CJ59" s="81" t="inlineStr">
        <is>
          <t>A long knockout that even holds bosses</t>
        </is>
      </c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1.899416909621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n"/>
      <c r="AN63" s="57" t="n"/>
      <c r="AO63" s="57" t="n"/>
      <c r="AP63" s="57" t="n"/>
      <c r="AQ63" s="57" t="n"/>
      <c r="AR63" s="57" t="n"/>
      <c r="AS63" s="57" t="n"/>
      <c r="AT63" s="57" t="n"/>
      <c r="CI63" s="81" t="inlineStr">
        <is>
          <t>A</t>
        </is>
      </c>
      <c r="CJ63" s="81" t="inlineStr">
        <is>
          <t>Sedated dinos take even more damage</t>
        </is>
      </c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1.900230237913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n"/>
      <c r="AN64" s="57" t="n"/>
      <c r="AO64" s="57" t="n"/>
      <c r="AP64" s="57" t="n"/>
      <c r="AQ64" s="57" t="n"/>
      <c r="AR64" s="57" t="n"/>
      <c r="AS64" s="57" t="n"/>
      <c r="AT64" s="57" t="n"/>
      <c r="CI64" s="81" t="inlineStr">
        <is>
          <t>A</t>
        </is>
      </c>
      <c r="CJ64" s="81" t="inlineStr">
        <is>
          <t>Dinos take much more damage; towers in range hit harder</t>
        </is>
      </c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1.681818181818</v>
      </c>
      <c r="AO68" s="57" t="n"/>
      <c r="AP68" s="57" t="n"/>
      <c r="AQ68" s="57" t="n"/>
      <c r="AR68" s="57" t="n"/>
      <c r="AS68" s="57" t="n"/>
      <c r="AT68" s="57" t="n"/>
      <c r="CI68" s="81" t="inlineStr">
        <is>
          <t>A</t>
        </is>
      </c>
      <c r="CJ68" s="81" t="inlineStr">
        <is>
          <t>Pays a lot more cash every round</t>
        </is>
      </c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1.612612612613</v>
      </c>
      <c r="AO69" s="57" t="n">
        <v>5</v>
      </c>
      <c r="AP69" s="57" t="n">
        <v>500</v>
      </c>
      <c r="AQ69" s="57" t="n"/>
      <c r="AR69" s="57" t="n"/>
      <c r="AS69" s="57" t="n"/>
      <c r="AT69" s="57" t="n"/>
      <c r="CI69" s="81" t="inlineStr">
        <is>
          <t>A</t>
        </is>
      </c>
      <c r="CJ69" s="81" t="inlineStr">
        <is>
          <t>Earns interest on your banked cash</t>
        </is>
      </c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  <c r="CI73" s="81" t="inlineStr">
        <is>
          <t>A</t>
        </is>
      </c>
      <c r="CJ73" s="81" t="inlineStr">
        <is>
          <t>More chests land each round, worth more</t>
        </is>
      </c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  <c r="CI74" s="81" t="inlineStr">
        <is>
          <t>A</t>
        </is>
      </c>
      <c r="CJ74" s="81" t="inlineStr">
        <is>
          <t>The richest chests, and more of them</t>
        </is>
      </c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/>
      <c r="AT78" s="57" t="n"/>
      <c r="CI78" s="81" t="inlineStr">
        <is>
          <t>A</t>
        </is>
      </c>
      <c r="CJ78" s="81" t="inlineStr">
        <is>
          <t>Towers in range shoot faster</t>
        </is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  <c r="CI79" s="81" t="inlineStr">
        <is>
          <t>A</t>
        </is>
      </c>
      <c r="CJ79" s="81" t="inlineStr">
        <is>
          <t>Towers in range cost less and sell for full price</t>
        </is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  <c r="CI83" s="81" t="inlineStr">
        <is>
          <t>A</t>
        </is>
      </c>
      <c r="CJ83" s="81" t="inlineStr">
        <is>
          <t>Tougher armour, and biters take more damage back</t>
        </is>
      </c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/>
      <c r="AW84" s="57" t="n">
        <v>0.5</v>
      </c>
      <c r="AX84" s="57" t="n"/>
      <c r="AY84" s="57" t="n"/>
      <c r="AZ84" s="57" t="n"/>
      <c r="BA84" s="57" t="n"/>
      <c r="CI84" s="81" t="inlineStr">
        <is>
          <t>A</t>
        </is>
      </c>
      <c r="CJ84" s="81" t="inlineStr">
        <is>
          <t>The best armour; biting dinos get stunned (not bosses)</t>
        </is>
      </c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n"/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  <c r="CI88" s="81" t="inlineStr">
        <is>
          <t>A</t>
        </is>
      </c>
      <c r="CJ88" s="81" t="inlineStr">
        <is>
          <t>Towers in range hit harder and shoot faster</t>
        </is>
      </c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n"/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  <c r="CI89" s="81" t="inlineStr">
        <is>
          <t>A</t>
        </is>
      </c>
      <c r="CJ89" s="81" t="inlineStr">
        <is>
          <t>Towers in range hit much harder and faster</t>
        </is>
      </c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1</v>
      </c>
      <c r="AY93" s="57" t="n">
        <v>1</v>
      </c>
      <c r="AZ93" s="57" t="n">
        <v>0.7</v>
      </c>
      <c r="BA93" s="57" t="n"/>
      <c r="CI93" s="81" t="inlineStr">
        <is>
          <t>A</t>
        </is>
      </c>
      <c r="CJ93" s="81" t="inlineStr">
        <is>
          <t>Hunters in range shoot straighter</t>
        </is>
      </c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1.153846153846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1</v>
      </c>
      <c r="AY94" s="57" t="n">
        <v>1</v>
      </c>
      <c r="AZ94" s="57" t="n">
        <v>1</v>
      </c>
      <c r="BA94" s="57" t="n">
        <v>20</v>
      </c>
      <c r="CI94" s="81" t="inlineStr">
        <is>
          <t>A</t>
        </is>
      </c>
      <c r="CJ94" s="81" t="inlineStr">
        <is>
          <t>Wider reach, and hunters in range fire faster</t>
        </is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1.2</v>
      </c>
      <c r="BC98" s="57" t="n"/>
      <c r="BD98" s="57" t="n"/>
      <c r="BE98" s="57" t="n"/>
      <c r="BF98" s="57" t="n"/>
      <c r="BG98" s="57" t="n"/>
      <c r="BH98" s="57" t="n"/>
      <c r="BI98" s="57" t="n"/>
      <c r="CI98" s="81" t="inlineStr">
        <is>
          <t>A</t>
        </is>
      </c>
      <c r="CJ98" s="81" t="inlineStr">
        <is>
          <t>Heals towers and hunters even faster</t>
        </is>
      </c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1.5</v>
      </c>
      <c r="BC99" s="57" t="n"/>
      <c r="BD99" s="57" t="n">
        <v>1</v>
      </c>
      <c r="BE99" s="57" t="n"/>
      <c r="BF99" s="57" t="n"/>
      <c r="BG99" s="57" t="n"/>
      <c r="BH99" s="57" t="n"/>
      <c r="BI99" s="57" t="n"/>
      <c r="CI99" s="81" t="inlineStr">
        <is>
          <t>A</t>
        </is>
      </c>
      <c r="CJ99" s="81" t="inlineStr">
        <is>
          <t>The fastest heals; trampled towers revive at full speed</t>
        </is>
      </c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  <c r="CI103" s="81" t="inlineStr">
        <is>
          <t>A</t>
        </is>
      </c>
      <c r="CJ103" s="81" t="inlineStr">
        <is>
          <t>Three med kits a round, and each heals more</t>
        </is>
      </c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1.285714285714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/>
      <c r="BF104" s="57" t="n">
        <v>50</v>
      </c>
      <c r="BG104" s="57" t="n">
        <v>0.5</v>
      </c>
      <c r="BH104" s="57" t="n"/>
      <c r="BI104" s="57" t="n"/>
      <c r="CI104" s="81" t="inlineStr">
        <is>
          <t>A</t>
        </is>
      </c>
      <c r="CJ104" s="81" t="inlineStr">
        <is>
          <t>Bigger kits and reach; downed hunters return sooner</t>
        </is>
      </c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  <c r="CI108" s="81" t="inlineStr">
        <is>
          <t>A</t>
        </is>
      </c>
      <c r="CJ108" s="81" t="inlineStr">
        <is>
          <t>Towers in range get much more health</t>
        </is>
      </c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  <c r="CI109" s="81" t="inlineStr">
        <is>
          <t>A</t>
        </is>
      </c>
      <c r="CJ109" s="81" t="inlineStr">
        <is>
          <t>More health; once a round, saves a tower from trampling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1.449180327869</v>
      </c>
      <c r="H113" s="57" t="n">
        <v>1</v>
      </c>
      <c r="I113" s="57" t="n">
        <v>1</v>
      </c>
      <c r="J113" s="92">
        <f>J112*G113*H113*I113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/>
      <c r="BL113" s="81" t="n"/>
      <c r="BM113" s="81" t="n"/>
      <c r="BN113" s="46" t="inlineStr">
        <is>
          <t>Yes</t>
        </is>
      </c>
      <c r="CI113" s="81" t="inlineStr">
        <is>
          <t>A</t>
        </is>
      </c>
      <c r="CJ113" s="81" t="inlineStr">
        <is>
          <t>Arcs can jump from one coil's range to another's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1.450226244344</v>
      </c>
      <c r="H114" s="57" t="n">
        <v>1</v>
      </c>
      <c r="I114" s="57" t="n">
        <v>1</v>
      </c>
      <c r="J114" s="92">
        <f>J113*G114*H114*I114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/>
      <c r="BL114" s="81" t="n"/>
      <c r="BM114" s="81" t="n"/>
      <c r="BN114" s="46" t="n"/>
      <c r="BO114" s="46" t="inlineStr">
        <is>
          <t>Yes</t>
        </is>
      </c>
      <c r="CI114" s="81" t="inlineStr">
        <is>
          <t>A</t>
        </is>
      </c>
      <c r="CJ114" s="81" t="inlineStr">
        <is>
          <t>Strikes every dino near every coil; more coils, more power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1.4</v>
      </c>
      <c r="H118" s="57" t="n">
        <v>1</v>
      </c>
      <c r="I118" s="57" t="n">
        <v>1</v>
      </c>
      <c r="J118" s="92">
        <f>J117*G118*H118*I118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/>
      <c r="BP118" s="81" t="n"/>
      <c r="CI118" s="81" t="inlineStr">
        <is>
          <t>A</t>
        </is>
      </c>
      <c r="CJ118" s="81" t="inlineStr">
        <is>
          <t>Hurts armoured dinos, and hits harder</t>
        </is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1.899696048632</v>
      </c>
      <c r="H119" s="57" t="n">
        <v>1</v>
      </c>
      <c r="I119" s="57" t="n">
        <v>1</v>
      </c>
      <c r="J119" s="92">
        <f>J118*G119*H119*I119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n"/>
      <c r="U119" s="57" t="n"/>
      <c r="BP119" s="81" t="n"/>
      <c r="BQ119" s="46" t="inlineStr">
        <is>
          <t>Yes</t>
        </is>
      </c>
      <c r="CI119" s="81" t="inlineStr">
        <is>
          <t>A</t>
        </is>
      </c>
      <c r="CJ119" s="81" t="inlineStr">
        <is>
          <t>A huge bolt shrinks the biggest dino 3 sizes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1.3</v>
      </c>
      <c r="H123" s="57" t="n">
        <v>1</v>
      </c>
      <c r="I123" s="57" t="n">
        <v>1</v>
      </c>
      <c r="J123" s="92">
        <f>J122*G123*H123*I123</f>
        <v/>
      </c>
      <c r="K123" s="92">
        <f>IF(J123=0,0,F123/J123)</f>
        <v/>
      </c>
      <c r="L123" s="57" t="n">
        <v>1</v>
      </c>
      <c r="M123" s="43" t="inlineStr">
        <is>
          <t>Storm Warning</t>
        </is>
      </c>
      <c r="AB123" s="57" t="n"/>
      <c r="AC123" s="57" t="n">
        <v>15</v>
      </c>
      <c r="BR123" s="81" t="n"/>
      <c r="CI123" s="81" t="inlineStr">
        <is>
          <t>A</t>
        </is>
      </c>
      <c r="CJ123" s="81" t="inlineStr">
        <is>
          <t>Towers in range hit harder</t>
        </is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1.297202797203</v>
      </c>
      <c r="H124" s="57" t="n">
        <v>1</v>
      </c>
      <c r="I124" s="57" t="n">
        <v>1</v>
      </c>
      <c r="J124" s="92">
        <f>J123*G124*H124*I124</f>
        <v/>
      </c>
      <c r="K124" s="92">
        <f>IF(J124=0,0,F124/J124)</f>
        <v/>
      </c>
      <c r="L124" s="57" t="n">
        <v>1</v>
      </c>
      <c r="M124" s="43" t="inlineStr">
        <is>
          <t>Lightning Rodeo</t>
        </is>
      </c>
      <c r="AB124" s="57" t="n"/>
      <c r="AC124" s="57" t="n"/>
      <c r="BR124" s="81" t="n"/>
      <c r="BS124" s="81" t="n">
        <v>50</v>
      </c>
      <c r="CI124" s="81" t="inlineStr">
        <is>
          <t>A</t>
        </is>
      </c>
      <c r="CJ124" s="81" t="inlineStr">
        <is>
          <t>Towers in range chain their shots to one more dino</t>
        </is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1.899416909621</v>
      </c>
      <c r="H128" s="57" t="n">
        <v>1</v>
      </c>
      <c r="I128" s="57" t="n">
        <v>1</v>
      </c>
      <c r="J128" s="92">
        <f>J127*G128*H128*I128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/>
      <c r="CI128" s="81" t="inlineStr">
        <is>
          <t>A</t>
        </is>
      </c>
      <c r="CJ128" s="81" t="inlineStr">
        <is>
          <t>Hurts armoured dinos; dives shrink a dino 3 sizes</t>
        </is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0.9209516500379999</v>
      </c>
      <c r="H129" s="57" t="n">
        <v>1</v>
      </c>
      <c r="I129" s="57" t="n">
        <v>1</v>
      </c>
      <c r="J129" s="92">
        <f>J128*G129*H129*I129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n"/>
      <c r="U129" s="81" t="n">
        <v>0.5</v>
      </c>
      <c r="BJ129" s="81" t="n"/>
      <c r="BU129" s="81" t="n"/>
      <c r="BV129" s="81" t="inlineStr">
        <is>
          <t>Yes</t>
        </is>
      </c>
      <c r="CI129" s="81" t="inlineStr">
        <is>
          <t>A</t>
        </is>
      </c>
      <c r="CJ129" s="81" t="inlineStr">
        <is>
          <t>One giant eagle dives, stuns and shrinks a dino 3 sizes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2.810810810811</v>
      </c>
      <c r="H133" s="57" t="n">
        <v>1</v>
      </c>
      <c r="I133" s="57" t="n">
        <v>1</v>
      </c>
      <c r="J133" s="92">
        <f>J132*G133*H133*I133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/>
      <c r="CI133" s="81" t="inlineStr">
        <is>
          <t>A</t>
        </is>
      </c>
      <c r="CJ133" s="81" t="inlineStr">
        <is>
          <t>The birds hunt much further out</t>
        </is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0.846153846154</v>
      </c>
      <c r="H134" s="57" t="n">
        <v>1</v>
      </c>
      <c r="I134" s="57" t="n">
        <v>1</v>
      </c>
      <c r="J134" s="92">
        <f>J133*G134*H134*I134</f>
        <v/>
      </c>
      <c r="K134" s="92">
        <f>IF(J134=0,0,F134/J134)</f>
        <v/>
      </c>
      <c r="L134" s="57" t="n">
        <v>1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  <c r="CI134" s="81" t="inlineStr">
        <is>
          <t>A</t>
        </is>
      </c>
      <c r="CJ134" s="81" t="inlineStr">
        <is>
          <t>A swarm of small birds pecks every dino in range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1.3</v>
      </c>
      <c r="H138" s="57" t="n">
        <v>1</v>
      </c>
      <c r="I138" s="57" t="n">
        <v>1</v>
      </c>
      <c r="J138" s="92">
        <f>J137*G138*H138*I138</f>
        <v/>
      </c>
      <c r="K138" s="92">
        <f>IF(J138=0,0,F138/J138)</f>
        <v/>
      </c>
      <c r="L138" s="57" t="n">
        <v>1</v>
      </c>
      <c r="M138" s="43" t="inlineStr">
        <is>
          <t>Lure</t>
        </is>
      </c>
      <c r="T138" s="81" t="n"/>
      <c r="W138" s="81" t="n">
        <v>2</v>
      </c>
      <c r="BX138" s="81" t="n"/>
      <c r="CI138" s="81" t="inlineStr">
        <is>
          <t>A</t>
        </is>
      </c>
      <c r="CJ138" s="81" t="inlineStr">
        <is>
          <t>Struck dinos get pulled back (not bosses)</t>
        </is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1.297202797203</v>
      </c>
      <c r="H139" s="57" t="n">
        <v>1</v>
      </c>
      <c r="I139" s="57" t="n">
        <v>1</v>
      </c>
      <c r="J139" s="92">
        <f>J138*G139*H139*I139</f>
        <v/>
      </c>
      <c r="K139" s="92">
        <f>IF(J139=0,0,F139/J139)</f>
        <v/>
      </c>
      <c r="L139" s="57" t="n">
        <v>1</v>
      </c>
      <c r="M139" s="43" t="inlineStr">
        <is>
          <t>Hunting Party</t>
        </is>
      </c>
      <c r="T139" s="81" t="n"/>
      <c r="W139" s="81" t="n"/>
      <c r="BX139" s="81" t="n"/>
      <c r="BY139" s="81" t="n">
        <v>15</v>
      </c>
      <c r="CI139" s="81" t="inlineStr">
        <is>
          <t>A</t>
        </is>
      </c>
      <c r="CJ139" s="81" t="inlineStr">
        <is>
          <t>Towers in range shoot faster while a bird dives</t>
        </is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J142*G143*H143*I143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  <c r="AE143" s="81" t="n"/>
      <c r="AF143" s="81" t="n">
        <v>3</v>
      </c>
      <c r="CC143" s="81" t="n"/>
      <c r="CI143" s="81" t="inlineStr">
        <is>
          <t>A</t>
        </is>
      </c>
      <c r="CJ143" s="81" t="inlineStr">
        <is>
          <t>Dinos stay slowed for a while after they leave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J143*G144*H144*I144</f>
        <v/>
      </c>
      <c r="K144" s="92">
        <f>IF(J144=0,0,F144/J144)</f>
        <v/>
      </c>
      <c r="L144" s="57" t="n">
        <v>3</v>
      </c>
      <c r="M144" s="43" t="inlineStr">
        <is>
          <t>Tar Lake</t>
        </is>
      </c>
      <c r="AE144" s="81" t="n"/>
      <c r="AF144" s="81" t="n"/>
      <c r="CC144" s="81" t="n"/>
      <c r="CI144" s="81" t="inlineStr">
        <is>
          <t>A</t>
        </is>
      </c>
      <c r="CJ144" s="81" t="inlineStr">
        <is>
          <t>The pool covers three times as much track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J147*G148*H148*I148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/>
      <c r="Y148" s="81" t="n">
        <v>2</v>
      </c>
      <c r="CI148" s="81" t="inlineStr">
        <is>
          <t>A</t>
        </is>
      </c>
      <c r="CJ148" s="81" t="inlineStr">
        <is>
          <t>Dinos walk out of the tar still burning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J148*G149*H149*I149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/>
      <c r="Y149" s="81" t="n"/>
      <c r="CF149" s="81" t="inlineStr">
        <is>
          <t>Yes</t>
        </is>
      </c>
      <c r="CI149" s="81" t="inlineStr">
        <is>
          <t>A</t>
        </is>
      </c>
      <c r="CJ149" s="81" t="inlineStr">
        <is>
          <t>A geyser shrinks every dino in the pool 2 sizes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J152*G153*H153*I153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  <c r="CI153" s="81" t="inlineStr">
        <is>
          <t>A</t>
        </is>
      </c>
      <c r="CJ153" s="81" t="inlineStr">
        <is>
          <t>Dinos leaving the tar leave a slowing trail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J153*G154*H154*I154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/>
      <c r="CE154" s="81" t="n"/>
      <c r="CG154" s="81" t="n"/>
      <c r="CH154" s="81" t="n">
        <v>15</v>
      </c>
      <c r="CI154" s="81" t="inlineStr">
        <is>
          <t>A</t>
        </is>
      </c>
      <c r="CJ154" s="81" t="inlineStr">
        <is>
          <t>Towers in range hit slowed dinos harder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1.899416909621</v>
      </c>
      <c r="H158" s="57" t="n">
        <v>1</v>
      </c>
      <c r="I158" s="57" t="n">
        <v>1</v>
      </c>
      <c r="J158" s="92">
        <f>J157*G158*H158*I158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  <c r="CI158" s="81" t="inlineStr">
        <is>
          <t>A</t>
        </is>
      </c>
      <c r="CJ158" s="81" t="inlineStr">
        <is>
          <t>Pierces armour and shrinks a dino 3 sizes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1.900230237913</v>
      </c>
      <c r="H159" s="57" t="n">
        <v>1.15</v>
      </c>
      <c r="I159" s="57" t="n">
        <v>1</v>
      </c>
      <c r="J159" s="92">
        <f>J158*G159*H159*I159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n"/>
      <c r="BJ159" s="81" t="n"/>
      <c r="BZ159" s="81" t="inlineStr">
        <is>
          <t>Yes</t>
        </is>
      </c>
      <c r="CI159" s="81" t="inlineStr">
        <is>
          <t>A</t>
        </is>
      </c>
      <c r="CJ159" s="81" t="inlineStr">
        <is>
          <t>The bolt flies on through every dino in its line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1.3</v>
      </c>
      <c r="H163" s="57" t="n">
        <v>1</v>
      </c>
      <c r="I163" s="57" t="n">
        <v>1</v>
      </c>
      <c r="J163" s="92">
        <f>J162*G163*H163*I163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  <c r="U163" s="81" t="n"/>
      <c r="W163" s="81" t="n">
        <v>6</v>
      </c>
      <c r="CI163" s="81" t="inlineStr">
        <is>
          <t>A</t>
        </is>
      </c>
      <c r="CJ163" s="81" t="inlineStr">
        <is>
          <t>Drags the hit dino back along the track (not bosses)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1.297202797203</v>
      </c>
      <c r="H164" s="57" t="n">
        <v>1</v>
      </c>
      <c r="I164" s="57" t="n">
        <v>1</v>
      </c>
      <c r="J164" s="92">
        <f>J163*G164*H164*I164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  <c r="U164" s="81" t="n"/>
      <c r="W164" s="81" t="n"/>
      <c r="CA164" s="81" t="inlineStr">
        <is>
          <t>Yes</t>
        </is>
      </c>
      <c r="CI164" s="81" t="inlineStr">
        <is>
          <t>A</t>
        </is>
      </c>
      <c r="CJ164" s="81" t="inlineStr">
        <is>
          <t>Every 15 seconds, pulls a boss back along the track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2</v>
      </c>
      <c r="I168" s="57" t="n">
        <v>1</v>
      </c>
      <c r="J168" s="92">
        <f>J167*G168*H168*I168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/>
      <c r="CI168" s="81" t="inlineStr">
        <is>
          <t>A</t>
        </is>
      </c>
      <c r="CJ168" s="81" t="inlineStr">
        <is>
          <t>Fires twice as fast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1.333333333333</v>
      </c>
      <c r="H169" s="57" t="n">
        <v>1</v>
      </c>
      <c r="I169" s="57" t="n">
        <v>1</v>
      </c>
      <c r="J169" s="92">
        <f>J168*G169*H169*I169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  <c r="CI169" s="81" t="inlineStr">
        <is>
          <t>A</t>
        </is>
      </c>
      <c r="CJ169" s="81" t="inlineStr">
        <is>
          <t>Chained bolt pairs hit every dino between them</t>
        </is>
      </c>
    </row>
    <row r="170">
      <c r="A170" s="43" t="inlineStr">
        <is>
          <t>Hunting Blind</t>
        </is>
      </c>
      <c r="B170" s="43" t="inlineStr">
        <is>
          <t>Lookout</t>
        </is>
      </c>
      <c r="C170" s="43" t="inlineStr">
        <is>
          <t>range</t>
        </is>
      </c>
      <c r="D170" s="56" t="n">
        <v>4</v>
      </c>
      <c r="E170" s="56">
        <f>E8</f>
        <v/>
      </c>
      <c r="F170" s="56">
        <f>F8</f>
        <v/>
      </c>
      <c r="G170" s="57" t="n">
        <v>1.15</v>
      </c>
      <c r="H170" s="57" t="n">
        <v>1</v>
      </c>
      <c r="I170" s="57" t="n">
        <v>1</v>
      </c>
      <c r="J170" s="92" t="n"/>
      <c r="K170" s="92" t="n"/>
      <c r="L170" s="57" t="n">
        <v>1</v>
      </c>
      <c r="M170" s="43" t="inlineStr">
        <is>
          <t>Signal Mirror</t>
        </is>
      </c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  <c r="Z170" s="57" t="n"/>
      <c r="AA170" s="57" t="n"/>
      <c r="AB170" s="57" t="n">
        <v>18</v>
      </c>
      <c r="AC170" s="57" t="n"/>
      <c r="AD170" s="57" t="n"/>
      <c r="AE170" s="57" t="n"/>
      <c r="AF170" s="57" t="n"/>
      <c r="AG170" s="57" t="n"/>
      <c r="AH170" s="57" t="n"/>
      <c r="AI170" s="57" t="n"/>
      <c r="AJ170" s="57" t="n"/>
      <c r="AK170" s="57" t="n"/>
      <c r="AL170" s="57" t="n"/>
      <c r="AM170" s="57" t="n"/>
      <c r="AN170" s="57" t="n"/>
      <c r="AO170" s="57" t="n"/>
      <c r="AP170" s="57" t="n"/>
      <c r="AQ170" s="57" t="n"/>
      <c r="AR170" s="57" t="n"/>
      <c r="AS170" s="57" t="n"/>
      <c r="AT170" s="57" t="n"/>
      <c r="CI170" s="81" t="inlineStr">
        <is>
          <t>B</t>
        </is>
      </c>
      <c r="CJ170" s="81" t="inlineStr">
        <is>
          <t>Towers in range fire 18% faster</t>
        </is>
      </c>
    </row>
    <row r="171">
      <c r="A171" s="43" t="inlineStr">
        <is>
          <t>Hunting Blind</t>
        </is>
      </c>
      <c r="B171" s="43" t="inlineStr">
        <is>
          <t>Lookout</t>
        </is>
      </c>
      <c r="C171" s="43" t="inlineStr">
        <is>
          <t>range</t>
        </is>
      </c>
      <c r="D171" s="56" t="n">
        <v>4</v>
      </c>
      <c r="E171" s="56">
        <f>E8</f>
        <v/>
      </c>
      <c r="F171" s="56">
        <f>F8</f>
        <v/>
      </c>
      <c r="G171" s="57" t="n">
        <v>1.2</v>
      </c>
      <c r="H171" s="57" t="n">
        <v>1</v>
      </c>
      <c r="I171" s="57" t="n">
        <v>1</v>
      </c>
      <c r="J171" s="92" t="n"/>
      <c r="K171" s="92" t="n"/>
      <c r="L171" s="57" t="n">
        <v>1.1</v>
      </c>
      <c r="M171" s="43" t="inlineStr">
        <is>
          <t>Spotter's Call</t>
        </is>
      </c>
      <c r="N171" s="57" t="n"/>
      <c r="O171" s="57" t="n"/>
      <c r="P171" s="57" t="n"/>
      <c r="Q171" s="57" t="n"/>
      <c r="R171" s="57" t="n"/>
      <c r="S171" s="57" t="n"/>
      <c r="T171" s="57" t="n">
        <v>15</v>
      </c>
      <c r="U171" s="57" t="n"/>
      <c r="V171" s="57" t="n"/>
      <c r="W171" s="57" t="n"/>
      <c r="X171" s="57" t="n"/>
      <c r="Y171" s="57" t="n"/>
      <c r="Z171" s="57" t="n"/>
      <c r="AA171" s="57" t="n"/>
      <c r="AB171" s="57" t="n"/>
      <c r="AC171" s="57" t="n"/>
      <c r="AD171" s="57" t="n"/>
      <c r="AE171" s="57" t="n"/>
      <c r="AF171" s="57" t="n"/>
      <c r="AG171" s="57" t="n"/>
      <c r="AH171" s="57" t="n"/>
      <c r="AI171" s="57" t="n"/>
      <c r="AJ171" s="57" t="n"/>
      <c r="AK171" s="57" t="n"/>
      <c r="AL171" s="57" t="n"/>
      <c r="AM171" s="57" t="n"/>
      <c r="AN171" s="57" t="n"/>
      <c r="AO171" s="57" t="n"/>
      <c r="AP171" s="57" t="n"/>
      <c r="AQ171" s="57" t="n"/>
      <c r="AR171" s="57" t="n"/>
      <c r="AS171" s="57" t="n"/>
      <c r="AT171" s="57" t="n"/>
      <c r="CI171" s="81" t="inlineStr">
        <is>
          <t>C</t>
        </is>
      </c>
      <c r="CJ171" s="81" t="inlineStr">
        <is>
          <t>Its target takes +15% from every tower</t>
        </is>
      </c>
    </row>
    <row r="172">
      <c r="A172" s="43" t="inlineStr">
        <is>
          <t>Hunting Blind</t>
        </is>
      </c>
      <c r="B172" s="43" t="inlineStr">
        <is>
          <t>Lookout</t>
        </is>
      </c>
      <c r="C172" s="43" t="inlineStr">
        <is>
          <t>range</t>
        </is>
      </c>
      <c r="D172" s="56" t="n">
        <v>5</v>
      </c>
      <c r="E172" s="56">
        <f>E9</f>
        <v/>
      </c>
      <c r="F172" s="56">
        <f>F9</f>
        <v/>
      </c>
      <c r="G172" s="57" t="n">
        <v>1.4</v>
      </c>
      <c r="H172" s="57" t="n">
        <v>1</v>
      </c>
      <c r="I172" s="57" t="n">
        <v>1</v>
      </c>
      <c r="J172" s="92" t="n"/>
      <c r="K172" s="92" t="n"/>
      <c r="L172" s="57" t="n">
        <v>1.15</v>
      </c>
      <c r="M172" s="43" t="inlineStr">
        <is>
          <t>Beacon Fire</t>
        </is>
      </c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  <c r="Z172" s="57" t="n"/>
      <c r="AA172" s="57" t="n"/>
      <c r="AB172" s="57" t="n">
        <v>35</v>
      </c>
      <c r="AC172" s="57" t="n"/>
      <c r="AD172" s="46" t="n"/>
      <c r="AE172" s="57" t="n"/>
      <c r="AF172" s="57" t="n"/>
      <c r="AG172" s="57" t="n"/>
      <c r="AH172" s="57" t="n"/>
      <c r="AI172" s="57" t="n"/>
      <c r="AJ172" s="57" t="n"/>
      <c r="AK172" s="57" t="n"/>
      <c r="AL172" s="57" t="n"/>
      <c r="AM172" s="57" t="n"/>
      <c r="AN172" s="57" t="n"/>
      <c r="AO172" s="57" t="n"/>
      <c r="AP172" s="57" t="n"/>
      <c r="AQ172" s="57" t="n"/>
      <c r="AR172" s="57" t="n"/>
      <c r="AS172" s="57" t="n"/>
      <c r="AT172" s="57" t="n"/>
      <c r="CI172" s="81" t="inlineStr">
        <is>
          <t>B</t>
        </is>
      </c>
      <c r="CJ172" s="81" t="inlineStr">
        <is>
          <t>Towers in range fire 35% faster</t>
        </is>
      </c>
    </row>
    <row r="173">
      <c r="A173" s="43" t="inlineStr">
        <is>
          <t>Hunting Blind</t>
        </is>
      </c>
      <c r="B173" s="43" t="inlineStr">
        <is>
          <t>Lookout</t>
        </is>
      </c>
      <c r="C173" s="43" t="inlineStr">
        <is>
          <t>range</t>
        </is>
      </c>
      <c r="D173" s="56" t="n">
        <v>5</v>
      </c>
      <c r="E173" s="56">
        <f>E9</f>
        <v/>
      </c>
      <c r="F173" s="56">
        <f>F9</f>
        <v/>
      </c>
      <c r="G173" s="57" t="n">
        <v>1.55</v>
      </c>
      <c r="H173" s="57" t="n">
        <v>1</v>
      </c>
      <c r="I173" s="57" t="n">
        <v>1</v>
      </c>
      <c r="J173" s="92" t="n"/>
      <c r="K173" s="92" t="n"/>
      <c r="L173" s="57" t="n">
        <v>1.1</v>
      </c>
      <c r="M173" s="43" t="inlineStr">
        <is>
          <t>Alpha Spotter</t>
        </is>
      </c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  <c r="Z173" s="57" t="n"/>
      <c r="AA173" s="57" t="n"/>
      <c r="AB173" s="57" t="n"/>
      <c r="AC173" s="57" t="n"/>
      <c r="AD173" s="46" t="n"/>
      <c r="AE173" s="57" t="n"/>
      <c r="AF173" s="57" t="n"/>
      <c r="AG173" s="57" t="n"/>
      <c r="AH173" s="57" t="n"/>
      <c r="AI173" s="57" t="n"/>
      <c r="AJ173" s="57" t="n"/>
      <c r="AK173" s="57" t="n"/>
      <c r="AL173" s="57" t="n"/>
      <c r="AM173" s="57" t="n"/>
      <c r="AN173" s="57" t="n"/>
      <c r="AO173" s="57" t="n"/>
      <c r="AP173" s="57" t="n"/>
      <c r="AQ173" s="57" t="n"/>
      <c r="AR173" s="57" t="n"/>
      <c r="AS173" s="57" t="n"/>
      <c r="AT173" s="57" t="n"/>
      <c r="BX173" s="81" t="n">
        <v>40</v>
      </c>
      <c r="CI173" s="81" t="inlineStr">
        <is>
          <t>C</t>
        </is>
      </c>
      <c r="CJ173" s="81" t="inlineStr">
        <is>
          <t>Bosses in range take +40% from everything</t>
        </is>
      </c>
    </row>
    <row r="174">
      <c r="A174" s="43" t="inlineStr">
        <is>
          <t>Hunting Blind</t>
        </is>
      </c>
      <c r="B174" s="43" t="inlineStr">
        <is>
          <t>Trigger Happy</t>
        </is>
      </c>
      <c r="C174" s="43" t="inlineStr">
        <is>
          <t>rate</t>
        </is>
      </c>
      <c r="D174" s="56" t="n">
        <v>4</v>
      </c>
      <c r="E174" s="56">
        <f>E13</f>
        <v/>
      </c>
      <c r="F174" s="56">
        <f>F13</f>
        <v/>
      </c>
      <c r="G174" s="57" t="n">
        <v>1.05</v>
      </c>
      <c r="H174" s="57" t="n">
        <v>1.45</v>
      </c>
      <c r="I174" s="57" t="n">
        <v>1</v>
      </c>
      <c r="J174" s="92" t="n"/>
      <c r="K174" s="92" t="n"/>
      <c r="L174" s="57" t="n">
        <v>1</v>
      </c>
      <c r="M174" s="43" t="inlineStr">
        <is>
          <t>Belt Feed</t>
        </is>
      </c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  <c r="Z174" s="57" t="n"/>
      <c r="AA174" s="57" t="n"/>
      <c r="AB174" s="57" t="n"/>
      <c r="AC174" s="57" t="n"/>
      <c r="AD174" s="57" t="n"/>
      <c r="AE174" s="57" t="n"/>
      <c r="AF174" s="57" t="n"/>
      <c r="AG174" s="57" t="n"/>
      <c r="AH174" s="57" t="n"/>
      <c r="AI174" s="57" t="n"/>
      <c r="AJ174" s="57" t="n"/>
      <c r="AK174" s="57" t="n"/>
      <c r="AL174" s="57" t="n"/>
      <c r="AM174" s="57" t="n"/>
      <c r="AN174" s="57" t="n"/>
      <c r="AO174" s="57" t="n"/>
      <c r="AP174" s="57" t="n"/>
      <c r="AQ174" s="57" t="n"/>
      <c r="AR174" s="57" t="n"/>
      <c r="AS174" s="57" t="n"/>
      <c r="AT174" s="57" t="n"/>
      <c r="CI174" s="81" t="inlineStr">
        <is>
          <t>B</t>
        </is>
      </c>
      <c r="CJ174" s="81" t="inlineStr">
        <is>
          <t>Never stops to reload: fires 45% faster</t>
        </is>
      </c>
    </row>
    <row r="175">
      <c r="A175" s="43" t="inlineStr">
        <is>
          <t>Hunting Blind</t>
        </is>
      </c>
      <c r="B175" s="43" t="inlineStr">
        <is>
          <t>Trigger Happy</t>
        </is>
      </c>
      <c r="C175" s="43" t="inlineStr">
        <is>
          <t>rate</t>
        </is>
      </c>
      <c r="D175" s="56" t="n">
        <v>4</v>
      </c>
      <c r="E175" s="56">
        <f>E13</f>
        <v/>
      </c>
      <c r="F175" s="56">
        <f>F13</f>
        <v/>
      </c>
      <c r="G175" s="57" t="n">
        <v>1.2</v>
      </c>
      <c r="H175" s="57" t="n">
        <v>1.55</v>
      </c>
      <c r="I175" s="57" t="n">
        <v>1</v>
      </c>
      <c r="J175" s="92" t="n"/>
      <c r="K175" s="92" t="n"/>
      <c r="L175" s="57" t="n">
        <v>1.25</v>
      </c>
      <c r="M175" s="43" t="inlineStr">
        <is>
          <t>Long Burst</t>
        </is>
      </c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  <c r="Z175" s="57" t="n"/>
      <c r="AA175" s="57" t="n"/>
      <c r="AB175" s="57" t="n"/>
      <c r="AC175" s="57" t="n"/>
      <c r="AD175" s="57" t="n"/>
      <c r="AE175" s="57" t="n"/>
      <c r="AF175" s="57" t="n"/>
      <c r="AG175" s="57" t="n"/>
      <c r="AH175" s="57" t="n"/>
      <c r="AI175" s="57" t="n"/>
      <c r="AJ175" s="57" t="n"/>
      <c r="AK175" s="57" t="n"/>
      <c r="AL175" s="57" t="n"/>
      <c r="AM175" s="57" t="n"/>
      <c r="AN175" s="57" t="n"/>
      <c r="AO175" s="57" t="n"/>
      <c r="AP175" s="57" t="n"/>
      <c r="AQ175" s="57" t="n"/>
      <c r="AR175" s="57" t="n"/>
      <c r="AS175" s="57" t="n"/>
      <c r="AT175" s="57" t="n"/>
      <c r="CI175" s="81" t="inlineStr">
        <is>
          <t>C</t>
        </is>
      </c>
      <c r="CJ175" s="81" t="inlineStr">
        <is>
          <t>Fires faster from further away</t>
        </is>
      </c>
    </row>
    <row r="176">
      <c r="A176" s="43" t="inlineStr">
        <is>
          <t>Hunting Blind</t>
        </is>
      </c>
      <c r="B176" s="43" t="inlineStr">
        <is>
          <t>Trigger Happy</t>
        </is>
      </c>
      <c r="C176" s="43" t="inlineStr">
        <is>
          <t>rate</t>
        </is>
      </c>
      <c r="D176" s="56" t="n">
        <v>5</v>
      </c>
      <c r="E176" s="56">
        <f>E14</f>
        <v/>
      </c>
      <c r="F176" s="56">
        <f>F14</f>
        <v/>
      </c>
      <c r="G176" s="57" t="n">
        <v>0.8</v>
      </c>
      <c r="H176" s="57" t="n">
        <v>1</v>
      </c>
      <c r="I176" s="57" t="n">
        <v>1</v>
      </c>
      <c r="J176" s="92" t="n"/>
      <c r="K176" s="92" t="n"/>
      <c r="L176" s="57" t="n">
        <v>1</v>
      </c>
      <c r="M176" s="43" t="inlineStr">
        <is>
          <t>Bullet Storm</t>
        </is>
      </c>
      <c r="N176" s="57" t="n"/>
      <c r="O176" s="57" t="n"/>
      <c r="P176" s="57" t="n"/>
      <c r="Q176" s="57" t="n"/>
      <c r="R176" s="57" t="n">
        <v>4</v>
      </c>
      <c r="S176" s="57" t="n"/>
      <c r="T176" s="57" t="n"/>
      <c r="U176" s="57" t="n"/>
      <c r="V176" s="57" t="n"/>
      <c r="W176" s="57" t="n"/>
      <c r="X176" s="57" t="n"/>
      <c r="Y176" s="57" t="n"/>
      <c r="Z176" s="57" t="n"/>
      <c r="AA176" s="57" t="n"/>
      <c r="AB176" s="57" t="n"/>
      <c r="AC176" s="57" t="n"/>
      <c r="AD176" s="57" t="n"/>
      <c r="AE176" s="57" t="n"/>
      <c r="AF176" s="57" t="n"/>
      <c r="AG176" s="57" t="n"/>
      <c r="AH176" s="57" t="n"/>
      <c r="AI176" s="57" t="n"/>
      <c r="AJ176" s="57" t="n"/>
      <c r="AK176" s="57" t="n"/>
      <c r="AL176" s="57" t="n"/>
      <c r="AM176" s="57" t="n"/>
      <c r="AN176" s="57" t="n"/>
      <c r="AO176" s="57" t="n"/>
      <c r="AP176" s="57" t="n"/>
      <c r="AQ176" s="57" t="n"/>
      <c r="AR176" s="57" t="n"/>
      <c r="AS176" s="57" t="n"/>
      <c r="AT176" s="57" t="n"/>
      <c r="CI176" s="81" t="inlineStr">
        <is>
          <t>B</t>
        </is>
      </c>
      <c r="CJ176" s="81" t="inlineStr">
        <is>
          <t>Lighter bullets go through 4 dinos</t>
        </is>
      </c>
    </row>
    <row r="177">
      <c r="A177" s="43" t="inlineStr">
        <is>
          <t>Hunting Blind</t>
        </is>
      </c>
      <c r="B177" s="43" t="inlineStr">
        <is>
          <t>Trigger Happy</t>
        </is>
      </c>
      <c r="C177" s="43" t="inlineStr">
        <is>
          <t>rate</t>
        </is>
      </c>
      <c r="D177" s="56" t="n">
        <v>5</v>
      </c>
      <c r="E177" s="56">
        <f>E14</f>
        <v/>
      </c>
      <c r="F177" s="56">
        <f>F14</f>
        <v/>
      </c>
      <c r="G177" s="57" t="n">
        <v>1.55</v>
      </c>
      <c r="H177" s="57" t="n">
        <v>1.35</v>
      </c>
      <c r="I177" s="57" t="n">
        <v>1</v>
      </c>
      <c r="J177" s="92" t="n"/>
      <c r="K177" s="92" t="n"/>
      <c r="L177" s="57" t="n">
        <v>1</v>
      </c>
      <c r="M177" s="43" t="inlineStr">
        <is>
          <t>Shredder</t>
        </is>
      </c>
      <c r="N177" s="57" t="inlineStr">
        <is>
          <t>Yes</t>
        </is>
      </c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  <c r="Z177" s="57" t="n"/>
      <c r="AA177" s="57" t="n"/>
      <c r="AB177" s="57" t="n"/>
      <c r="AC177" s="57" t="n"/>
      <c r="AD177" s="57" t="n"/>
      <c r="AE177" s="57" t="n"/>
      <c r="AF177" s="57" t="n"/>
      <c r="AG177" s="57" t="n"/>
      <c r="AH177" s="57" t="n"/>
      <c r="AI177" s="57" t="n"/>
      <c r="AJ177" s="57" t="n"/>
      <c r="AK177" s="57" t="n"/>
      <c r="AL177" s="57" t="n"/>
      <c r="AM177" s="57" t="inlineStr">
        <is>
          <t>Yes</t>
        </is>
      </c>
      <c r="AN177" s="57" t="n"/>
      <c r="AO177" s="57" t="n"/>
      <c r="AP177" s="57" t="n"/>
      <c r="AQ177" s="57" t="n"/>
      <c r="AR177" s="57" t="n"/>
      <c r="AS177" s="57" t="n"/>
      <c r="AT177" s="57" t="n"/>
      <c r="CI177" s="81" t="inlineStr">
        <is>
          <t>C</t>
        </is>
      </c>
      <c r="CJ177" s="81" t="inlineStr">
        <is>
          <t>Bullets punch through armour and strip it</t>
        </is>
      </c>
    </row>
    <row r="178">
      <c r="A178" s="43" t="inlineStr">
        <is>
          <t>Hunting Blind</t>
        </is>
      </c>
      <c r="B178" s="43" t="inlineStr">
        <is>
          <t>Hardliner</t>
        </is>
      </c>
      <c r="C178" s="43" t="inlineStr">
        <is>
          <t>damage</t>
        </is>
      </c>
      <c r="D178" s="56" t="n">
        <v>4</v>
      </c>
      <c r="E178" s="56">
        <f>E18</f>
        <v/>
      </c>
      <c r="F178" s="56">
        <f>F18</f>
        <v/>
      </c>
      <c r="G178" s="57" t="n">
        <v>2.7</v>
      </c>
      <c r="H178" s="57" t="n">
        <v>1</v>
      </c>
      <c r="I178" s="57" t="n">
        <v>1</v>
      </c>
      <c r="J178" s="92" t="n"/>
      <c r="K178" s="92" t="n"/>
      <c r="L178" s="57" t="n">
        <v>1</v>
      </c>
      <c r="M178" s="43" t="inlineStr">
        <is>
          <t>Cracking Shot</t>
        </is>
      </c>
      <c r="N178" s="46" t="n"/>
      <c r="O178" s="57" t="n"/>
      <c r="P178" s="57" t="n"/>
      <c r="Q178" s="57" t="n"/>
      <c r="R178" s="57" t="n">
        <v>2</v>
      </c>
      <c r="S178" s="57" t="n"/>
      <c r="T178" s="57" t="n"/>
      <c r="U178" s="57" t="n"/>
      <c r="V178" s="57" t="n"/>
      <c r="W178" s="57" t="n"/>
      <c r="X178" s="57" t="n"/>
      <c r="Y178" s="57" t="n"/>
      <c r="Z178" s="57" t="n"/>
      <c r="AA178" s="57" t="n"/>
      <c r="AB178" s="57" t="n"/>
      <c r="AC178" s="57" t="n"/>
      <c r="AD178" s="57" t="n"/>
      <c r="AE178" s="57" t="n"/>
      <c r="AF178" s="57" t="n"/>
      <c r="AG178" s="57" t="n"/>
      <c r="AH178" s="57" t="n"/>
      <c r="AI178" s="57" t="n"/>
      <c r="AJ178" s="57" t="n"/>
      <c r="AK178" s="57" t="n"/>
      <c r="AL178" s="57" t="n"/>
      <c r="AM178" s="57" t="inlineStr">
        <is>
          <t>Yes</t>
        </is>
      </c>
      <c r="AN178" s="57" t="n"/>
      <c r="AO178" s="57" t="n"/>
      <c r="AP178" s="57" t="n"/>
      <c r="AQ178" s="57" t="n"/>
      <c r="AR178" s="57" t="n"/>
      <c r="AS178" s="57" t="n"/>
      <c r="AT178" s="57" t="n"/>
      <c r="BJ178" s="105" t="n"/>
      <c r="CI178" s="81" t="inlineStr">
        <is>
          <t>B</t>
        </is>
      </c>
      <c r="CJ178" s="81" t="inlineStr">
        <is>
          <t>Goes through 2 dinos and strips their armour</t>
        </is>
      </c>
    </row>
    <row r="179">
      <c r="A179" s="43" t="inlineStr">
        <is>
          <t>Hunting Blind</t>
        </is>
      </c>
      <c r="B179" s="43" t="inlineStr">
        <is>
          <t>Hardliner</t>
        </is>
      </c>
      <c r="C179" s="43" t="inlineStr">
        <is>
          <t>damage</t>
        </is>
      </c>
      <c r="D179" s="56" t="n">
        <v>4</v>
      </c>
      <c r="E179" s="56">
        <f>E18</f>
        <v/>
      </c>
      <c r="F179" s="56">
        <f>F18</f>
        <v/>
      </c>
      <c r="G179" s="57" t="n">
        <v>2.6</v>
      </c>
      <c r="H179" s="57" t="n">
        <v>1</v>
      </c>
      <c r="I179" s="57" t="n">
        <v>1</v>
      </c>
      <c r="J179" s="92" t="n"/>
      <c r="K179" s="92" t="n"/>
      <c r="L179" s="57" t="n">
        <v>1</v>
      </c>
      <c r="M179" s="43" t="inlineStr">
        <is>
          <t>Heavy Slug</t>
        </is>
      </c>
      <c r="N179" s="46" t="n"/>
      <c r="O179" s="57" t="n"/>
      <c r="P179" s="57" t="n"/>
      <c r="Q179" s="57" t="n"/>
      <c r="R179" s="57" t="n">
        <v>2</v>
      </c>
      <c r="S179" s="57" t="n"/>
      <c r="T179" s="57" t="n"/>
      <c r="U179" s="57" t="n"/>
      <c r="V179" s="57" t="n"/>
      <c r="W179" s="57" t="n"/>
      <c r="X179" s="57" t="n"/>
      <c r="Y179" s="57" t="n"/>
      <c r="Z179" s="57" t="n"/>
      <c r="AA179" s="57" t="n"/>
      <c r="AB179" s="57" t="n"/>
      <c r="AC179" s="57" t="n"/>
      <c r="AD179" s="57" t="n"/>
      <c r="AE179" s="57" t="n"/>
      <c r="AF179" s="57" t="n"/>
      <c r="AG179" s="57" t="n"/>
      <c r="AH179" s="57" t="n"/>
      <c r="AI179" s="57" t="n"/>
      <c r="AJ179" s="57" t="n"/>
      <c r="AK179" s="57" t="n"/>
      <c r="AL179" s="57" t="n"/>
      <c r="AM179" s="57" t="n"/>
      <c r="AN179" s="57" t="n"/>
      <c r="AO179" s="57" t="n"/>
      <c r="AP179" s="57" t="n"/>
      <c r="AQ179" s="57" t="n"/>
      <c r="AR179" s="57" t="n"/>
      <c r="AS179" s="57" t="n"/>
      <c r="AT179" s="57" t="n"/>
      <c r="BJ179" s="105" t="n">
        <v>3</v>
      </c>
      <c r="CI179" s="81" t="inlineStr">
        <is>
          <t>C</t>
        </is>
      </c>
      <c r="CJ179" s="81" t="inlineStr">
        <is>
          <t>Goes through 2 dinos, shrinking each 3 sizes</t>
        </is>
      </c>
    </row>
    <row r="180">
      <c r="A180" s="43" t="inlineStr">
        <is>
          <t>Hunting Blind</t>
        </is>
      </c>
      <c r="B180" s="43" t="inlineStr">
        <is>
          <t>Hardliner</t>
        </is>
      </c>
      <c r="C180" s="43" t="inlineStr">
        <is>
          <t>damage</t>
        </is>
      </c>
      <c r="D180" s="56" t="n">
        <v>5</v>
      </c>
      <c r="E180" s="56">
        <f>E19</f>
        <v/>
      </c>
      <c r="F180" s="56">
        <f>F19</f>
        <v/>
      </c>
      <c r="G180" s="57" t="n">
        <v>4.6</v>
      </c>
      <c r="H180" s="57" t="n">
        <v>1</v>
      </c>
      <c r="I180" s="57" t="n">
        <v>1</v>
      </c>
      <c r="J180" s="92" t="n"/>
      <c r="K180" s="92" t="n"/>
      <c r="L180" s="57" t="n">
        <v>1</v>
      </c>
      <c r="M180" s="43" t="inlineStr">
        <is>
          <t>Jolt Rounds</t>
        </is>
      </c>
      <c r="N180" s="46" t="n"/>
      <c r="O180" s="57" t="n">
        <v>2</v>
      </c>
      <c r="P180" s="57" t="n"/>
      <c r="Q180" s="57" t="n"/>
      <c r="R180" s="57" t="n"/>
      <c r="S180" s="57" t="n"/>
      <c r="T180" s="57" t="n"/>
      <c r="U180" s="57" t="n">
        <v>0.3</v>
      </c>
      <c r="V180" s="57" t="n"/>
      <c r="W180" s="57" t="n"/>
      <c r="X180" s="57" t="n"/>
      <c r="Y180" s="57" t="n"/>
      <c r="Z180" s="57" t="n"/>
      <c r="AA180" s="57" t="n"/>
      <c r="AB180" s="57" t="n"/>
      <c r="AC180" s="57" t="n"/>
      <c r="AD180" s="57" t="n"/>
      <c r="AE180" s="57" t="n"/>
      <c r="AF180" s="57" t="n"/>
      <c r="AG180" s="57" t="n"/>
      <c r="AH180" s="57" t="n"/>
      <c r="AI180" s="57" t="n"/>
      <c r="AJ180" s="57" t="n"/>
      <c r="AK180" s="57" t="n"/>
      <c r="AL180" s="57" t="n"/>
      <c r="AM180" s="57" t="n"/>
      <c r="AN180" s="57" t="n"/>
      <c r="AO180" s="57" t="n"/>
      <c r="AP180" s="57" t="n"/>
      <c r="AQ180" s="57" t="n"/>
      <c r="AR180" s="57" t="n"/>
      <c r="AS180" s="57" t="n"/>
      <c r="AT180" s="57" t="n"/>
      <c r="BJ180" s="105" t="n"/>
      <c r="CI180" s="81" t="inlineStr">
        <is>
          <t>B</t>
        </is>
      </c>
      <c r="CJ180" s="81" t="inlineStr">
        <is>
          <t>Hits jolt dinos still for a moment</t>
        </is>
      </c>
    </row>
    <row r="181">
      <c r="A181" s="43" t="inlineStr">
        <is>
          <t>Hunting Blind</t>
        </is>
      </c>
      <c r="B181" s="43" t="inlineStr">
        <is>
          <t>Hardliner</t>
        </is>
      </c>
      <c r="C181" s="43" t="inlineStr">
        <is>
          <t>damage</t>
        </is>
      </c>
      <c r="D181" s="56" t="n">
        <v>5</v>
      </c>
      <c r="E181" s="56">
        <f>E19</f>
        <v/>
      </c>
      <c r="F181" s="56">
        <f>F19</f>
        <v/>
      </c>
      <c r="G181" s="57" t="n">
        <v>1.5</v>
      </c>
      <c r="H181" s="57" t="n">
        <v>1</v>
      </c>
      <c r="I181" s="57" t="n">
        <v>1</v>
      </c>
      <c r="J181" s="92" t="n"/>
      <c r="K181" s="92" t="n"/>
      <c r="L181" s="57" t="n">
        <v>1</v>
      </c>
      <c r="M181" s="43" t="inlineStr">
        <is>
          <t>Rail Lance</t>
        </is>
      </c>
      <c r="N181" s="46" t="n"/>
      <c r="O181" s="57" t="n">
        <v>1.5</v>
      </c>
      <c r="P181" s="57" t="n"/>
      <c r="Q181" s="57" t="n"/>
      <c r="R181" s="57" t="n">
        <v>6</v>
      </c>
      <c r="S181" s="57" t="n"/>
      <c r="T181" s="57" t="n"/>
      <c r="U181" s="57" t="n"/>
      <c r="V181" s="57" t="n"/>
      <c r="W181" s="57" t="n"/>
      <c r="X181" s="57" t="n"/>
      <c r="Y181" s="57" t="n"/>
      <c r="Z181" s="57" t="n"/>
      <c r="AA181" s="57" t="n"/>
      <c r="AB181" s="57" t="n"/>
      <c r="AC181" s="57" t="n"/>
      <c r="AD181" s="57" t="n"/>
      <c r="AE181" s="57" t="n"/>
      <c r="AF181" s="57" t="n"/>
      <c r="AG181" s="57" t="n"/>
      <c r="AH181" s="57" t="n"/>
      <c r="AI181" s="57" t="n"/>
      <c r="AJ181" s="57" t="n"/>
      <c r="AK181" s="57" t="n"/>
      <c r="AL181" s="57" t="n"/>
      <c r="AM181" s="57" t="n"/>
      <c r="AN181" s="57" t="n"/>
      <c r="AO181" s="57" t="n"/>
      <c r="AP181" s="57" t="n"/>
      <c r="AQ181" s="57" t="n"/>
      <c r="AR181" s="57" t="n"/>
      <c r="AS181" s="57" t="n"/>
      <c r="AT181" s="57" t="n"/>
      <c r="BJ181" s="105" t="n"/>
      <c r="CI181" s="81" t="inlineStr">
        <is>
          <t>C</t>
        </is>
      </c>
      <c r="CJ181" s="81" t="inlineStr">
        <is>
          <t>Each bullet goes through 6 dinos</t>
        </is>
      </c>
    </row>
    <row r="182">
      <c r="A182" s="43" t="inlineStr">
        <is>
          <t>Longshot Perch</t>
        </is>
      </c>
      <c r="B182" s="43" t="inlineStr">
        <is>
          <t>Deadeye</t>
        </is>
      </c>
      <c r="C182" s="43" t="inlineStr">
        <is>
          <t>targets</t>
        </is>
      </c>
      <c r="D182" s="56" t="n">
        <v>4</v>
      </c>
      <c r="E182" s="56">
        <f>E23</f>
        <v/>
      </c>
      <c r="F182" s="56">
        <f>F23</f>
        <v/>
      </c>
      <c r="G182" s="57" t="n">
        <v>1.45</v>
      </c>
      <c r="H182" s="57" t="n">
        <v>1</v>
      </c>
      <c r="I182" s="57" t="n">
        <v>1.2</v>
      </c>
      <c r="J182" s="92" t="n"/>
      <c r="K182" s="92" t="n"/>
      <c r="L182" s="57" t="n">
        <v>1</v>
      </c>
      <c r="M182" s="43" t="inlineStr">
        <is>
          <t>Wind Shear</t>
        </is>
      </c>
      <c r="N182" s="46" t="n"/>
      <c r="O182" s="57" t="n"/>
      <c r="P182" s="57" t="n"/>
      <c r="Q182" s="57" t="n"/>
      <c r="R182" s="57" t="n">
        <v>5</v>
      </c>
      <c r="S182" s="57" t="n"/>
      <c r="T182" s="57" t="n"/>
      <c r="U182" s="57" t="n"/>
      <c r="V182" s="57" t="n"/>
      <c r="W182" s="57" t="n">
        <v>3</v>
      </c>
      <c r="X182" s="57" t="n"/>
      <c r="Y182" s="57" t="n"/>
      <c r="Z182" s="57" t="n"/>
      <c r="AA182" s="57" t="n"/>
      <c r="AB182" s="57" t="n"/>
      <c r="AC182" s="57" t="n"/>
      <c r="AD182" s="57" t="n"/>
      <c r="AE182" s="57" t="n"/>
      <c r="AF182" s="57" t="n"/>
      <c r="AG182" s="57" t="n"/>
      <c r="AH182" s="57" t="n"/>
      <c r="AI182" s="57" t="n"/>
      <c r="AJ182" s="57" t="n"/>
      <c r="AK182" s="57" t="n"/>
      <c r="AL182" s="57" t="n"/>
      <c r="AM182" s="57" t="n"/>
      <c r="AN182" s="57" t="n"/>
      <c r="AO182" s="57" t="n"/>
      <c r="AP182" s="57" t="n"/>
      <c r="AQ182" s="57" t="n"/>
      <c r="AR182" s="57" t="n"/>
      <c r="AS182" s="57" t="n"/>
      <c r="AT182" s="57" t="n"/>
      <c r="BJ182" s="105" t="n"/>
      <c r="CI182" s="81" t="inlineStr">
        <is>
          <t>B</t>
        </is>
      </c>
      <c r="CJ182" s="81" t="inlineStr">
        <is>
          <t>Shots shove the whole line 3 studs back</t>
        </is>
      </c>
    </row>
    <row r="183">
      <c r="A183" s="43" t="inlineStr">
        <is>
          <t>Longshot Perch</t>
        </is>
      </c>
      <c r="B183" s="43" t="inlineStr">
        <is>
          <t>Deadeye</t>
        </is>
      </c>
      <c r="C183" s="43" t="inlineStr">
        <is>
          <t>targets</t>
        </is>
      </c>
      <c r="D183" s="56" t="n">
        <v>4</v>
      </c>
      <c r="E183" s="56">
        <f>E23</f>
        <v/>
      </c>
      <c r="F183" s="56">
        <f>F23</f>
        <v/>
      </c>
      <c r="G183" s="57" t="n">
        <v>1.1</v>
      </c>
      <c r="H183" s="57" t="n">
        <v>1.45</v>
      </c>
      <c r="I183" s="57" t="n">
        <v>1</v>
      </c>
      <c r="J183" s="92" t="n"/>
      <c r="K183" s="92" t="n"/>
      <c r="L183" s="57" t="n">
        <v>1</v>
      </c>
      <c r="M183" s="43" t="inlineStr">
        <is>
          <t>Fast Bolt</t>
        </is>
      </c>
      <c r="N183" s="46" t="n"/>
      <c r="O183" s="57" t="n"/>
      <c r="P183" s="57" t="n"/>
      <c r="Q183" s="57" t="n"/>
      <c r="R183" s="57" t="n">
        <v>5</v>
      </c>
      <c r="S183" s="57" t="n"/>
      <c r="T183" s="57" t="n"/>
      <c r="U183" s="57" t="n"/>
      <c r="V183" s="57" t="n"/>
      <c r="W183" s="57" t="n"/>
      <c r="X183" s="57" t="n"/>
      <c r="Y183" s="57" t="n"/>
      <c r="Z183" s="57" t="n"/>
      <c r="AA183" s="57" t="n"/>
      <c r="AB183" s="57" t="n"/>
      <c r="AC183" s="57" t="n"/>
      <c r="AD183" s="57" t="n"/>
      <c r="AE183" s="57" t="n"/>
      <c r="AF183" s="57" t="n"/>
      <c r="AG183" s="57" t="n"/>
      <c r="AH183" s="57" t="n"/>
      <c r="AI183" s="57" t="n"/>
      <c r="AJ183" s="57" t="n"/>
      <c r="AK183" s="57" t="n"/>
      <c r="AL183" s="57" t="n"/>
      <c r="AM183" s="57" t="n"/>
      <c r="AN183" s="57" t="n"/>
      <c r="AO183" s="57" t="n"/>
      <c r="AP183" s="57" t="n"/>
      <c r="AQ183" s="57" t="n"/>
      <c r="AR183" s="57" t="n"/>
      <c r="AS183" s="57" t="n"/>
      <c r="AT183" s="57" t="n"/>
      <c r="BJ183" s="105" t="n"/>
      <c r="CI183" s="81" t="inlineStr">
        <is>
          <t>C</t>
        </is>
      </c>
      <c r="CJ183" s="81" t="inlineStr">
        <is>
          <t>Fires much faster through 5 dinos</t>
        </is>
      </c>
    </row>
    <row r="184">
      <c r="A184" s="43" t="inlineStr">
        <is>
          <t>Longshot Perch</t>
        </is>
      </c>
      <c r="B184" s="43" t="inlineStr">
        <is>
          <t>Deadeye</t>
        </is>
      </c>
      <c r="C184" s="43" t="inlineStr">
        <is>
          <t>targets</t>
        </is>
      </c>
      <c r="D184" s="56" t="n">
        <v>5</v>
      </c>
      <c r="E184" s="56">
        <f>E24</f>
        <v/>
      </c>
      <c r="F184" s="56">
        <f>F24</f>
        <v/>
      </c>
      <c r="G184" s="57" t="n">
        <v>1.55</v>
      </c>
      <c r="H184" s="57" t="n">
        <v>1.6</v>
      </c>
      <c r="I184" s="57" t="n">
        <v>1.2</v>
      </c>
      <c r="J184" s="92" t="n"/>
      <c r="K184" s="92" t="n"/>
      <c r="L184" s="57" t="n">
        <v>1</v>
      </c>
      <c r="M184" s="43" t="inlineStr">
        <is>
          <t>Piercing Gale</t>
        </is>
      </c>
      <c r="N184" s="46" t="n"/>
      <c r="O184" s="57" t="n"/>
      <c r="P184" s="57" t="n"/>
      <c r="Q184" s="57" t="n"/>
      <c r="R184" s="57" t="n">
        <v>8</v>
      </c>
      <c r="S184" s="57" t="n"/>
      <c r="T184" s="57" t="n"/>
      <c r="U184" s="57" t="n"/>
      <c r="V184" s="57" t="n"/>
      <c r="W184" s="57" t="n"/>
      <c r="X184" s="57" t="n"/>
      <c r="Y184" s="57" t="n"/>
      <c r="Z184" s="57" t="n"/>
      <c r="AA184" s="57" t="n"/>
      <c r="AB184" s="57" t="n"/>
      <c r="AC184" s="57" t="n"/>
      <c r="AD184" s="57" t="n"/>
      <c r="AE184" s="57" t="n"/>
      <c r="AF184" s="57" t="n"/>
      <c r="AG184" s="57" t="n"/>
      <c r="AH184" s="57" t="n"/>
      <c r="AI184" s="57" t="n"/>
      <c r="AJ184" s="57" t="n"/>
      <c r="AK184" s="57" t="n"/>
      <c r="AL184" s="57" t="n"/>
      <c r="AM184" s="57" t="n"/>
      <c r="AN184" s="57" t="n"/>
      <c r="AO184" s="57" t="n"/>
      <c r="AP184" s="57" t="n"/>
      <c r="AQ184" s="57" t="n"/>
      <c r="AR184" s="57" t="n"/>
      <c r="AS184" s="57" t="n"/>
      <c r="AT184" s="57" t="n"/>
      <c r="BJ184" s="105" t="n"/>
      <c r="CI184" s="81" t="inlineStr">
        <is>
          <t>B</t>
        </is>
      </c>
      <c r="CJ184" s="81" t="inlineStr">
        <is>
          <t>Fast shots through 8 dinos</t>
        </is>
      </c>
    </row>
    <row r="185">
      <c r="A185" s="43" t="inlineStr">
        <is>
          <t>Longshot Perch</t>
        </is>
      </c>
      <c r="B185" s="43" t="inlineStr">
        <is>
          <t>Deadeye</t>
        </is>
      </c>
      <c r="C185" s="43" t="inlineStr">
        <is>
          <t>targets</t>
        </is>
      </c>
      <c r="D185" s="56" t="n">
        <v>5</v>
      </c>
      <c r="E185" s="56">
        <f>E24</f>
        <v/>
      </c>
      <c r="F185" s="56">
        <f>F24</f>
        <v/>
      </c>
      <c r="G185" s="57" t="n">
        <v>2.4</v>
      </c>
      <c r="H185" s="57" t="n">
        <v>1</v>
      </c>
      <c r="I185" s="57" t="n">
        <v>1.2</v>
      </c>
      <c r="J185" s="92" t="n"/>
      <c r="K185" s="92" t="n"/>
      <c r="L185" s="57" t="n">
        <v>1</v>
      </c>
      <c r="M185" s="43" t="inlineStr">
        <is>
          <t>Shatterline</t>
        </is>
      </c>
      <c r="N185" s="46" t="n"/>
      <c r="O185" s="57" t="n"/>
      <c r="P185" s="57" t="n"/>
      <c r="Q185" s="57" t="n"/>
      <c r="R185" s="57" t="n">
        <v>8</v>
      </c>
      <c r="S185" s="57" t="n"/>
      <c r="T185" s="57" t="n"/>
      <c r="U185" s="57" t="n"/>
      <c r="V185" s="57" t="n"/>
      <c r="W185" s="57" t="n"/>
      <c r="X185" s="57" t="n"/>
      <c r="Y185" s="57" t="n"/>
      <c r="Z185" s="57" t="n"/>
      <c r="AA185" s="57" t="n"/>
      <c r="AB185" s="57" t="n"/>
      <c r="AC185" s="57" t="n"/>
      <c r="AD185" s="57" t="n"/>
      <c r="AE185" s="57" t="n"/>
      <c r="AF185" s="57" t="n"/>
      <c r="AG185" s="57" t="n"/>
      <c r="AH185" s="57" t="n"/>
      <c r="AI185" s="57" t="n"/>
      <c r="AJ185" s="57" t="n"/>
      <c r="AK185" s="57" t="n"/>
      <c r="AL185" s="57" t="n"/>
      <c r="AM185" s="57" t="inlineStr">
        <is>
          <t>Yes</t>
        </is>
      </c>
      <c r="AN185" s="57" t="n"/>
      <c r="AO185" s="57" t="n"/>
      <c r="AP185" s="57" t="n"/>
      <c r="AQ185" s="57" t="n"/>
      <c r="AR185" s="57" t="n"/>
      <c r="AS185" s="57" t="n"/>
      <c r="AT185" s="57" t="n"/>
      <c r="BJ185" s="105" t="n"/>
      <c r="CI185" s="81" t="inlineStr">
        <is>
          <t>C</t>
        </is>
      </c>
      <c r="CJ185" s="81" t="inlineStr">
        <is>
          <t>Every dino in the line loses its armour</t>
        </is>
      </c>
    </row>
    <row r="186">
      <c r="A186" s="43" t="inlineStr">
        <is>
          <t>Longshot Perch</t>
        </is>
      </c>
      <c r="B186" s="43" t="inlineStr">
        <is>
          <t>Spotter</t>
        </is>
      </c>
      <c r="C186" s="43" t="inlineStr">
        <is>
          <t>rate</t>
        </is>
      </c>
      <c r="D186" s="56" t="n">
        <v>4</v>
      </c>
      <c r="E186" s="56">
        <f>E28</f>
        <v/>
      </c>
      <c r="F186" s="56">
        <f>F28</f>
        <v/>
      </c>
      <c r="G186" s="57" t="n">
        <v>1.3</v>
      </c>
      <c r="H186" s="57" t="n">
        <v>1.3</v>
      </c>
      <c r="I186" s="57" t="n">
        <v>1</v>
      </c>
      <c r="J186" s="92" t="n"/>
      <c r="K186" s="92" t="n"/>
      <c r="L186" s="57" t="n">
        <v>1</v>
      </c>
      <c r="M186" s="43" t="inlineStr">
        <is>
          <t>Painted Target</t>
        </is>
      </c>
      <c r="N186" s="57" t="n"/>
      <c r="O186" s="57" t="n"/>
      <c r="P186" s="57" t="n"/>
      <c r="Q186" s="57" t="n"/>
      <c r="R186" s="57" t="n"/>
      <c r="S186" s="57" t="n"/>
      <c r="T186" s="57" t="n">
        <v>30</v>
      </c>
      <c r="U186" s="57" t="n"/>
      <c r="V186" s="57" t="n"/>
      <c r="W186" s="57" t="n"/>
      <c r="X186" s="57" t="n"/>
      <c r="Y186" s="57" t="n"/>
      <c r="Z186" s="57" t="n"/>
      <c r="AA186" s="57" t="n"/>
      <c r="AB186" s="57" t="n"/>
      <c r="AC186" s="57" t="n"/>
      <c r="AD186" s="57" t="n"/>
      <c r="AE186" s="57" t="n"/>
      <c r="AF186" s="57" t="n"/>
      <c r="AG186" s="57" t="n"/>
      <c r="AH186" s="57" t="n"/>
      <c r="AI186" s="57" t="n"/>
      <c r="AJ186" s="57" t="n"/>
      <c r="AK186" s="57" t="n"/>
      <c r="AL186" s="57" t="n"/>
      <c r="AM186" s="57" t="n"/>
      <c r="AN186" s="57" t="n"/>
      <c r="AO186" s="57" t="n"/>
      <c r="AP186" s="57" t="n"/>
      <c r="AQ186" s="57" t="n"/>
      <c r="AR186" s="57" t="n"/>
      <c r="AS186" s="57" t="n"/>
      <c r="AT186" s="57" t="n"/>
      <c r="BX186" s="81" t="n">
        <v>25</v>
      </c>
      <c r="CI186" s="81" t="inlineStr">
        <is>
          <t>B</t>
        </is>
      </c>
      <c r="CJ186" s="81" t="inlineStr">
        <is>
          <t>Bosses in range take +25% too</t>
        </is>
      </c>
    </row>
    <row r="187">
      <c r="A187" s="43" t="inlineStr">
        <is>
          <t>Longshot Perch</t>
        </is>
      </c>
      <c r="B187" s="43" t="inlineStr">
        <is>
          <t>Spotter</t>
        </is>
      </c>
      <c r="C187" s="43" t="inlineStr">
        <is>
          <t>rate</t>
        </is>
      </c>
      <c r="D187" s="56" t="n">
        <v>4</v>
      </c>
      <c r="E187" s="56">
        <f>E28</f>
        <v/>
      </c>
      <c r="F187" s="56">
        <f>F28</f>
        <v/>
      </c>
      <c r="G187" s="57" t="n">
        <v>1.2</v>
      </c>
      <c r="H187" s="57" t="n">
        <v>1.65</v>
      </c>
      <c r="I187" s="57" t="n">
        <v>1</v>
      </c>
      <c r="J187" s="92" t="n"/>
      <c r="K187" s="92" t="n"/>
      <c r="L187" s="57" t="n">
        <v>1</v>
      </c>
      <c r="M187" s="43" t="inlineStr">
        <is>
          <t>Quick Spot</t>
        </is>
      </c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  <c r="Z187" s="57" t="n"/>
      <c r="AA187" s="57" t="n"/>
      <c r="AB187" s="57" t="n"/>
      <c r="AC187" s="57" t="n"/>
      <c r="AD187" s="57" t="n"/>
      <c r="AE187" s="57" t="n"/>
      <c r="AF187" s="57" t="n"/>
      <c r="AG187" s="57" t="n"/>
      <c r="AH187" s="57" t="n"/>
      <c r="AI187" s="57" t="n"/>
      <c r="AJ187" s="57" t="n"/>
      <c r="AK187" s="57" t="n"/>
      <c r="AL187" s="57" t="n"/>
      <c r="AM187" s="57" t="n"/>
      <c r="AN187" s="57" t="n"/>
      <c r="AO187" s="57" t="n"/>
      <c r="AP187" s="57" t="n"/>
      <c r="AQ187" s="57" t="n"/>
      <c r="AR187" s="57" t="n"/>
      <c r="AS187" s="57" t="n"/>
      <c r="AT187" s="57" t="n"/>
      <c r="CI187" s="81" t="inlineStr">
        <is>
          <t>C</t>
        </is>
      </c>
      <c r="CJ187" s="81" t="inlineStr">
        <is>
          <t>Fires much faster, marks more often</t>
        </is>
      </c>
    </row>
    <row r="188">
      <c r="A188" s="43" t="inlineStr">
        <is>
          <t>Longshot Perch</t>
        </is>
      </c>
      <c r="B188" s="43" t="inlineStr">
        <is>
          <t>Spotter</t>
        </is>
      </c>
      <c r="C188" s="43" t="inlineStr">
        <is>
          <t>rate</t>
        </is>
      </c>
      <c r="D188" s="56" t="n">
        <v>5</v>
      </c>
      <c r="E188" s="56">
        <f>E29</f>
        <v/>
      </c>
      <c r="F188" s="56">
        <f>F29</f>
        <v/>
      </c>
      <c r="G188" s="57" t="n">
        <v>1.3</v>
      </c>
      <c r="H188" s="57" t="n">
        <v>1.35</v>
      </c>
      <c r="I188" s="57" t="n">
        <v>1</v>
      </c>
      <c r="J188" s="92" t="n"/>
      <c r="K188" s="92" t="n"/>
      <c r="L188" s="57" t="n">
        <v>1</v>
      </c>
      <c r="M188" s="43" t="inlineStr">
        <is>
          <t>Spotter Network</t>
        </is>
      </c>
      <c r="N188" s="57" t="n"/>
      <c r="O188" s="57" t="n"/>
      <c r="P188" s="57" t="n"/>
      <c r="Q188" s="57" t="n"/>
      <c r="R188" s="57" t="n"/>
      <c r="S188" s="57" t="n"/>
      <c r="T188" s="57" t="n">
        <v>45</v>
      </c>
      <c r="U188" s="57" t="n"/>
      <c r="V188" s="57" t="n"/>
      <c r="W188" s="57" t="n"/>
      <c r="X188" s="57" t="n"/>
      <c r="Y188" s="57" t="n"/>
      <c r="Z188" s="57" t="n"/>
      <c r="AA188" s="57" t="n"/>
      <c r="AB188" s="57" t="n"/>
      <c r="AC188" s="57" t="n">
        <v>15</v>
      </c>
      <c r="AD188" s="57" t="n"/>
      <c r="AE188" s="57" t="n"/>
      <c r="AF188" s="57" t="n"/>
      <c r="AG188" s="57" t="n"/>
      <c r="AH188" s="57" t="n"/>
      <c r="AI188" s="57" t="n"/>
      <c r="AJ188" s="57" t="n"/>
      <c r="AK188" s="57" t="n"/>
      <c r="AL188" s="57" t="n"/>
      <c r="AM188" s="57" t="n"/>
      <c r="AN188" s="57" t="n"/>
      <c r="AO188" s="57" t="n"/>
      <c r="AP188" s="57" t="n"/>
      <c r="AQ188" s="57" t="n"/>
      <c r="AR188" s="57" t="n"/>
      <c r="AS188" s="57" t="n"/>
      <c r="AT188" s="57" t="n"/>
      <c r="CI188" s="81" t="inlineStr">
        <is>
          <t>B</t>
        </is>
      </c>
      <c r="CJ188" s="81" t="inlineStr">
        <is>
          <t>Towers in range hit 15% harder</t>
        </is>
      </c>
    </row>
    <row r="189">
      <c r="A189" s="43" t="inlineStr">
        <is>
          <t>Longshot Perch</t>
        </is>
      </c>
      <c r="B189" s="43" t="inlineStr">
        <is>
          <t>Spotter</t>
        </is>
      </c>
      <c r="C189" s="43" t="inlineStr">
        <is>
          <t>rate</t>
        </is>
      </c>
      <c r="D189" s="56" t="n">
        <v>5</v>
      </c>
      <c r="E189" s="56">
        <f>E29</f>
        <v/>
      </c>
      <c r="F189" s="56">
        <f>F29</f>
        <v/>
      </c>
      <c r="G189" s="57" t="n">
        <v>1.35</v>
      </c>
      <c r="H189" s="57" t="n">
        <v>1.4</v>
      </c>
      <c r="I189" s="57" t="n">
        <v>1</v>
      </c>
      <c r="J189" s="92" t="n"/>
      <c r="K189" s="92" t="n"/>
      <c r="L189" s="57" t="n">
        <v>1</v>
      </c>
      <c r="M189" s="43" t="inlineStr">
        <is>
          <t>Kill Order</t>
        </is>
      </c>
      <c r="N189" s="57" t="n"/>
      <c r="O189" s="57" t="n"/>
      <c r="P189" s="57" t="n"/>
      <c r="Q189" s="57" t="n"/>
      <c r="R189" s="57" t="n"/>
      <c r="S189" s="57" t="n"/>
      <c r="T189" s="57" t="n">
        <v>50</v>
      </c>
      <c r="U189" s="57" t="n"/>
      <c r="V189" s="57" t="n"/>
      <c r="W189" s="57" t="n"/>
      <c r="X189" s="57" t="n"/>
      <c r="Y189" s="57" t="n"/>
      <c r="Z189" s="57" t="n"/>
      <c r="AA189" s="57" t="n"/>
      <c r="AB189" s="57" t="n"/>
      <c r="AC189" s="57" t="n"/>
      <c r="AD189" s="57" t="n"/>
      <c r="AE189" s="57" t="n"/>
      <c r="AF189" s="57" t="n"/>
      <c r="AG189" s="57" t="n"/>
      <c r="AH189" s="57" t="n"/>
      <c r="AI189" s="57" t="n"/>
      <c r="AJ189" s="57" t="n"/>
      <c r="AK189" s="57" t="n"/>
      <c r="AL189" s="57" t="n"/>
      <c r="AM189" s="57" t="n"/>
      <c r="AN189" s="57" t="n"/>
      <c r="AO189" s="57" t="n"/>
      <c r="AP189" s="57" t="n"/>
      <c r="AQ189" s="57" t="n"/>
      <c r="AR189" s="57" t="n"/>
      <c r="AS189" s="57" t="n"/>
      <c r="AT189" s="57" t="n"/>
      <c r="BX189" s="81" t="n">
        <v>40</v>
      </c>
      <c r="CI189" s="81" t="inlineStr">
        <is>
          <t>C</t>
        </is>
      </c>
      <c r="CJ189" s="81" t="inlineStr">
        <is>
          <t>Every boss in range takes +40%</t>
        </is>
      </c>
    </row>
    <row r="190">
      <c r="A190" s="43" t="inlineStr">
        <is>
          <t>Longshot Perch</t>
        </is>
      </c>
      <c r="B190" s="43" t="inlineStr">
        <is>
          <t>Big Bore</t>
        </is>
      </c>
      <c r="C190" s="43" t="inlineStr">
        <is>
          <t>damage</t>
        </is>
      </c>
      <c r="D190" s="56" t="n">
        <v>4</v>
      </c>
      <c r="E190" s="56">
        <f>E33</f>
        <v/>
      </c>
      <c r="F190" s="56">
        <f>F33</f>
        <v/>
      </c>
      <c r="G190" s="57" t="n">
        <v>1.7</v>
      </c>
      <c r="H190" s="57" t="n">
        <v>1</v>
      </c>
      <c r="I190" s="57" t="n">
        <v>1</v>
      </c>
      <c r="J190" s="92" t="n"/>
      <c r="K190" s="92" t="n"/>
      <c r="L190" s="57" t="n">
        <v>1</v>
      </c>
      <c r="M190" s="43" t="inlineStr">
        <is>
          <t>Elephant Gun</t>
        </is>
      </c>
      <c r="N190" s="57" t="n"/>
      <c r="O190" s="57" t="n"/>
      <c r="P190" s="57" t="n">
        <v>2</v>
      </c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  <c r="Z190" s="57" t="n"/>
      <c r="AA190" s="57" t="n"/>
      <c r="AB190" s="57" t="n"/>
      <c r="AC190" s="57" t="n"/>
      <c r="AD190" s="57" t="n"/>
      <c r="AE190" s="57" t="n"/>
      <c r="AF190" s="57" t="n"/>
      <c r="AG190" s="57" t="n"/>
      <c r="AH190" s="57" t="n"/>
      <c r="AI190" s="57" t="n"/>
      <c r="AJ190" s="57" t="n"/>
      <c r="AK190" s="57" t="n"/>
      <c r="AL190" s="57" t="n"/>
      <c r="AM190" s="57" t="n"/>
      <c r="AN190" s="57" t="n"/>
      <c r="AO190" s="57" t="n"/>
      <c r="AP190" s="57" t="n"/>
      <c r="AQ190" s="57" t="n"/>
      <c r="AR190" s="57" t="n"/>
      <c r="AS190" s="57" t="n"/>
      <c r="AT190" s="57" t="n"/>
      <c r="BJ190" s="105" t="n"/>
      <c r="CI190" s="81" t="inlineStr">
        <is>
          <t>B</t>
        </is>
      </c>
      <c r="CJ190" s="81" t="inlineStr">
        <is>
          <t>Twice the damage against bosses</t>
        </is>
      </c>
    </row>
    <row r="191">
      <c r="A191" s="43" t="inlineStr">
        <is>
          <t>Longshot Perch</t>
        </is>
      </c>
      <c r="B191" s="43" t="inlineStr">
        <is>
          <t>Big Bore</t>
        </is>
      </c>
      <c r="C191" s="43" t="inlineStr">
        <is>
          <t>damage</t>
        </is>
      </c>
      <c r="D191" s="56" t="n">
        <v>4</v>
      </c>
      <c r="E191" s="56">
        <f>E33</f>
        <v/>
      </c>
      <c r="F191" s="56">
        <f>F33</f>
        <v/>
      </c>
      <c r="G191" s="57" t="n">
        <v>2.8</v>
      </c>
      <c r="H191" s="57" t="n">
        <v>1</v>
      </c>
      <c r="I191" s="57" t="n">
        <v>1</v>
      </c>
      <c r="J191" s="92" t="n"/>
      <c r="K191" s="92" t="n"/>
      <c r="L191" s="57" t="n">
        <v>1</v>
      </c>
      <c r="M191" s="43" t="inlineStr">
        <is>
          <t>Knockdown Round</t>
        </is>
      </c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>
        <v>4</v>
      </c>
      <c r="X191" s="57" t="n"/>
      <c r="Y191" s="57" t="n"/>
      <c r="Z191" s="57" t="n"/>
      <c r="AA191" s="57" t="n"/>
      <c r="AB191" s="57" t="n"/>
      <c r="AC191" s="57" t="n"/>
      <c r="AD191" s="57" t="n"/>
      <c r="AE191" s="57" t="n"/>
      <c r="AF191" s="57" t="n"/>
      <c r="AG191" s="57" t="n"/>
      <c r="AH191" s="57" t="n"/>
      <c r="AI191" s="57" t="n"/>
      <c r="AJ191" s="57" t="n"/>
      <c r="AK191" s="57" t="n"/>
      <c r="AL191" s="57" t="n"/>
      <c r="AM191" s="57" t="n"/>
      <c r="AN191" s="57" t="n"/>
      <c r="AO191" s="57" t="n"/>
      <c r="AP191" s="57" t="n"/>
      <c r="AQ191" s="57" t="n"/>
      <c r="AR191" s="57" t="n"/>
      <c r="AS191" s="57" t="n"/>
      <c r="AT191" s="57" t="n"/>
      <c r="BJ191" s="105" t="n">
        <v>3</v>
      </c>
      <c r="CI191" s="81" t="inlineStr">
        <is>
          <t>C</t>
        </is>
      </c>
      <c r="CJ191" s="81" t="inlineStr">
        <is>
          <t>Knocks the hit dino 4 studs back</t>
        </is>
      </c>
    </row>
    <row r="192">
      <c r="A192" s="43" t="inlineStr">
        <is>
          <t>Longshot Perch</t>
        </is>
      </c>
      <c r="B192" s="43" t="inlineStr">
        <is>
          <t>Big Bore</t>
        </is>
      </c>
      <c r="C192" s="43" t="inlineStr">
        <is>
          <t>damage</t>
        </is>
      </c>
      <c r="D192" s="56" t="n">
        <v>5</v>
      </c>
      <c r="E192" s="56">
        <f>E34</f>
        <v/>
      </c>
      <c r="F192" s="56">
        <f>F34</f>
        <v/>
      </c>
      <c r="G192" s="57" t="n">
        <v>1.9</v>
      </c>
      <c r="H192" s="57" t="n">
        <v>1</v>
      </c>
      <c r="I192" s="57" t="n">
        <v>1</v>
      </c>
      <c r="J192" s="92" t="n"/>
      <c r="K192" s="92" t="n"/>
      <c r="L192" s="57" t="n">
        <v>1</v>
      </c>
      <c r="M192" s="43" t="inlineStr">
        <is>
          <t>Bone Splitter</t>
        </is>
      </c>
      <c r="N192" s="57" t="n"/>
      <c r="O192" s="57" t="n"/>
      <c r="P192" s="57" t="n">
        <v>1.6</v>
      </c>
      <c r="Q192" s="57" t="n"/>
      <c r="R192" s="57" t="n"/>
      <c r="S192" s="57" t="n"/>
      <c r="T192" s="57" t="n"/>
      <c r="U192" s="57" t="n"/>
      <c r="V192" s="46" t="n"/>
      <c r="W192" s="57" t="n"/>
      <c r="X192" s="57" t="n"/>
      <c r="Y192" s="57" t="n"/>
      <c r="Z192" s="57" t="n"/>
      <c r="AA192" s="57" t="n"/>
      <c r="AB192" s="57" t="n"/>
      <c r="AC192" s="57" t="n"/>
      <c r="AD192" s="57" t="n"/>
      <c r="AE192" s="57" t="n"/>
      <c r="AF192" s="57" t="n"/>
      <c r="AG192" s="57" t="n"/>
      <c r="AH192" s="57" t="n"/>
      <c r="AI192" s="57" t="n"/>
      <c r="AJ192" s="57" t="n"/>
      <c r="AK192" s="57" t="n"/>
      <c r="AL192" s="57" t="n"/>
      <c r="AM192" s="57" t="n"/>
      <c r="AN192" s="57" t="n"/>
      <c r="AO192" s="57" t="n"/>
      <c r="AP192" s="57" t="n"/>
      <c r="AQ192" s="57" t="n"/>
      <c r="AR192" s="57" t="n"/>
      <c r="AS192" s="57" t="n"/>
      <c r="AT192" s="57" t="n"/>
      <c r="BJ192" s="105" t="n">
        <v>5</v>
      </c>
      <c r="CI192" s="81" t="inlineStr">
        <is>
          <t>B</t>
        </is>
      </c>
      <c r="CJ192" s="81" t="inlineStr">
        <is>
          <t>Each shot shrinks a dino 5 sizes</t>
        </is>
      </c>
    </row>
    <row r="193">
      <c r="A193" s="43" t="inlineStr">
        <is>
          <t>Longshot Perch</t>
        </is>
      </c>
      <c r="B193" s="43" t="inlineStr">
        <is>
          <t>Big Bore</t>
        </is>
      </c>
      <c r="C193" s="43" t="inlineStr">
        <is>
          <t>damage</t>
        </is>
      </c>
      <c r="D193" s="56" t="n">
        <v>5</v>
      </c>
      <c r="E193" s="56">
        <f>E34</f>
        <v/>
      </c>
      <c r="F193" s="56">
        <f>F34</f>
        <v/>
      </c>
      <c r="G193" s="57" t="n">
        <v>2.3</v>
      </c>
      <c r="H193" s="57" t="n">
        <v>1</v>
      </c>
      <c r="I193" s="57" t="n">
        <v>1</v>
      </c>
      <c r="J193" s="92" t="n"/>
      <c r="K193" s="92" t="n"/>
      <c r="L193" s="57" t="n">
        <v>1</v>
      </c>
      <c r="M193" s="43" t="inlineStr">
        <is>
          <t>Hammer Shot</t>
        </is>
      </c>
      <c r="N193" s="57" t="n"/>
      <c r="O193" s="57" t="n"/>
      <c r="P193" s="57" t="n"/>
      <c r="Q193" s="57" t="n"/>
      <c r="R193" s="57" t="n"/>
      <c r="S193" s="57" t="n"/>
      <c r="T193" s="57" t="n"/>
      <c r="U193" s="57" t="n">
        <v>1.2</v>
      </c>
      <c r="V193" s="46" t="n"/>
      <c r="W193" s="57" t="n">
        <v>6</v>
      </c>
      <c r="X193" s="57" t="n"/>
      <c r="Y193" s="57" t="n"/>
      <c r="Z193" s="57" t="n"/>
      <c r="AA193" s="57" t="n"/>
      <c r="AB193" s="57" t="n"/>
      <c r="AC193" s="57" t="n"/>
      <c r="AD193" s="57" t="n"/>
      <c r="AE193" s="57" t="n"/>
      <c r="AF193" s="57" t="n"/>
      <c r="AG193" s="57" t="n"/>
      <c r="AH193" s="57" t="n"/>
      <c r="AI193" s="57" t="n"/>
      <c r="AJ193" s="57" t="n"/>
      <c r="AK193" s="57" t="n"/>
      <c r="AL193" s="57" t="n"/>
      <c r="AM193" s="57" t="n"/>
      <c r="AN193" s="57" t="n"/>
      <c r="AO193" s="57" t="n"/>
      <c r="AP193" s="57" t="n"/>
      <c r="AQ193" s="57" t="n"/>
      <c r="AR193" s="57" t="n"/>
      <c r="AS193" s="57" t="n"/>
      <c r="AT193" s="57" t="n"/>
      <c r="BJ193" s="105" t="n"/>
      <c r="CI193" s="81" t="inlineStr">
        <is>
          <t>C</t>
        </is>
      </c>
      <c r="CJ193" s="81" t="inlineStr">
        <is>
          <t>Stuns 1.2 s and knocks 6 studs back</t>
        </is>
      </c>
    </row>
    <row r="194">
      <c r="A194" s="43" t="inlineStr">
        <is>
          <t>Mortar Pit</t>
        </is>
      </c>
      <c r="B194" s="43" t="inlineStr">
        <is>
          <t>Blast</t>
        </is>
      </c>
      <c r="C194" s="43" t="inlineStr">
        <is>
          <t>targets</t>
        </is>
      </c>
      <c r="D194" s="56" t="n">
        <v>4</v>
      </c>
      <c r="E194" s="56">
        <f>E38</f>
        <v/>
      </c>
      <c r="F194" s="56">
        <f>F38</f>
        <v/>
      </c>
      <c r="G194" s="57" t="n">
        <v>1.3</v>
      </c>
      <c r="H194" s="57" t="n">
        <v>1</v>
      </c>
      <c r="I194" s="57" t="n">
        <v>1.4</v>
      </c>
      <c r="J194" s="92" t="n"/>
      <c r="K194" s="92" t="n"/>
      <c r="L194" s="57" t="n">
        <v>1</v>
      </c>
      <c r="M194" s="43" t="inlineStr">
        <is>
          <t>Big Shell</t>
        </is>
      </c>
      <c r="N194" s="57" t="n"/>
      <c r="O194" s="57" t="n"/>
      <c r="P194" s="57" t="n"/>
      <c r="Q194" s="57" t="n"/>
      <c r="R194" s="57" t="n"/>
      <c r="S194" s="57" t="n">
        <v>1.3</v>
      </c>
      <c r="T194" s="57" t="n"/>
      <c r="U194" s="57" t="n"/>
      <c r="V194" s="57" t="n"/>
      <c r="W194" s="57" t="n"/>
      <c r="X194" s="57" t="n"/>
      <c r="Y194" s="57" t="n"/>
      <c r="Z194" s="57" t="n"/>
      <c r="AA194" s="57" t="n"/>
      <c r="AB194" s="57" t="n"/>
      <c r="AC194" s="57" t="n"/>
      <c r="AD194" s="57" t="n"/>
      <c r="AE194" s="57" t="n"/>
      <c r="AF194" s="57" t="n"/>
      <c r="AG194" s="57" t="n"/>
      <c r="AH194" s="57" t="n"/>
      <c r="AI194" s="57" t="n"/>
      <c r="AJ194" s="57" t="n"/>
      <c r="AK194" s="57" t="n"/>
      <c r="AL194" s="57" t="n"/>
      <c r="AM194" s="57" t="n"/>
      <c r="AN194" s="57" t="n"/>
      <c r="AO194" s="57" t="n"/>
      <c r="AP194" s="57" t="n"/>
      <c r="AQ194" s="57" t="n"/>
      <c r="AR194" s="57" t="n"/>
      <c r="AS194" s="57" t="n"/>
      <c r="AT194" s="57" t="n"/>
      <c r="CI194" s="81" t="inlineStr">
        <is>
          <t>B</t>
        </is>
      </c>
      <c r="CJ194" s="81" t="inlineStr">
        <is>
          <t>Much bigger blasts</t>
        </is>
      </c>
    </row>
    <row r="195">
      <c r="A195" s="43" t="inlineStr">
        <is>
          <t>Mortar Pit</t>
        </is>
      </c>
      <c r="B195" s="43" t="inlineStr">
        <is>
          <t>Blast</t>
        </is>
      </c>
      <c r="C195" s="43" t="inlineStr">
        <is>
          <t>targets</t>
        </is>
      </c>
      <c r="D195" s="56" t="n">
        <v>4</v>
      </c>
      <c r="E195" s="56">
        <f>E38</f>
        <v/>
      </c>
      <c r="F195" s="56">
        <f>F38</f>
        <v/>
      </c>
      <c r="G195" s="57" t="n">
        <v>1.4</v>
      </c>
      <c r="H195" s="57" t="n">
        <v>1</v>
      </c>
      <c r="I195" s="57" t="n">
        <v>1.3</v>
      </c>
      <c r="J195" s="92" t="n"/>
      <c r="K195" s="92" t="n"/>
      <c r="L195" s="57" t="n">
        <v>1</v>
      </c>
      <c r="M195" s="43" t="inlineStr">
        <is>
          <t>White Phosphorus</t>
        </is>
      </c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>
        <v>3</v>
      </c>
      <c r="Y195" s="57" t="n">
        <v>2</v>
      </c>
      <c r="Z195" s="57" t="n"/>
      <c r="AA195" s="57" t="n"/>
      <c r="AB195" s="57" t="n"/>
      <c r="AC195" s="57" t="n"/>
      <c r="AD195" s="57" t="n"/>
      <c r="AE195" s="57" t="n"/>
      <c r="AF195" s="57" t="n"/>
      <c r="AG195" s="57" t="n"/>
      <c r="AH195" s="57" t="n"/>
      <c r="AI195" s="57" t="n"/>
      <c r="AJ195" s="57" t="n"/>
      <c r="AK195" s="57" t="n"/>
      <c r="AL195" s="57" t="n"/>
      <c r="AM195" s="57" t="n"/>
      <c r="AN195" s="57" t="n"/>
      <c r="AO195" s="57" t="n"/>
      <c r="AP195" s="57" t="n"/>
      <c r="AQ195" s="57" t="n"/>
      <c r="AR195" s="57" t="n"/>
      <c r="AS195" s="57" t="n"/>
      <c r="AT195" s="57" t="n"/>
      <c r="CI195" s="81" t="inlineStr">
        <is>
          <t>C</t>
        </is>
      </c>
      <c r="CJ195" s="81" t="inlineStr">
        <is>
          <t>A short, very hot burning patch</t>
        </is>
      </c>
    </row>
    <row r="196">
      <c r="A196" s="43" t="inlineStr">
        <is>
          <t>Mortar Pit</t>
        </is>
      </c>
      <c r="B196" s="43" t="inlineStr">
        <is>
          <t>Blast</t>
        </is>
      </c>
      <c r="C196" s="43" t="inlineStr">
        <is>
          <t>targets</t>
        </is>
      </c>
      <c r="D196" s="56" t="n">
        <v>5</v>
      </c>
      <c r="E196" s="56">
        <f>E39</f>
        <v/>
      </c>
      <c r="F196" s="56">
        <f>F39</f>
        <v/>
      </c>
      <c r="G196" s="57" t="n">
        <v>1.5</v>
      </c>
      <c r="H196" s="57" t="n">
        <v>1</v>
      </c>
      <c r="I196" s="57" t="n">
        <v>1.4</v>
      </c>
      <c r="J196" s="92" t="n"/>
      <c r="K196" s="92" t="n"/>
      <c r="L196" s="57" t="n">
        <v>1</v>
      </c>
      <c r="M196" s="43" t="inlineStr">
        <is>
          <t>Blast Furnace</t>
        </is>
      </c>
      <c r="N196" s="57" t="n"/>
      <c r="O196" s="57" t="n"/>
      <c r="P196" s="57" t="n"/>
      <c r="Q196" s="57" t="n"/>
      <c r="R196" s="57" t="n"/>
      <c r="S196" s="57" t="n">
        <v>1.3</v>
      </c>
      <c r="T196" s="57" t="n"/>
      <c r="U196" s="57" t="n"/>
      <c r="V196" s="57" t="n"/>
      <c r="W196" s="57" t="n"/>
      <c r="X196" s="57" t="n"/>
      <c r="Y196" s="57" t="n"/>
      <c r="Z196" s="57" t="n"/>
      <c r="AA196" s="57" t="n"/>
      <c r="AB196" s="57" t="n"/>
      <c r="AC196" s="57" t="n"/>
      <c r="AD196" s="57" t="n"/>
      <c r="AE196" s="57" t="n"/>
      <c r="AF196" s="57" t="n"/>
      <c r="AG196" s="57" t="n"/>
      <c r="AH196" s="57" t="n"/>
      <c r="AI196" s="57" t="n"/>
      <c r="AJ196" s="57" t="n"/>
      <c r="AK196" s="57" t="n"/>
      <c r="AL196" s="57" t="n"/>
      <c r="AM196" s="57" t="n"/>
      <c r="AN196" s="57" t="n"/>
      <c r="AO196" s="57" t="n"/>
      <c r="AP196" s="57" t="n"/>
      <c r="AQ196" s="57" t="n"/>
      <c r="AR196" s="57" t="n"/>
      <c r="AS196" s="57" t="n"/>
      <c r="AT196" s="57" t="n"/>
      <c r="CI196" s="81" t="inlineStr">
        <is>
          <t>B</t>
        </is>
      </c>
      <c r="CJ196" s="81" t="inlineStr">
        <is>
          <t>Huge blasts that hit harder</t>
        </is>
      </c>
    </row>
    <row r="197">
      <c r="A197" s="43" t="inlineStr">
        <is>
          <t>Mortar Pit</t>
        </is>
      </c>
      <c r="B197" s="43" t="inlineStr">
        <is>
          <t>Blast</t>
        </is>
      </c>
      <c r="C197" s="43" t="inlineStr">
        <is>
          <t>targets</t>
        </is>
      </c>
      <c r="D197" s="56" t="n">
        <v>5</v>
      </c>
      <c r="E197" s="56">
        <f>E39</f>
        <v/>
      </c>
      <c r="F197" s="56">
        <f>F39</f>
        <v/>
      </c>
      <c r="G197" s="57" t="n">
        <v>1.45</v>
      </c>
      <c r="H197" s="57" t="n">
        <v>1</v>
      </c>
      <c r="I197" s="57" t="n">
        <v>1.3</v>
      </c>
      <c r="J197" s="92" t="n"/>
      <c r="K197" s="92" t="n"/>
      <c r="L197" s="57" t="n">
        <v>1</v>
      </c>
      <c r="M197" s="43" t="inlineStr">
        <is>
          <t>Inferno Shell</t>
        </is>
      </c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>
        <v>6</v>
      </c>
      <c r="Y197" s="57" t="n">
        <v>4</v>
      </c>
      <c r="Z197" s="57" t="n"/>
      <c r="AA197" s="57" t="n"/>
      <c r="AB197" s="57" t="n"/>
      <c r="AC197" s="57" t="n"/>
      <c r="AD197" s="57" t="n"/>
      <c r="AE197" s="57" t="n"/>
      <c r="AF197" s="57" t="n"/>
      <c r="AG197" s="57" t="n"/>
      <c r="AH197" s="57" t="n"/>
      <c r="AI197" s="57" t="n"/>
      <c r="AJ197" s="57" t="n"/>
      <c r="AK197" s="57" t="n"/>
      <c r="AL197" s="57" t="n"/>
      <c r="AM197" s="57" t="n"/>
      <c r="AN197" s="57" t="n"/>
      <c r="AO197" s="57" t="n"/>
      <c r="AP197" s="57" t="n"/>
      <c r="AQ197" s="57" t="n"/>
      <c r="AR197" s="57" t="n"/>
      <c r="AS197" s="57" t="n"/>
      <c r="AT197" s="57" t="n"/>
      <c r="CI197" s="81" t="inlineStr">
        <is>
          <t>C</t>
        </is>
      </c>
      <c r="CJ197" s="81" t="inlineStr">
        <is>
          <t>Patches burn twice as hot</t>
        </is>
      </c>
    </row>
    <row r="198">
      <c r="A198" s="43" t="inlineStr">
        <is>
          <t>Mortar Pit</t>
        </is>
      </c>
      <c r="B198" s="43" t="inlineStr">
        <is>
          <t>Cluster</t>
        </is>
      </c>
      <c r="C198" s="43" t="inlineStr">
        <is>
          <t>targets</t>
        </is>
      </c>
      <c r="D198" s="56" t="n">
        <v>4</v>
      </c>
      <c r="E198" s="56">
        <f>E43</f>
        <v/>
      </c>
      <c r="F198" s="56">
        <f>F43</f>
        <v/>
      </c>
      <c r="G198" s="57" t="n">
        <v>1.4</v>
      </c>
      <c r="H198" s="57" t="n">
        <v>1</v>
      </c>
      <c r="I198" s="57" t="n">
        <v>1.3</v>
      </c>
      <c r="J198" s="92" t="n"/>
      <c r="K198" s="92" t="n"/>
      <c r="L198" s="57" t="n">
        <v>1</v>
      </c>
      <c r="M198" s="43" t="inlineStr">
        <is>
          <t>Fire Bomblets</t>
        </is>
      </c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>
        <v>2</v>
      </c>
      <c r="Y198" s="57" t="n">
        <v>2</v>
      </c>
      <c r="Z198" s="57" t="n"/>
      <c r="AA198" s="57" t="n"/>
      <c r="AB198" s="57" t="n"/>
      <c r="AC198" s="57" t="n"/>
      <c r="AD198" s="57" t="n"/>
      <c r="AE198" s="57" t="n"/>
      <c r="AF198" s="57" t="n"/>
      <c r="AG198" s="57" t="n"/>
      <c r="AH198" s="57" t="n"/>
      <c r="AI198" s="57" t="n"/>
      <c r="AJ198" s="57" t="n"/>
      <c r="AK198" s="57" t="n"/>
      <c r="AL198" s="57" t="n"/>
      <c r="AM198" s="57" t="n"/>
      <c r="AN198" s="57" t="n"/>
      <c r="AO198" s="57" t="n"/>
      <c r="AP198" s="57" t="n"/>
      <c r="AQ198" s="57" t="n"/>
      <c r="AR198" s="57" t="n"/>
      <c r="AS198" s="57" t="n"/>
      <c r="AT198" s="57" t="n"/>
      <c r="CI198" s="81" t="inlineStr">
        <is>
          <t>B</t>
        </is>
      </c>
      <c r="CJ198" s="81" t="inlineStr">
        <is>
          <t>Bomblets leave small fires</t>
        </is>
      </c>
    </row>
    <row r="199">
      <c r="A199" s="43" t="inlineStr">
        <is>
          <t>Mortar Pit</t>
        </is>
      </c>
      <c r="B199" s="43" t="inlineStr">
        <is>
          <t>Cluster</t>
        </is>
      </c>
      <c r="C199" s="43" t="inlineStr">
        <is>
          <t>targets</t>
        </is>
      </c>
      <c r="D199" s="56" t="n">
        <v>4</v>
      </c>
      <c r="E199" s="56">
        <f>E43</f>
        <v/>
      </c>
      <c r="F199" s="56">
        <f>F43</f>
        <v/>
      </c>
      <c r="G199" s="57" t="n">
        <v>1.3</v>
      </c>
      <c r="H199" s="57" t="n">
        <v>1</v>
      </c>
      <c r="I199" s="57" t="n">
        <v>1.45</v>
      </c>
      <c r="J199" s="92" t="n"/>
      <c r="K199" s="92" t="n"/>
      <c r="L199" s="57" t="n">
        <v>1</v>
      </c>
      <c r="M199" s="43" t="inlineStr">
        <is>
          <t>Wide Scatter</t>
        </is>
      </c>
      <c r="N199" s="57" t="n"/>
      <c r="O199" s="57" t="n"/>
      <c r="P199" s="57" t="n"/>
      <c r="Q199" s="57" t="n"/>
      <c r="R199" s="57" t="n"/>
      <c r="S199" s="57" t="n">
        <v>1.3</v>
      </c>
      <c r="T199" s="57" t="n"/>
      <c r="U199" s="57" t="n"/>
      <c r="V199" s="57" t="n"/>
      <c r="W199" s="57" t="n"/>
      <c r="X199" s="57" t="n"/>
      <c r="Y199" s="57" t="n"/>
      <c r="Z199" s="57" t="n"/>
      <c r="AA199" s="57" t="n"/>
      <c r="AB199" s="57" t="n"/>
      <c r="AC199" s="57" t="n"/>
      <c r="AD199" s="57" t="n"/>
      <c r="AE199" s="57" t="n"/>
      <c r="AF199" s="57" t="n"/>
      <c r="AG199" s="57" t="n"/>
      <c r="AH199" s="57" t="n"/>
      <c r="AI199" s="57" t="n"/>
      <c r="AJ199" s="57" t="n"/>
      <c r="AK199" s="57" t="n"/>
      <c r="AL199" s="57" t="n"/>
      <c r="AM199" s="57" t="n"/>
      <c r="AN199" s="57" t="n"/>
      <c r="AO199" s="57" t="n"/>
      <c r="AP199" s="57" t="n"/>
      <c r="AQ199" s="57" t="n"/>
      <c r="AR199" s="57" t="n"/>
      <c r="AS199" s="57" t="n"/>
      <c r="AT199" s="57" t="n"/>
      <c r="CI199" s="81" t="inlineStr">
        <is>
          <t>C</t>
        </is>
      </c>
      <c r="CJ199" s="81" t="inlineStr">
        <is>
          <t>Bomblets spread over a wider area</t>
        </is>
      </c>
    </row>
    <row r="200">
      <c r="A200" s="43" t="inlineStr">
        <is>
          <t>Mortar Pit</t>
        </is>
      </c>
      <c r="B200" s="43" t="inlineStr">
        <is>
          <t>Cluster</t>
        </is>
      </c>
      <c r="C200" s="43" t="inlineStr">
        <is>
          <t>targets</t>
        </is>
      </c>
      <c r="D200" s="56" t="n">
        <v>5</v>
      </c>
      <c r="E200" s="56">
        <f>E44</f>
        <v/>
      </c>
      <c r="F200" s="56">
        <f>F44</f>
        <v/>
      </c>
      <c r="G200" s="57" t="n">
        <v>1.4</v>
      </c>
      <c r="H200" s="57" t="n">
        <v>1</v>
      </c>
      <c r="I200" s="57" t="n">
        <v>1.35</v>
      </c>
      <c r="J200" s="92" t="n"/>
      <c r="K200" s="92" t="n"/>
      <c r="L200" s="57" t="n">
        <v>1</v>
      </c>
      <c r="M200" s="43" t="inlineStr">
        <is>
          <t>Firecracker Rain</t>
        </is>
      </c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  <c r="Z200" s="57" t="n"/>
      <c r="AA200" s="57" t="n">
        <v>3</v>
      </c>
      <c r="AB200" s="57" t="n"/>
      <c r="AC200" s="57" t="n"/>
      <c r="AD200" s="57" t="n"/>
      <c r="AE200" s="57" t="n"/>
      <c r="AF200" s="57" t="n"/>
      <c r="AG200" s="57" t="n"/>
      <c r="AH200" s="57" t="n"/>
      <c r="AI200" s="57" t="n"/>
      <c r="AJ200" s="57" t="n"/>
      <c r="AK200" s="57" t="n"/>
      <c r="AL200" s="57" t="n"/>
      <c r="AM200" s="57" t="n"/>
      <c r="AN200" s="57" t="n"/>
      <c r="AO200" s="57" t="n"/>
      <c r="AP200" s="57" t="n"/>
      <c r="AQ200" s="57" t="n"/>
      <c r="AR200" s="57" t="n"/>
      <c r="AS200" s="57" t="n"/>
      <c r="AT200" s="57" t="n"/>
      <c r="CI200" s="81" t="inlineStr">
        <is>
          <t>B</t>
        </is>
      </c>
      <c r="CJ200" s="81" t="inlineStr">
        <is>
          <t>Bomblets burst a third time</t>
        </is>
      </c>
    </row>
    <row r="201">
      <c r="A201" s="43" t="inlineStr">
        <is>
          <t>Mortar Pit</t>
        </is>
      </c>
      <c r="B201" s="43" t="inlineStr">
        <is>
          <t>Cluster</t>
        </is>
      </c>
      <c r="C201" s="43" t="inlineStr">
        <is>
          <t>targets</t>
        </is>
      </c>
      <c r="D201" s="56" t="n">
        <v>5</v>
      </c>
      <c r="E201" s="56">
        <f>E44</f>
        <v/>
      </c>
      <c r="F201" s="56">
        <f>F44</f>
        <v/>
      </c>
      <c r="G201" s="57" t="n">
        <v>1.45</v>
      </c>
      <c r="H201" s="57" t="n">
        <v>1</v>
      </c>
      <c r="I201" s="57" t="n">
        <v>1.3</v>
      </c>
      <c r="J201" s="92" t="n"/>
      <c r="K201" s="92" t="n"/>
      <c r="L201" s="57" t="n">
        <v>1</v>
      </c>
      <c r="M201" s="43" t="inlineStr">
        <is>
          <t>Thumper Shells</t>
        </is>
      </c>
      <c r="N201" s="57" t="n"/>
      <c r="O201" s="57" t="n"/>
      <c r="P201" s="57" t="n"/>
      <c r="Q201" s="57" t="n"/>
      <c r="R201" s="57" t="n"/>
      <c r="S201" s="57" t="n"/>
      <c r="T201" s="57" t="n"/>
      <c r="U201" s="57" t="n">
        <v>0.2</v>
      </c>
      <c r="V201" s="57" t="n"/>
      <c r="W201" s="57" t="n">
        <v>2</v>
      </c>
      <c r="X201" s="57" t="n"/>
      <c r="Y201" s="57" t="n"/>
      <c r="Z201" s="57" t="n"/>
      <c r="AA201" s="57" t="n"/>
      <c r="AB201" s="57" t="n"/>
      <c r="AC201" s="57" t="n"/>
      <c r="AD201" s="57" t="n"/>
      <c r="AE201" s="57" t="n"/>
      <c r="AF201" s="57" t="n"/>
      <c r="AG201" s="57" t="n"/>
      <c r="AH201" s="57" t="n"/>
      <c r="AI201" s="57" t="n"/>
      <c r="AJ201" s="57" t="n"/>
      <c r="AK201" s="57" t="n"/>
      <c r="AL201" s="57" t="n"/>
      <c r="AM201" s="57" t="n"/>
      <c r="AN201" s="57" t="n"/>
      <c r="AO201" s="57" t="n"/>
      <c r="AP201" s="57" t="n"/>
      <c r="AQ201" s="57" t="n"/>
      <c r="AR201" s="57" t="n"/>
      <c r="AS201" s="57" t="n"/>
      <c r="AT201" s="57" t="n"/>
      <c r="CI201" s="81" t="inlineStr">
        <is>
          <t>C</t>
        </is>
      </c>
      <c r="CJ201" s="81" t="inlineStr">
        <is>
          <t>Bomblets knock small dinos back</t>
        </is>
      </c>
    </row>
    <row r="202">
      <c r="A202" s="43" t="inlineStr">
        <is>
          <t>Mortar Pit</t>
        </is>
      </c>
      <c r="B202" s="43" t="inlineStr">
        <is>
          <t>Concussive</t>
        </is>
      </c>
      <c r="C202" s="43" t="inlineStr">
        <is>
          <t>damage</t>
        </is>
      </c>
      <c r="D202" s="56" t="n">
        <v>4</v>
      </c>
      <c r="E202" s="56">
        <f>E48</f>
        <v/>
      </c>
      <c r="F202" s="56">
        <f>F48</f>
        <v/>
      </c>
      <c r="G202" s="57" t="n">
        <v>1.8</v>
      </c>
      <c r="H202" s="57" t="n">
        <v>1</v>
      </c>
      <c r="I202" s="57" t="n">
        <v>1</v>
      </c>
      <c r="J202" s="92" t="n"/>
      <c r="K202" s="92" t="n"/>
      <c r="L202" s="57" t="n">
        <v>1</v>
      </c>
      <c r="M202" s="43" t="inlineStr">
        <is>
          <t>Aftershock</t>
        </is>
      </c>
      <c r="N202" s="46" t="n"/>
      <c r="O202" s="57" t="n"/>
      <c r="P202" s="57" t="n"/>
      <c r="Q202" s="57" t="n"/>
      <c r="R202" s="57" t="n"/>
      <c r="S202" s="57" t="n"/>
      <c r="T202" s="57" t="n"/>
      <c r="U202" s="57" t="n">
        <v>0.5</v>
      </c>
      <c r="V202" s="57" t="n"/>
      <c r="W202" s="57" t="n"/>
      <c r="X202" s="57" t="n"/>
      <c r="Y202" s="57" t="n"/>
      <c r="Z202" s="57" t="n"/>
      <c r="AA202" s="57" t="n"/>
      <c r="AB202" s="57" t="n"/>
      <c r="AC202" s="57" t="n"/>
      <c r="AD202" s="57" t="n"/>
      <c r="AE202" s="57" t="n"/>
      <c r="AF202" s="57" t="n"/>
      <c r="AG202" s="57" t="n"/>
      <c r="AH202" s="57" t="n"/>
      <c r="AI202" s="57" t="n"/>
      <c r="AJ202" s="57" t="n"/>
      <c r="AK202" s="57" t="n"/>
      <c r="AL202" s="57" t="n"/>
      <c r="AM202" s="57" t="n"/>
      <c r="AN202" s="57" t="n"/>
      <c r="AO202" s="57" t="n"/>
      <c r="AP202" s="57" t="n"/>
      <c r="AQ202" s="57" t="n"/>
      <c r="AR202" s="57" t="n"/>
      <c r="AS202" s="57" t="n"/>
      <c r="AT202" s="57" t="n"/>
      <c r="CI202" s="81" t="inlineStr">
        <is>
          <t>B</t>
        </is>
      </c>
      <c r="CJ202" s="81" t="inlineStr">
        <is>
          <t>Stuns hit dinos for half a second</t>
        </is>
      </c>
    </row>
    <row r="203">
      <c r="A203" s="43" t="inlineStr">
        <is>
          <t>Mortar Pit</t>
        </is>
      </c>
      <c r="B203" s="43" t="inlineStr">
        <is>
          <t>Concussive</t>
        </is>
      </c>
      <c r="C203" s="43" t="inlineStr">
        <is>
          <t>damage</t>
        </is>
      </c>
      <c r="D203" s="56" t="n">
        <v>4</v>
      </c>
      <c r="E203" s="56">
        <f>E48</f>
        <v/>
      </c>
      <c r="F203" s="56">
        <f>F48</f>
        <v/>
      </c>
      <c r="G203" s="57" t="n">
        <v>1.8</v>
      </c>
      <c r="H203" s="57" t="n">
        <v>1</v>
      </c>
      <c r="I203" s="57" t="n">
        <v>1</v>
      </c>
      <c r="J203" s="92" t="n"/>
      <c r="K203" s="92" t="n"/>
      <c r="L203" s="57" t="n">
        <v>1</v>
      </c>
      <c r="M203" s="43" t="inlineStr">
        <is>
          <t>Armour Splitter</t>
        </is>
      </c>
      <c r="N203" s="46" t="n"/>
      <c r="O203" s="57" t="n">
        <v>1.5</v>
      </c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  <c r="Z203" s="57" t="n"/>
      <c r="AA203" s="57" t="n"/>
      <c r="AB203" s="57" t="n"/>
      <c r="AC203" s="57" t="n"/>
      <c r="AD203" s="57" t="n"/>
      <c r="AE203" s="57" t="n"/>
      <c r="AF203" s="57" t="n"/>
      <c r="AG203" s="57" t="n"/>
      <c r="AH203" s="57" t="n"/>
      <c r="AI203" s="57" t="n"/>
      <c r="AJ203" s="57" t="n"/>
      <c r="AK203" s="57" t="n"/>
      <c r="AL203" s="57" t="n"/>
      <c r="AM203" s="57" t="inlineStr">
        <is>
          <t>Yes</t>
        </is>
      </c>
      <c r="AN203" s="57" t="n"/>
      <c r="AO203" s="57" t="n"/>
      <c r="AP203" s="57" t="n"/>
      <c r="AQ203" s="57" t="n"/>
      <c r="AR203" s="57" t="n"/>
      <c r="AS203" s="57" t="n"/>
      <c r="AT203" s="57" t="n"/>
      <c r="CI203" s="81" t="inlineStr">
        <is>
          <t>C</t>
        </is>
      </c>
      <c r="CJ203" s="81" t="inlineStr">
        <is>
          <t>Hit dinos lose their armour</t>
        </is>
      </c>
    </row>
    <row r="204">
      <c r="A204" s="43" t="inlineStr">
        <is>
          <t>Mortar Pit</t>
        </is>
      </c>
      <c r="B204" s="43" t="inlineStr">
        <is>
          <t>Concussive</t>
        </is>
      </c>
      <c r="C204" s="43" t="inlineStr">
        <is>
          <t>damage</t>
        </is>
      </c>
      <c r="D204" s="56" t="n">
        <v>5</v>
      </c>
      <c r="E204" s="56">
        <f>E49</f>
        <v/>
      </c>
      <c r="F204" s="56">
        <f>F49</f>
        <v/>
      </c>
      <c r="G204" s="57" t="n">
        <v>2.4</v>
      </c>
      <c r="H204" s="57" t="n">
        <v>1</v>
      </c>
      <c r="I204" s="57" t="n">
        <v>1</v>
      </c>
      <c r="J204" s="92" t="n"/>
      <c r="K204" s="92" t="n"/>
      <c r="L204" s="57" t="n">
        <v>1</v>
      </c>
      <c r="M204" s="43" t="inlineStr">
        <is>
          <t>Seismic Charge</t>
        </is>
      </c>
      <c r="N204" s="46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>
        <v>10</v>
      </c>
      <c r="X204" s="57" t="n"/>
      <c r="Y204" s="57" t="n"/>
      <c r="Z204" s="57" t="n"/>
      <c r="AA204" s="57" t="n"/>
      <c r="AB204" s="57" t="n"/>
      <c r="AC204" s="57" t="n"/>
      <c r="AD204" s="57" t="n"/>
      <c r="AE204" s="57" t="n"/>
      <c r="AF204" s="57" t="n"/>
      <c r="AG204" s="57" t="n"/>
      <c r="AH204" s="57" t="n"/>
      <c r="AI204" s="57" t="n"/>
      <c r="AJ204" s="57" t="n"/>
      <c r="AK204" s="57" t="n"/>
      <c r="AL204" s="57" t="n"/>
      <c r="AM204" s="57" t="n"/>
      <c r="AN204" s="57" t="n"/>
      <c r="AO204" s="57" t="n"/>
      <c r="AP204" s="57" t="n"/>
      <c r="AQ204" s="57" t="n"/>
      <c r="AR204" s="57" t="n"/>
      <c r="AS204" s="57" t="n"/>
      <c r="AT204" s="57" t="n"/>
      <c r="CI204" s="81" t="inlineStr">
        <is>
          <t>B</t>
        </is>
      </c>
      <c r="CJ204" s="81" t="inlineStr">
        <is>
          <t>Throws dinos 10 studs back</t>
        </is>
      </c>
    </row>
    <row r="205">
      <c r="A205" s="43" t="inlineStr">
        <is>
          <t>Mortar Pit</t>
        </is>
      </c>
      <c r="B205" s="43" t="inlineStr">
        <is>
          <t>Concussive</t>
        </is>
      </c>
      <c r="C205" s="43" t="inlineStr">
        <is>
          <t>damage</t>
        </is>
      </c>
      <c r="D205" s="56" t="n">
        <v>5</v>
      </c>
      <c r="E205" s="56">
        <f>E49</f>
        <v/>
      </c>
      <c r="F205" s="56">
        <f>F49</f>
        <v/>
      </c>
      <c r="G205" s="57" t="n">
        <v>2.3</v>
      </c>
      <c r="H205" s="57" t="n">
        <v>1</v>
      </c>
      <c r="I205" s="57" t="n">
        <v>1</v>
      </c>
      <c r="J205" s="92" t="n"/>
      <c r="K205" s="92" t="n"/>
      <c r="L205" s="57" t="n">
        <v>1</v>
      </c>
      <c r="M205" s="43" t="inlineStr">
        <is>
          <t>Rockfall</t>
        </is>
      </c>
      <c r="N205" s="46" t="n"/>
      <c r="O205" s="57" t="n"/>
      <c r="P205" s="57" t="n"/>
      <c r="Q205" s="57" t="n"/>
      <c r="R205" s="57" t="n"/>
      <c r="S205" s="57" t="n"/>
      <c r="T205" s="57" t="n"/>
      <c r="U205" s="57" t="n">
        <v>0.5</v>
      </c>
      <c r="V205" s="57" t="inlineStr">
        <is>
          <t>Yes</t>
        </is>
      </c>
      <c r="W205" s="57" t="n"/>
      <c r="X205" s="57" t="n"/>
      <c r="Y205" s="57" t="n"/>
      <c r="Z205" s="57" t="n"/>
      <c r="AA205" s="57" t="n"/>
      <c r="AB205" s="57" t="n"/>
      <c r="AC205" s="57" t="n"/>
      <c r="AD205" s="57" t="n"/>
      <c r="AE205" s="57" t="n"/>
      <c r="AF205" s="57" t="n"/>
      <c r="AG205" s="57" t="n"/>
      <c r="AH205" s="57" t="n"/>
      <c r="AI205" s="57" t="n"/>
      <c r="AJ205" s="57" t="n"/>
      <c r="AK205" s="57" t="n"/>
      <c r="AL205" s="57" t="n"/>
      <c r="AM205" s="57" t="n"/>
      <c r="AN205" s="57" t="n"/>
      <c r="AO205" s="57" t="n"/>
      <c r="AP205" s="57" t="n"/>
      <c r="AQ205" s="57" t="n"/>
      <c r="AR205" s="57" t="n"/>
      <c r="AS205" s="57" t="n"/>
      <c r="AT205" s="57" t="n"/>
      <c r="CI205" s="81" t="inlineStr">
        <is>
          <t>C</t>
        </is>
      </c>
      <c r="CJ205" s="81" t="inlineStr">
        <is>
          <t>A short stun that holds bosses too</t>
        </is>
      </c>
    </row>
    <row r="206">
      <c r="A206" s="81" t="inlineStr">
        <is>
          <t>Tranq Station</t>
        </is>
      </c>
      <c r="B206" s="81" t="inlineStr">
        <is>
          <t>Sedate</t>
        </is>
      </c>
      <c r="C206" s="81" t="inlineStr">
        <is>
          <t>range</t>
        </is>
      </c>
      <c r="D206" s="81" t="n">
        <v>4</v>
      </c>
      <c r="E206" s="81">
        <f>E53</f>
        <v/>
      </c>
      <c r="F206" s="81">
        <f>F53</f>
        <v/>
      </c>
      <c r="G206" s="81" t="n">
        <v>1.3</v>
      </c>
      <c r="H206" s="81" t="n">
        <v>1.15132</v>
      </c>
      <c r="I206" s="81" t="n">
        <v>1</v>
      </c>
      <c r="L206" s="81" t="n">
        <v>1</v>
      </c>
      <c r="M206" s="81" t="inlineStr">
        <is>
          <t>Drowsy Trail</t>
        </is>
      </c>
      <c r="AE206" s="81" t="n">
        <v>65</v>
      </c>
      <c r="AF206" s="81" t="n">
        <v>4</v>
      </c>
      <c r="CI206" s="81" t="inlineStr">
        <is>
          <t>B</t>
        </is>
      </c>
      <c r="CJ206" s="81" t="inlineStr">
        <is>
          <t>Dinos stay slowed 4 s after they leave</t>
        </is>
      </c>
    </row>
    <row r="207">
      <c r="A207" s="81" t="inlineStr">
        <is>
          <t>Tranq Station</t>
        </is>
      </c>
      <c r="B207" s="81" t="inlineStr">
        <is>
          <t>Sedate</t>
        </is>
      </c>
      <c r="C207" s="81" t="inlineStr">
        <is>
          <t>range</t>
        </is>
      </c>
      <c r="D207" s="81" t="n">
        <v>4</v>
      </c>
      <c r="E207" s="81">
        <f>E53</f>
        <v/>
      </c>
      <c r="F207" s="81">
        <f>F53</f>
        <v/>
      </c>
      <c r="G207" s="81" t="n">
        <v>1.3</v>
      </c>
      <c r="H207" s="81" t="n">
        <v>1.15132</v>
      </c>
      <c r="I207" s="81" t="n">
        <v>1</v>
      </c>
      <c r="L207" s="81" t="n">
        <v>1</v>
      </c>
      <c r="M207" s="81" t="inlineStr">
        <is>
          <t>Sleeper Darts</t>
        </is>
      </c>
      <c r="AE207" s="81" t="n">
        <v>72</v>
      </c>
      <c r="CI207" s="81" t="inlineStr">
        <is>
          <t>C</t>
        </is>
      </c>
      <c r="CJ207" s="81" t="inlineStr">
        <is>
          <t>Also slows raiders who shoot your towers</t>
        </is>
      </c>
      <c r="CK207" s="81" t="inlineStr">
        <is>
          <t>yes</t>
        </is>
      </c>
      <c r="CL207" s="81" t="n">
        <v>30</v>
      </c>
      <c r="CM207" s="81" t="n">
        <v>2</v>
      </c>
    </row>
    <row r="208">
      <c r="A208" s="81" t="inlineStr">
        <is>
          <t>Tranq Station</t>
        </is>
      </c>
      <c r="B208" s="81" t="inlineStr">
        <is>
          <t>Sedate</t>
        </is>
      </c>
      <c r="C208" s="81" t="inlineStr">
        <is>
          <t>range</t>
        </is>
      </c>
      <c r="D208" s="81" t="n">
        <v>5</v>
      </c>
      <c r="E208" s="81">
        <f>E54</f>
        <v/>
      </c>
      <c r="F208" s="81">
        <f>F54</f>
        <v/>
      </c>
      <c r="G208" s="81" t="n">
        <v>1.2972</v>
      </c>
      <c r="H208" s="81" t="n">
        <v>1.14857</v>
      </c>
      <c r="I208" s="81" t="n">
        <v>1</v>
      </c>
      <c r="L208" s="81" t="n">
        <v>1.6</v>
      </c>
      <c r="M208" s="81" t="inlineStr">
        <is>
          <t>Fog Bank</t>
        </is>
      </c>
      <c r="AE208" s="81" t="n">
        <v>80</v>
      </c>
      <c r="AF208" s="81" t="n">
        <v>3</v>
      </c>
      <c r="CI208" s="81" t="inlineStr">
        <is>
          <t>B</t>
        </is>
      </c>
      <c r="CJ208" s="81" t="inlineStr">
        <is>
          <t>A huge sleepy cloud slows a much wider ring</t>
        </is>
      </c>
    </row>
    <row r="209">
      <c r="A209" s="81" t="inlineStr">
        <is>
          <t>Tranq Station</t>
        </is>
      </c>
      <c r="B209" s="81" t="inlineStr">
        <is>
          <t>Sedate</t>
        </is>
      </c>
      <c r="C209" s="81" t="inlineStr">
        <is>
          <t>range</t>
        </is>
      </c>
      <c r="D209" s="81" t="n">
        <v>5</v>
      </c>
      <c r="E209" s="81">
        <f>E54</f>
        <v/>
      </c>
      <c r="F209" s="81">
        <f>F54</f>
        <v/>
      </c>
      <c r="G209" s="81" t="n">
        <v>1.2972</v>
      </c>
      <c r="H209" s="81" t="n">
        <v>1.14857</v>
      </c>
      <c r="I209" s="81" t="n">
        <v>1</v>
      </c>
      <c r="L209" s="81" t="n">
        <v>1</v>
      </c>
      <c r="M209" s="81" t="inlineStr">
        <is>
          <t>Long Nap</t>
        </is>
      </c>
      <c r="AE209" s="81" t="n">
        <v>80</v>
      </c>
      <c r="AF209" s="81" t="n">
        <v>7</v>
      </c>
      <c r="CI209" s="81" t="inlineStr">
        <is>
          <t>C</t>
        </is>
      </c>
      <c r="CJ209" s="81" t="inlineStr">
        <is>
          <t>Dinos stay slowed 7 s after they leave</t>
        </is>
      </c>
    </row>
    <row r="210">
      <c r="A210" s="81" t="inlineStr">
        <is>
          <t>Tranq Station</t>
        </is>
      </c>
      <c r="B210" s="81" t="inlineStr">
        <is>
          <t>Knockout</t>
        </is>
      </c>
      <c r="C210" s="81" t="inlineStr">
        <is>
          <t>rate</t>
        </is>
      </c>
      <c r="D210" s="81" t="n">
        <v>4</v>
      </c>
      <c r="E210" s="81">
        <f>E58</f>
        <v/>
      </c>
      <c r="F210" s="81">
        <f>F58</f>
        <v/>
      </c>
      <c r="G210" s="81" t="n">
        <v>1.34959</v>
      </c>
      <c r="H210" s="81" t="n">
        <v>1.42308</v>
      </c>
      <c r="I210" s="81" t="n">
        <v>1</v>
      </c>
      <c r="L210" s="81" t="n">
        <v>1</v>
      </c>
      <c r="M210" s="81" t="inlineStr">
        <is>
          <t>Long Sleep</t>
        </is>
      </c>
      <c r="AI210" s="81" t="n">
        <v>1.8</v>
      </c>
      <c r="AJ210" s="81" t="n">
        <v>3</v>
      </c>
      <c r="CI210" s="81" t="inlineStr">
        <is>
          <t>B</t>
        </is>
      </c>
      <c r="CJ210" s="81" t="inlineStr">
        <is>
          <t>Knockouts hold dinos 1.8 s instead of 1</t>
        </is>
      </c>
    </row>
    <row r="211">
      <c r="A211" s="81" t="inlineStr">
        <is>
          <t>Tranq Station</t>
        </is>
      </c>
      <c r="B211" s="81" t="inlineStr">
        <is>
          <t>Knockout</t>
        </is>
      </c>
      <c r="C211" s="81" t="inlineStr">
        <is>
          <t>rate</t>
        </is>
      </c>
      <c r="D211" s="81" t="n">
        <v>4</v>
      </c>
      <c r="E211" s="81">
        <f>E58</f>
        <v/>
      </c>
      <c r="F211" s="81">
        <f>F58</f>
        <v/>
      </c>
      <c r="G211" s="81" t="n">
        <v>1.34959</v>
      </c>
      <c r="H211" s="81" t="n">
        <v>1.42308</v>
      </c>
      <c r="I211" s="81" t="n">
        <v>1</v>
      </c>
      <c r="L211" s="81" t="n">
        <v>1.3</v>
      </c>
      <c r="M211" s="81" t="inlineStr">
        <is>
          <t>Knockout Ring</t>
        </is>
      </c>
      <c r="AH211" s="81" t="n">
        <v>6</v>
      </c>
      <c r="AJ211" s="81" t="n">
        <v>3</v>
      </c>
      <c r="CI211" s="81" t="inlineStr">
        <is>
          <t>C</t>
        </is>
      </c>
      <c r="CJ211" s="81" t="inlineStr">
        <is>
          <t>Knocks out dinos in a much wider ring</t>
        </is>
      </c>
    </row>
    <row r="212">
      <c r="A212" s="81" t="inlineStr">
        <is>
          <t>Tranq Station</t>
        </is>
      </c>
      <c r="B212" s="81" t="inlineStr">
        <is>
          <t>Knockout</t>
        </is>
      </c>
      <c r="C212" s="81" t="inlineStr">
        <is>
          <t>rate</t>
        </is>
      </c>
      <c r="D212" s="81" t="n">
        <v>5</v>
      </c>
      <c r="E212" s="81">
        <f>E59</f>
        <v/>
      </c>
      <c r="F212" s="81">
        <f>F59</f>
        <v/>
      </c>
      <c r="G212" s="81" t="n">
        <v>1.3494</v>
      </c>
      <c r="H212" s="81" t="n">
        <v>1.41769</v>
      </c>
      <c r="I212" s="81" t="n">
        <v>1</v>
      </c>
      <c r="L212" s="81" t="n">
        <v>1</v>
      </c>
      <c r="M212" s="81" t="inlineStr">
        <is>
          <t>Snooze Alarm</t>
        </is>
      </c>
      <c r="AH212" s="81" t="n">
        <v>4</v>
      </c>
      <c r="AI212" s="81" t="n">
        <v>2</v>
      </c>
      <c r="AJ212" s="81" t="n">
        <v>5</v>
      </c>
      <c r="CI212" s="81" t="inlineStr">
        <is>
          <t>B</t>
        </is>
      </c>
      <c r="CJ212" s="81" t="inlineStr">
        <is>
          <t>Knocks out every dino in range every 4 s</t>
        </is>
      </c>
    </row>
    <row r="213">
      <c r="A213" s="81" t="inlineStr">
        <is>
          <t>Tranq Station</t>
        </is>
      </c>
      <c r="B213" s="81" t="inlineStr">
        <is>
          <t>Knockout</t>
        </is>
      </c>
      <c r="C213" s="81" t="inlineStr">
        <is>
          <t>rate</t>
        </is>
      </c>
      <c r="D213" s="81" t="n">
        <v>5</v>
      </c>
      <c r="E213" s="81">
        <f>E59</f>
        <v/>
      </c>
      <c r="F213" s="81">
        <f>F59</f>
        <v/>
      </c>
      <c r="G213" s="81" t="n">
        <v>1.3494</v>
      </c>
      <c r="H213" s="81" t="n">
        <v>1.41769</v>
      </c>
      <c r="I213" s="81" t="n">
        <v>1</v>
      </c>
      <c r="L213" s="81" t="n">
        <v>1.6</v>
      </c>
      <c r="M213" s="81" t="inlineStr">
        <is>
          <t>Sleep Wave</t>
        </is>
      </c>
      <c r="AI213" s="81" t="n">
        <v>2</v>
      </c>
      <c r="AJ213" s="81" t="n">
        <v>5</v>
      </c>
      <c r="CI213" s="81" t="inlineStr">
        <is>
          <t>C</t>
        </is>
      </c>
      <c r="CJ213" s="81" t="inlineStr">
        <is>
          <t>A giant knockout ring</t>
        </is>
      </c>
    </row>
    <row r="214">
      <c r="A214" s="81" t="inlineStr">
        <is>
          <t>Tranq Station</t>
        </is>
      </c>
      <c r="B214" s="81" t="inlineStr">
        <is>
          <t>Weak Spot</t>
        </is>
      </c>
      <c r="C214" s="81" t="inlineStr">
        <is>
          <t>damage</t>
        </is>
      </c>
      <c r="D214" s="81" t="n">
        <v>4</v>
      </c>
      <c r="E214" s="81">
        <f>E63</f>
        <v/>
      </c>
      <c r="F214" s="81">
        <f>F63</f>
        <v/>
      </c>
      <c r="G214" s="81" t="n">
        <v>1.9</v>
      </c>
      <c r="H214" s="81" t="n">
        <v>1</v>
      </c>
      <c r="I214" s="81" t="n">
        <v>1</v>
      </c>
      <c r="L214" s="81" t="n">
        <v>1</v>
      </c>
      <c r="M214" s="81" t="inlineStr">
        <is>
          <t>Pack Instinct</t>
        </is>
      </c>
      <c r="AB214" s="81" t="n">
        <v>20</v>
      </c>
      <c r="AL214" s="81" t="n">
        <v>40</v>
      </c>
      <c r="CI214" s="81" t="inlineStr">
        <is>
          <t>B</t>
        </is>
      </c>
      <c r="CJ214" s="81" t="inlineStr">
        <is>
          <t>Towers in range fire 20% faster</t>
        </is>
      </c>
    </row>
    <row r="215">
      <c r="A215" s="81" t="inlineStr">
        <is>
          <t>Tranq Station</t>
        </is>
      </c>
      <c r="B215" s="81" t="inlineStr">
        <is>
          <t>Weak Spot</t>
        </is>
      </c>
      <c r="C215" s="81" t="inlineStr">
        <is>
          <t>damage</t>
        </is>
      </c>
      <c r="D215" s="81" t="n">
        <v>4</v>
      </c>
      <c r="E215" s="81">
        <f>E63</f>
        <v/>
      </c>
      <c r="F215" s="81">
        <f>F63</f>
        <v/>
      </c>
      <c r="G215" s="81" t="n">
        <v>1.9</v>
      </c>
      <c r="H215" s="81" t="n">
        <v>1</v>
      </c>
      <c r="I215" s="81" t="n">
        <v>1</v>
      </c>
      <c r="L215" s="81" t="n">
        <v>1</v>
      </c>
      <c r="M215" s="81" t="inlineStr">
        <is>
          <t>Big Game Weakness</t>
        </is>
      </c>
      <c r="AL215" s="81" t="n">
        <v>40</v>
      </c>
      <c r="BX215" s="81" t="n">
        <v>40</v>
      </c>
      <c r="CI215" s="81" t="inlineStr">
        <is>
          <t>C</t>
        </is>
      </c>
      <c r="CJ215" s="81" t="inlineStr">
        <is>
          <t>Bosses in range take +40% from everything</t>
        </is>
      </c>
    </row>
    <row r="216">
      <c r="A216" s="81" t="inlineStr">
        <is>
          <t>Tranq Station</t>
        </is>
      </c>
      <c r="B216" s="81" t="inlineStr">
        <is>
          <t>Weak Spot</t>
        </is>
      </c>
      <c r="C216" s="81" t="inlineStr">
        <is>
          <t>damage</t>
        </is>
      </c>
      <c r="D216" s="81" t="n">
        <v>5</v>
      </c>
      <c r="E216" s="81">
        <f>E64</f>
        <v/>
      </c>
      <c r="F216" s="81">
        <f>F64</f>
        <v/>
      </c>
      <c r="G216" s="81" t="n">
        <v>1.9</v>
      </c>
      <c r="H216" s="81" t="n">
        <v>1</v>
      </c>
      <c r="I216" s="81" t="n">
        <v>1</v>
      </c>
      <c r="L216" s="81" t="n">
        <v>1</v>
      </c>
      <c r="M216" s="81" t="inlineStr">
        <is>
          <t>Feeding Frenzy</t>
        </is>
      </c>
      <c r="AB216" s="81" t="n">
        <v>35</v>
      </c>
      <c r="AL216" s="81" t="n">
        <v>60</v>
      </c>
      <c r="CI216" s="81" t="inlineStr">
        <is>
          <t>B</t>
        </is>
      </c>
      <c r="CJ216" s="81" t="inlineStr">
        <is>
          <t>Towers in range fire 35% faster</t>
        </is>
      </c>
    </row>
    <row r="217">
      <c r="A217" s="81" t="inlineStr">
        <is>
          <t>Tranq Station</t>
        </is>
      </c>
      <c r="B217" s="81" t="inlineStr">
        <is>
          <t>Weak Spot</t>
        </is>
      </c>
      <c r="C217" s="81" t="inlineStr">
        <is>
          <t>damage</t>
        </is>
      </c>
      <c r="D217" s="81" t="n">
        <v>5</v>
      </c>
      <c r="E217" s="81">
        <f>E64</f>
        <v/>
      </c>
      <c r="F217" s="81">
        <f>F64</f>
        <v/>
      </c>
      <c r="G217" s="81" t="n">
        <v>1.9</v>
      </c>
      <c r="H217" s="81" t="n">
        <v>1</v>
      </c>
      <c r="I217" s="81" t="n">
        <v>1</v>
      </c>
      <c r="L217" s="81" t="n">
        <v>1</v>
      </c>
      <c r="M217" s="81" t="inlineStr">
        <is>
          <t>Killing Ground</t>
        </is>
      </c>
      <c r="AL217" s="81" t="n">
        <v>60</v>
      </c>
      <c r="BX217" s="81" t="n">
        <v>75</v>
      </c>
      <c r="CI217" s="81" t="inlineStr">
        <is>
          <t>C</t>
        </is>
      </c>
      <c r="CJ217" s="81" t="inlineStr">
        <is>
          <t>Bosses in range take +75% from everything</t>
        </is>
      </c>
    </row>
    <row r="218">
      <c r="A218" s="81" t="inlineStr">
        <is>
          <t>Supply Camp</t>
        </is>
      </c>
      <c r="B218" s="81" t="inlineStr">
        <is>
          <t>Yield</t>
        </is>
      </c>
      <c r="C218" s="81" t="inlineStr">
        <is>
          <t>economy</t>
        </is>
      </c>
      <c r="D218" s="81" t="n">
        <v>4</v>
      </c>
      <c r="E218" s="81">
        <f>E68</f>
        <v/>
      </c>
      <c r="F218" s="81">
        <f>F68</f>
        <v/>
      </c>
      <c r="G218" s="81" t="n">
        <v>1</v>
      </c>
      <c r="H218" s="81" t="n">
        <v>1</v>
      </c>
      <c r="I218" s="81" t="n">
        <v>1</v>
      </c>
      <c r="L218" s="81" t="n">
        <v>1</v>
      </c>
      <c r="M218" s="81" t="inlineStr">
        <is>
          <t>Savings Jar</t>
        </is>
      </c>
      <c r="AN218" s="81" t="n">
        <v>1.45</v>
      </c>
      <c r="AO218" s="81" t="n">
        <v>3</v>
      </c>
      <c r="AP218" s="81" t="n">
        <v>250</v>
      </c>
      <c r="CI218" s="81" t="inlineStr">
        <is>
          <t>B</t>
        </is>
      </c>
      <c r="CJ218" s="81" t="inlineStr">
        <is>
          <t>Less income, but 3% interest on banked cash</t>
        </is>
      </c>
    </row>
    <row r="219">
      <c r="A219" s="81" t="inlineStr">
        <is>
          <t>Supply Camp</t>
        </is>
      </c>
      <c r="B219" s="81" t="inlineStr">
        <is>
          <t>Yield</t>
        </is>
      </c>
      <c r="C219" s="81" t="inlineStr">
        <is>
          <t>economy</t>
        </is>
      </c>
      <c r="D219" s="81" t="n">
        <v>4</v>
      </c>
      <c r="E219" s="81">
        <f>E68</f>
        <v/>
      </c>
      <c r="F219" s="81">
        <f>F68</f>
        <v/>
      </c>
      <c r="G219" s="81" t="n">
        <v>1</v>
      </c>
      <c r="H219" s="81" t="n">
        <v>1</v>
      </c>
      <c r="I219" s="81" t="n">
        <v>1</v>
      </c>
      <c r="L219" s="81" t="n">
        <v>1</v>
      </c>
      <c r="M219" s="81" t="inlineStr">
        <is>
          <t>Bounty Board</t>
        </is>
      </c>
      <c r="AN219" s="81" t="n">
        <v>1.3</v>
      </c>
      <c r="CI219" s="81" t="inlineStr">
        <is>
          <t>C</t>
        </is>
      </c>
      <c r="CJ219" s="81" t="inlineStr">
        <is>
          <t>+8 cash for each dino taken down in its range</t>
        </is>
      </c>
      <c r="CO219" s="81" t="n">
        <v>8</v>
      </c>
    </row>
    <row r="220">
      <c r="A220" s="81" t="inlineStr">
        <is>
          <t>Supply Camp</t>
        </is>
      </c>
      <c r="B220" s="81" t="inlineStr">
        <is>
          <t>Yield</t>
        </is>
      </c>
      <c r="C220" s="81" t="inlineStr">
        <is>
          <t>economy</t>
        </is>
      </c>
      <c r="D220" s="81" t="n">
        <v>5</v>
      </c>
      <c r="E220" s="81">
        <f>E69</f>
        <v/>
      </c>
      <c r="F220" s="81">
        <f>F69</f>
        <v/>
      </c>
      <c r="G220" s="81" t="n">
        <v>1</v>
      </c>
      <c r="H220" s="81" t="n">
        <v>1</v>
      </c>
      <c r="I220" s="81" t="n">
        <v>1</v>
      </c>
      <c r="L220" s="81" t="n">
        <v>1</v>
      </c>
      <c r="M220" s="81" t="inlineStr">
        <is>
          <t>Gold Reserve</t>
        </is>
      </c>
      <c r="AN220" s="81" t="n">
        <v>1.3</v>
      </c>
      <c r="AO220" s="81" t="n">
        <v>8</v>
      </c>
      <c r="AP220" s="81" t="n">
        <v>1000</v>
      </c>
      <c r="CI220" s="81" t="inlineStr">
        <is>
          <t>B</t>
        </is>
      </c>
      <c r="CJ220" s="81" t="inlineStr">
        <is>
          <t>Big interest: 8% on banked cash</t>
        </is>
      </c>
    </row>
    <row r="221">
      <c r="A221" s="81" t="inlineStr">
        <is>
          <t>Supply Camp</t>
        </is>
      </c>
      <c r="B221" s="81" t="inlineStr">
        <is>
          <t>Yield</t>
        </is>
      </c>
      <c r="C221" s="81" t="inlineStr">
        <is>
          <t>economy</t>
        </is>
      </c>
      <c r="D221" s="81" t="n">
        <v>5</v>
      </c>
      <c r="E221" s="81">
        <f>E69</f>
        <v/>
      </c>
      <c r="F221" s="81">
        <f>F69</f>
        <v/>
      </c>
      <c r="G221" s="81" t="n">
        <v>1</v>
      </c>
      <c r="H221" s="81" t="n">
        <v>1</v>
      </c>
      <c r="I221" s="81" t="n">
        <v>1</v>
      </c>
      <c r="L221" s="81" t="n">
        <v>1</v>
      </c>
      <c r="M221" s="81" t="inlineStr">
        <is>
          <t>Bounty Hall</t>
        </is>
      </c>
      <c r="AN221" s="81" t="n">
        <v>1.3</v>
      </c>
      <c r="CI221" s="81" t="inlineStr">
        <is>
          <t>C</t>
        </is>
      </c>
      <c r="CJ221" s="81" t="inlineStr">
        <is>
          <t>+25 cash for each dino taken down in its range</t>
        </is>
      </c>
      <c r="CO221" s="81" t="n">
        <v>25</v>
      </c>
    </row>
    <row r="222">
      <c r="A222" s="81" t="inlineStr">
        <is>
          <t>Supply Camp</t>
        </is>
      </c>
      <c r="B222" s="81" t="inlineStr">
        <is>
          <t>Airdrop</t>
        </is>
      </c>
      <c r="C222" s="81" t="inlineStr">
        <is>
          <t>economy</t>
        </is>
      </c>
      <c r="D222" s="81" t="n">
        <v>4</v>
      </c>
      <c r="E222" s="81">
        <f>E73</f>
        <v/>
      </c>
      <c r="F222" s="81">
        <f>F73</f>
        <v/>
      </c>
      <c r="G222" s="81" t="n">
        <v>1</v>
      </c>
      <c r="H222" s="81" t="n">
        <v>1</v>
      </c>
      <c r="I222" s="81" t="n">
        <v>1</v>
      </c>
      <c r="L222" s="81" t="n">
        <v>1</v>
      </c>
      <c r="M222" s="81" t="inlineStr">
        <is>
          <t>Heavy Crates</t>
        </is>
      </c>
      <c r="AR222" s="81" t="n">
        <v>790</v>
      </c>
      <c r="CI222" s="81" t="inlineStr">
        <is>
          <t>B</t>
        </is>
      </c>
      <c r="CJ222" s="81" t="inlineStr">
        <is>
          <t>Two crates a round, worth more each</t>
        </is>
      </c>
    </row>
    <row r="223">
      <c r="A223" s="81" t="inlineStr">
        <is>
          <t>Supply Camp</t>
        </is>
      </c>
      <c r="B223" s="81" t="inlineStr">
        <is>
          <t>Airdrop</t>
        </is>
      </c>
      <c r="C223" s="81" t="inlineStr">
        <is>
          <t>economy</t>
        </is>
      </c>
      <c r="D223" s="81" t="n">
        <v>4</v>
      </c>
      <c r="E223" s="81">
        <f>E73</f>
        <v/>
      </c>
      <c r="F223" s="81">
        <f>F73</f>
        <v/>
      </c>
      <c r="G223" s="81" t="n">
        <v>1</v>
      </c>
      <c r="H223" s="81" t="n">
        <v>1</v>
      </c>
      <c r="I223" s="81" t="n">
        <v>1</v>
      </c>
      <c r="L223" s="81" t="n">
        <v>1</v>
      </c>
      <c r="M223" s="81" t="inlineStr">
        <is>
          <t>Extra Drop</t>
        </is>
      </c>
      <c r="AQ223" s="81" t="n">
        <v>4</v>
      </c>
      <c r="CI223" s="81" t="inlineStr">
        <is>
          <t>C</t>
        </is>
      </c>
      <c r="CJ223" s="81" t="inlineStr">
        <is>
          <t>Four crates a round</t>
        </is>
      </c>
    </row>
    <row r="224">
      <c r="A224" s="81" t="inlineStr">
        <is>
          <t>Supply Camp</t>
        </is>
      </c>
      <c r="B224" s="81" t="inlineStr">
        <is>
          <t>Airdrop</t>
        </is>
      </c>
      <c r="C224" s="81" t="inlineStr">
        <is>
          <t>economy</t>
        </is>
      </c>
      <c r="D224" s="81" t="n">
        <v>5</v>
      </c>
      <c r="E224" s="81">
        <f>E74</f>
        <v/>
      </c>
      <c r="F224" s="81">
        <f>F74</f>
        <v/>
      </c>
      <c r="G224" s="81" t="n">
        <v>1</v>
      </c>
      <c r="H224" s="81" t="n">
        <v>1</v>
      </c>
      <c r="I224" s="81" t="n">
        <v>1</v>
      </c>
      <c r="L224" s="81" t="n">
        <v>1</v>
      </c>
      <c r="M224" s="81" t="inlineStr">
        <is>
          <t>Supply Fleet</t>
        </is>
      </c>
      <c r="AQ224" s="81" t="n">
        <v>5</v>
      </c>
      <c r="AR224" s="81" t="n">
        <v>790</v>
      </c>
      <c r="CI224" s="81" t="inlineStr">
        <is>
          <t>B</t>
        </is>
      </c>
      <c r="CJ224" s="81" t="inlineStr">
        <is>
          <t>Five crates a round</t>
        </is>
      </c>
    </row>
    <row r="225">
      <c r="A225" s="81" t="inlineStr">
        <is>
          <t>Supply Camp</t>
        </is>
      </c>
      <c r="B225" s="81" t="inlineStr">
        <is>
          <t>Airdrop</t>
        </is>
      </c>
      <c r="C225" s="81" t="inlineStr">
        <is>
          <t>economy</t>
        </is>
      </c>
      <c r="D225" s="81" t="n">
        <v>5</v>
      </c>
      <c r="E225" s="81">
        <f>E74</f>
        <v/>
      </c>
      <c r="F225" s="81">
        <f>F74</f>
        <v/>
      </c>
      <c r="G225" s="81" t="n">
        <v>1</v>
      </c>
      <c r="H225" s="81" t="n">
        <v>1</v>
      </c>
      <c r="I225" s="81" t="n">
        <v>1</v>
      </c>
      <c r="L225" s="81" t="n">
        <v>1</v>
      </c>
      <c r="M225" s="81" t="inlineStr">
        <is>
          <t>Gold Crates</t>
        </is>
      </c>
      <c r="AQ225" s="81" t="n">
        <v>4</v>
      </c>
      <c r="AR225" s="81" t="n">
        <v>900</v>
      </c>
      <c r="CI225" s="81" t="inlineStr">
        <is>
          <t>C</t>
        </is>
      </c>
      <c r="CJ225" s="81" t="inlineStr">
        <is>
          <t>Four crates a round, worth 900 each</t>
        </is>
      </c>
    </row>
    <row r="226">
      <c r="A226" s="81" t="inlineStr">
        <is>
          <t>Supply Camp</t>
        </is>
      </c>
      <c r="B226" s="81" t="inlineStr">
        <is>
          <t>Logistics</t>
        </is>
      </c>
      <c r="C226" s="81" t="inlineStr">
        <is>
          <t>economy</t>
        </is>
      </c>
      <c r="D226" s="81" t="n">
        <v>4</v>
      </c>
      <c r="E226" s="81">
        <f>E78</f>
        <v/>
      </c>
      <c r="F226" s="81">
        <f>F78</f>
        <v/>
      </c>
      <c r="G226" s="81" t="n">
        <v>1</v>
      </c>
      <c r="H226" s="81" t="n">
        <v>1</v>
      </c>
      <c r="I226" s="81" t="n">
        <v>1</v>
      </c>
      <c r="L226" s="81" t="n">
        <v>1</v>
      </c>
      <c r="M226" s="81" t="inlineStr">
        <is>
          <t>Bulk Buyer</t>
        </is>
      </c>
      <c r="AS226" s="81" t="n">
        <v>18</v>
      </c>
      <c r="CI226" s="81" t="inlineStr">
        <is>
          <t>B</t>
        </is>
      </c>
      <c r="CJ226" s="81" t="inlineStr">
        <is>
          <t>Upgrades in range cost 18% less</t>
        </is>
      </c>
    </row>
    <row r="227">
      <c r="A227" s="81" t="inlineStr">
        <is>
          <t>Supply Camp</t>
        </is>
      </c>
      <c r="B227" s="81" t="inlineStr">
        <is>
          <t>Logistics</t>
        </is>
      </c>
      <c r="C227" s="81" t="inlineStr">
        <is>
          <t>economy</t>
        </is>
      </c>
      <c r="D227" s="81" t="n">
        <v>4</v>
      </c>
      <c r="E227" s="81">
        <f>E78</f>
        <v/>
      </c>
      <c r="F227" s="81">
        <f>F78</f>
        <v/>
      </c>
      <c r="G227" s="81" t="n">
        <v>1</v>
      </c>
      <c r="H227" s="81" t="n">
        <v>1</v>
      </c>
      <c r="I227" s="81" t="n">
        <v>1</v>
      </c>
      <c r="L227" s="81" t="n">
        <v>1</v>
      </c>
      <c r="M227" s="81" t="inlineStr">
        <is>
          <t>Scrap Dealer</t>
        </is>
      </c>
      <c r="AT227" s="81" t="n">
        <v>0.97</v>
      </c>
      <c r="CI227" s="81" t="inlineStr">
        <is>
          <t>C</t>
        </is>
      </c>
      <c r="CJ227" s="81" t="inlineStr">
        <is>
          <t>Towers in range sell for 97%</t>
        </is>
      </c>
    </row>
    <row r="228">
      <c r="A228" s="81" t="inlineStr">
        <is>
          <t>Supply Camp</t>
        </is>
      </c>
      <c r="B228" s="81" t="inlineStr">
        <is>
          <t>Logistics</t>
        </is>
      </c>
      <c r="C228" s="81" t="inlineStr">
        <is>
          <t>economy</t>
        </is>
      </c>
      <c r="D228" s="81" t="n">
        <v>5</v>
      </c>
      <c r="E228" s="81">
        <f>E79</f>
        <v/>
      </c>
      <c r="F228" s="81">
        <f>F79</f>
        <v/>
      </c>
      <c r="G228" s="81" t="n">
        <v>1</v>
      </c>
      <c r="H228" s="81" t="n">
        <v>1</v>
      </c>
      <c r="I228" s="81" t="n">
        <v>1</v>
      </c>
      <c r="L228" s="81" t="n">
        <v>1</v>
      </c>
      <c r="M228" s="81" t="inlineStr">
        <is>
          <t>Wholesale</t>
        </is>
      </c>
      <c r="AS228" s="81" t="n">
        <v>32</v>
      </c>
      <c r="CI228" s="81" t="inlineStr">
        <is>
          <t>B</t>
        </is>
      </c>
      <c r="CJ228" s="81" t="inlineStr">
        <is>
          <t>Upgrades in range cost 32% less</t>
        </is>
      </c>
    </row>
    <row r="229">
      <c r="A229" s="81" t="inlineStr">
        <is>
          <t>Supply Camp</t>
        </is>
      </c>
      <c r="B229" s="81" t="inlineStr">
        <is>
          <t>Logistics</t>
        </is>
      </c>
      <c r="C229" s="81" t="inlineStr">
        <is>
          <t>economy</t>
        </is>
      </c>
      <c r="D229" s="81" t="n">
        <v>5</v>
      </c>
      <c r="E229" s="81">
        <f>E79</f>
        <v/>
      </c>
      <c r="F229" s="81">
        <f>F79</f>
        <v/>
      </c>
      <c r="G229" s="81" t="n">
        <v>1</v>
      </c>
      <c r="H229" s="81" t="n">
        <v>1</v>
      </c>
      <c r="I229" s="81" t="n">
        <v>1</v>
      </c>
      <c r="L229" s="81" t="n">
        <v>1</v>
      </c>
      <c r="M229" s="81" t="inlineStr">
        <is>
          <t>Depot</t>
        </is>
      </c>
      <c r="AB229" s="81" t="n">
        <v>20</v>
      </c>
      <c r="AS229" s="81" t="n">
        <v>15</v>
      </c>
      <c r="AT229" s="81" t="n">
        <v>0.95</v>
      </c>
      <c r="CI229" s="81" t="inlineStr">
        <is>
          <t>C</t>
        </is>
      </c>
      <c r="CJ229" s="81" t="inlineStr">
        <is>
          <t>Towers in range fire 20% faster, cost 15% less</t>
        </is>
      </c>
    </row>
    <row r="230">
      <c r="A230" s="81" t="inlineStr">
        <is>
          <t>Field Hospital</t>
        </is>
      </c>
      <c r="B230" s="81" t="inlineStr">
        <is>
          <t>Ward</t>
        </is>
      </c>
      <c r="C230" s="81" t="inlineStr">
        <is>
          <t>healing</t>
        </is>
      </c>
      <c r="D230" s="81" t="n">
        <v>4</v>
      </c>
      <c r="E230" s="81">
        <f>E98</f>
        <v/>
      </c>
      <c r="F230" s="81">
        <f>F98</f>
        <v/>
      </c>
      <c r="G230" s="81" t="n">
        <v>1</v>
      </c>
      <c r="H230" s="81" t="n">
        <v>1</v>
      </c>
      <c r="I230" s="81" t="n">
        <v>1</v>
      </c>
      <c r="L230" s="81" t="n">
        <v>1</v>
      </c>
      <c r="M230" s="81" t="inlineStr">
        <is>
          <t>Quick Stitch</t>
        </is>
      </c>
      <c r="BD230" s="81" t="n">
        <v>1</v>
      </c>
      <c r="CI230" s="81" t="inlineStr">
        <is>
          <t>B</t>
        </is>
      </c>
      <c r="CJ230" s="81" t="inlineStr">
        <is>
          <t>Trampled towers stand up twice as fast</t>
        </is>
      </c>
    </row>
    <row r="231">
      <c r="A231" s="81" t="inlineStr">
        <is>
          <t>Field Hospital</t>
        </is>
      </c>
      <c r="B231" s="81" t="inlineStr">
        <is>
          <t>Ward</t>
        </is>
      </c>
      <c r="C231" s="81" t="inlineStr">
        <is>
          <t>healing</t>
        </is>
      </c>
      <c r="D231" s="81" t="n">
        <v>4</v>
      </c>
      <c r="E231" s="81">
        <f>E98</f>
        <v/>
      </c>
      <c r="F231" s="81">
        <f>F98</f>
        <v/>
      </c>
      <c r="G231" s="81" t="n">
        <v>1</v>
      </c>
      <c r="H231" s="81" t="n">
        <v>1</v>
      </c>
      <c r="I231" s="81" t="n">
        <v>1</v>
      </c>
      <c r="L231" s="81" t="n">
        <v>1.25</v>
      </c>
      <c r="M231" s="81" t="inlineStr">
        <is>
          <t>Big Tent</t>
        </is>
      </c>
      <c r="CI231" s="81" t="inlineStr">
        <is>
          <t>C</t>
        </is>
      </c>
      <c r="CJ231" s="81" t="inlineStr">
        <is>
          <t>Heals towers in a wider ring</t>
        </is>
      </c>
    </row>
    <row r="232">
      <c r="A232" s="81" t="inlineStr">
        <is>
          <t>Field Hospital</t>
        </is>
      </c>
      <c r="B232" s="81" t="inlineStr">
        <is>
          <t>Ward</t>
        </is>
      </c>
      <c r="C232" s="81" t="inlineStr">
        <is>
          <t>healing</t>
        </is>
      </c>
      <c r="D232" s="81" t="n">
        <v>5</v>
      </c>
      <c r="E232" s="81">
        <f>E99</f>
        <v/>
      </c>
      <c r="F232" s="81">
        <f>F99</f>
        <v/>
      </c>
      <c r="G232" s="81" t="n">
        <v>1</v>
      </c>
      <c r="H232" s="81" t="n">
        <v>1</v>
      </c>
      <c r="I232" s="81" t="n">
        <v>1</v>
      </c>
      <c r="L232" s="81" t="n">
        <v>1.4</v>
      </c>
      <c r="M232" s="81" t="inlineStr">
        <is>
          <t>Field Ward</t>
        </is>
      </c>
      <c r="BB232" s="81" t="n">
        <v>1.2</v>
      </c>
      <c r="CI232" s="81" t="inlineStr">
        <is>
          <t>B</t>
        </is>
      </c>
      <c r="CJ232" s="81" t="inlineStr">
        <is>
          <t>Heals a huge ring of towers</t>
        </is>
      </c>
    </row>
    <row r="233">
      <c r="A233" s="81" t="inlineStr">
        <is>
          <t>Field Hospital</t>
        </is>
      </c>
      <c r="B233" s="81" t="inlineStr">
        <is>
          <t>Ward</t>
        </is>
      </c>
      <c r="C233" s="81" t="inlineStr">
        <is>
          <t>healing</t>
        </is>
      </c>
      <c r="D233" s="81" t="n">
        <v>5</v>
      </c>
      <c r="E233" s="81">
        <f>E99</f>
        <v/>
      </c>
      <c r="F233" s="81">
        <f>F99</f>
        <v/>
      </c>
      <c r="G233" s="81" t="n">
        <v>1</v>
      </c>
      <c r="H233" s="81" t="n">
        <v>1</v>
      </c>
      <c r="I233" s="81" t="n">
        <v>1</v>
      </c>
      <c r="L233" s="81" t="n">
        <v>1</v>
      </c>
      <c r="M233" s="81" t="inlineStr">
        <is>
          <t>Rapid Recovery</t>
        </is>
      </c>
      <c r="BB233" s="81" t="n">
        <v>1.25</v>
      </c>
      <c r="BD233" s="81" t="n">
        <v>2</v>
      </c>
      <c r="CI233" s="81" t="inlineStr">
        <is>
          <t>C</t>
        </is>
      </c>
      <c r="CJ233" s="81" t="inlineStr">
        <is>
          <t>Trampled towers jump back up 4x as fast</t>
        </is>
      </c>
    </row>
    <row r="234">
      <c r="A234" s="81" t="inlineStr">
        <is>
          <t>Field Hospital</t>
        </is>
      </c>
      <c r="B234" s="81" t="inlineStr">
        <is>
          <t>Rescue</t>
        </is>
      </c>
      <c r="C234" s="81" t="inlineStr">
        <is>
          <t>hunters</t>
        </is>
      </c>
      <c r="D234" s="81" t="n">
        <v>4</v>
      </c>
      <c r="E234" s="81">
        <f>E103</f>
        <v/>
      </c>
      <c r="F234" s="81">
        <f>F103</f>
        <v/>
      </c>
      <c r="G234" s="81" t="n">
        <v>1</v>
      </c>
      <c r="H234" s="81" t="n">
        <v>1</v>
      </c>
      <c r="I234" s="81" t="n">
        <v>1</v>
      </c>
      <c r="L234" s="81" t="n">
        <v>1.3</v>
      </c>
      <c r="M234" s="81" t="inlineStr">
        <is>
          <t>Long Whistle</t>
        </is>
      </c>
      <c r="BE234" s="81" t="n">
        <v>3</v>
      </c>
      <c r="CI234" s="81" t="inlineStr">
        <is>
          <t>B</t>
        </is>
      </c>
      <c r="CJ234" s="81" t="inlineStr">
        <is>
          <t>Kits reach hunters in a much wider ring</t>
        </is>
      </c>
    </row>
    <row r="235">
      <c r="A235" s="81" t="inlineStr">
        <is>
          <t>Field Hospital</t>
        </is>
      </c>
      <c r="B235" s="81" t="inlineStr">
        <is>
          <t>Rescue</t>
        </is>
      </c>
      <c r="C235" s="81" t="inlineStr">
        <is>
          <t>hunters</t>
        </is>
      </c>
      <c r="D235" s="81" t="n">
        <v>4</v>
      </c>
      <c r="E235" s="81">
        <f>E103</f>
        <v/>
      </c>
      <c r="F235" s="81">
        <f>F103</f>
        <v/>
      </c>
      <c r="G235" s="81" t="n">
        <v>1</v>
      </c>
      <c r="H235" s="81" t="n">
        <v>1</v>
      </c>
      <c r="I235" s="81" t="n">
        <v>1</v>
      </c>
      <c r="L235" s="81" t="n">
        <v>1</v>
      </c>
      <c r="M235" s="81" t="inlineStr">
        <is>
          <t>Kit Bags</t>
        </is>
      </c>
      <c r="BE235" s="81" t="n">
        <v>4</v>
      </c>
      <c r="CI235" s="81" t="inlineStr">
        <is>
          <t>C</t>
        </is>
      </c>
      <c r="CJ235" s="81" t="inlineStr">
        <is>
          <t>Four med kits land each round</t>
        </is>
      </c>
    </row>
    <row r="236">
      <c r="A236" s="81" t="inlineStr">
        <is>
          <t>Field Hospital</t>
        </is>
      </c>
      <c r="B236" s="81" t="inlineStr">
        <is>
          <t>Rescue</t>
        </is>
      </c>
      <c r="C236" s="81" t="inlineStr">
        <is>
          <t>hunters</t>
        </is>
      </c>
      <c r="D236" s="81" t="n">
        <v>5</v>
      </c>
      <c r="E236" s="81">
        <f>E104</f>
        <v/>
      </c>
      <c r="F236" s="81">
        <f>F104</f>
        <v/>
      </c>
      <c r="G236" s="81" t="n">
        <v>1</v>
      </c>
      <c r="H236" s="81" t="n">
        <v>1</v>
      </c>
      <c r="I236" s="81" t="n">
        <v>1</v>
      </c>
      <c r="L236" s="81" t="n">
        <v>1.15</v>
      </c>
      <c r="M236" s="81" t="inlineStr">
        <is>
          <t>Pack Train</t>
        </is>
      </c>
      <c r="BE236" s="81" t="n">
        <v>5</v>
      </c>
      <c r="BF236" s="81" t="n">
        <v>50</v>
      </c>
      <c r="CI236" s="81" t="inlineStr">
        <is>
          <t>B</t>
        </is>
      </c>
      <c r="CJ236" s="81" t="inlineStr">
        <is>
          <t>Five med kits a round, 50 each</t>
        </is>
      </c>
    </row>
    <row r="237">
      <c r="A237" s="81" t="inlineStr">
        <is>
          <t>Field Hospital</t>
        </is>
      </c>
      <c r="B237" s="81" t="inlineStr">
        <is>
          <t>Rescue</t>
        </is>
      </c>
      <c r="C237" s="81" t="inlineStr">
        <is>
          <t>hunters</t>
        </is>
      </c>
      <c r="D237" s="81" t="n">
        <v>5</v>
      </c>
      <c r="E237" s="81">
        <f>E104</f>
        <v/>
      </c>
      <c r="F237" s="81">
        <f>F104</f>
        <v/>
      </c>
      <c r="G237" s="81" t="n">
        <v>1</v>
      </c>
      <c r="H237" s="81" t="n">
        <v>1</v>
      </c>
      <c r="I237" s="81" t="n">
        <v>1</v>
      </c>
      <c r="L237" s="81" t="n">
        <v>1.15</v>
      </c>
      <c r="M237" s="81" t="inlineStr">
        <is>
          <t>Medevac</t>
        </is>
      </c>
      <c r="BF237" s="81" t="n">
        <v>45</v>
      </c>
      <c r="BG237" s="81" t="n">
        <v>0.35</v>
      </c>
      <c r="CI237" s="81" t="inlineStr">
        <is>
          <t>C</t>
        </is>
      </c>
      <c r="CJ237" s="81" t="inlineStr">
        <is>
          <t>Downed hunters come back 3x as fast</t>
        </is>
      </c>
    </row>
    <row r="238">
      <c r="A238" s="81" t="inlineStr">
        <is>
          <t>Field Hospital</t>
        </is>
      </c>
      <c r="B238" s="81" t="inlineStr">
        <is>
          <t>Tonic</t>
        </is>
      </c>
      <c r="C238" s="81" t="inlineStr">
        <is>
          <t>tougher towers</t>
        </is>
      </c>
      <c r="D238" s="81" t="n">
        <v>4</v>
      </c>
      <c r="E238" s="81">
        <f>E108</f>
        <v/>
      </c>
      <c r="F238" s="81">
        <f>F108</f>
        <v/>
      </c>
      <c r="G238" s="81" t="n">
        <v>1</v>
      </c>
      <c r="H238" s="81" t="n">
        <v>1</v>
      </c>
      <c r="I238" s="81" t="n">
        <v>1</v>
      </c>
      <c r="L238" s="81" t="n">
        <v>1</v>
      </c>
      <c r="M238" s="81" t="inlineStr">
        <is>
          <t>Hot Coffee</t>
        </is>
      </c>
      <c r="AB238" s="81" t="n">
        <v>18</v>
      </c>
      <c r="BH238" s="81" t="n">
        <v>25</v>
      </c>
      <c r="CI238" s="81" t="inlineStr">
        <is>
          <t>B</t>
        </is>
      </c>
      <c r="CJ238" s="81" t="inlineStr">
        <is>
          <t>Towers in range fire 18% faster</t>
        </is>
      </c>
    </row>
    <row r="239">
      <c r="A239" s="81" t="inlineStr">
        <is>
          <t>Field Hospital</t>
        </is>
      </c>
      <c r="B239" s="81" t="inlineStr">
        <is>
          <t>Tonic</t>
        </is>
      </c>
      <c r="C239" s="81" t="inlineStr">
        <is>
          <t>tougher towers</t>
        </is>
      </c>
      <c r="D239" s="81" t="n">
        <v>4</v>
      </c>
      <c r="E239" s="81">
        <f>E108</f>
        <v/>
      </c>
      <c r="F239" s="81">
        <f>F108</f>
        <v/>
      </c>
      <c r="G239" s="81" t="n">
        <v>1</v>
      </c>
      <c r="H239" s="81" t="n">
        <v>1</v>
      </c>
      <c r="I239" s="81" t="n">
        <v>1</v>
      </c>
      <c r="L239" s="81" t="n">
        <v>1</v>
      </c>
      <c r="M239" s="81" t="inlineStr">
        <is>
          <t>Bitter Tonic</t>
        </is>
      </c>
      <c r="BH239" s="81" t="n">
        <v>25</v>
      </c>
      <c r="CI239" s="81" t="inlineStr">
        <is>
          <t>C</t>
        </is>
      </c>
      <c r="CJ239" s="81" t="inlineStr">
        <is>
          <t>Dinos that bite towers in range get slowed</t>
        </is>
      </c>
      <c r="CP239" s="81" t="n">
        <v>25</v>
      </c>
      <c r="CQ239" s="81" t="n">
        <v>2</v>
      </c>
    </row>
    <row r="240">
      <c r="A240" s="81" t="inlineStr">
        <is>
          <t>Field Hospital</t>
        </is>
      </c>
      <c r="B240" s="81" t="inlineStr">
        <is>
          <t>Tonic</t>
        </is>
      </c>
      <c r="C240" s="81" t="inlineStr">
        <is>
          <t>tougher towers</t>
        </is>
      </c>
      <c r="D240" s="81" t="n">
        <v>5</v>
      </c>
      <c r="E240" s="81">
        <f>E109</f>
        <v/>
      </c>
      <c r="F240" s="81">
        <f>F109</f>
        <v/>
      </c>
      <c r="G240" s="81" t="n">
        <v>1</v>
      </c>
      <c r="H240" s="81" t="n">
        <v>1</v>
      </c>
      <c r="I240" s="81" t="n">
        <v>1</v>
      </c>
      <c r="L240" s="81" t="n">
        <v>1</v>
      </c>
      <c r="M240" s="81" t="inlineStr">
        <is>
          <t>Adrenaline</t>
        </is>
      </c>
      <c r="AB240" s="81" t="n">
        <v>30</v>
      </c>
      <c r="BH240" s="81" t="n">
        <v>40</v>
      </c>
      <c r="CI240" s="81" t="inlineStr">
        <is>
          <t>B</t>
        </is>
      </c>
      <c r="CJ240" s="81" t="inlineStr">
        <is>
          <t>Towers in range fire 30% faster</t>
        </is>
      </c>
    </row>
    <row r="241">
      <c r="A241" s="81" t="inlineStr">
        <is>
          <t>Field Hospital</t>
        </is>
      </c>
      <c r="B241" s="81" t="inlineStr">
        <is>
          <t>Tonic</t>
        </is>
      </c>
      <c r="C241" s="81" t="inlineStr">
        <is>
          <t>tougher towers</t>
        </is>
      </c>
      <c r="D241" s="81" t="n">
        <v>5</v>
      </c>
      <c r="E241" s="81">
        <f>E109</f>
        <v/>
      </c>
      <c r="F241" s="81">
        <f>F109</f>
        <v/>
      </c>
      <c r="G241" s="81" t="n">
        <v>1</v>
      </c>
      <c r="H241" s="81" t="n">
        <v>1</v>
      </c>
      <c r="I241" s="81" t="n">
        <v>1</v>
      </c>
      <c r="L241" s="81" t="n">
        <v>1</v>
      </c>
      <c r="M241" s="81" t="inlineStr">
        <is>
          <t>Bitter Brew</t>
        </is>
      </c>
      <c r="BH241" s="81" t="n">
        <v>45</v>
      </c>
      <c r="CI241" s="81" t="inlineStr">
        <is>
          <t>C</t>
        </is>
      </c>
      <c r="CJ241" s="81" t="inlineStr">
        <is>
          <t>Biters slowed 30% for 3 s; towers +45% HP</t>
        </is>
      </c>
      <c r="CP241" s="81" t="n">
        <v>30</v>
      </c>
      <c r="CQ241" s="81" t="n">
        <v>3</v>
      </c>
    </row>
    <row r="242">
      <c r="A242" s="81" t="inlineStr">
        <is>
          <t>Armory</t>
        </is>
      </c>
      <c r="B242" s="81" t="inlineStr">
        <is>
          <t>Plating</t>
        </is>
      </c>
      <c r="C242" s="81" t="inlineStr">
        <is>
          <t>resistance</t>
        </is>
      </c>
      <c r="D242" s="81" t="n">
        <v>4</v>
      </c>
      <c r="E242" s="81">
        <f>E83</f>
        <v/>
      </c>
      <c r="F242" s="81">
        <f>F83</f>
        <v/>
      </c>
      <c r="G242" s="81" t="n">
        <v>1</v>
      </c>
      <c r="H242" s="81" t="n">
        <v>1</v>
      </c>
      <c r="I242" s="81" t="n">
        <v>1</v>
      </c>
      <c r="L242" s="81" t="n">
        <v>1</v>
      </c>
      <c r="M242" s="81" t="inlineStr">
        <is>
          <t>Spiked Walls</t>
        </is>
      </c>
      <c r="AU242" s="81" t="n">
        <v>30</v>
      </c>
      <c r="AV242" s="81" t="n">
        <v>10</v>
      </c>
      <c r="CI242" s="81" t="inlineStr">
        <is>
          <t>B</t>
        </is>
      </c>
      <c r="CJ242" s="81" t="inlineStr">
        <is>
          <t>Dinos that bite take 10 damage back</t>
        </is>
      </c>
    </row>
    <row r="243">
      <c r="A243" s="81" t="inlineStr">
        <is>
          <t>Armory</t>
        </is>
      </c>
      <c r="B243" s="81" t="inlineStr">
        <is>
          <t>Plating</t>
        </is>
      </c>
      <c r="C243" s="81" t="inlineStr">
        <is>
          <t>resistance</t>
        </is>
      </c>
      <c r="D243" s="81" t="n">
        <v>4</v>
      </c>
      <c r="E243" s="81">
        <f>E83</f>
        <v/>
      </c>
      <c r="F243" s="81">
        <f>F83</f>
        <v/>
      </c>
      <c r="G243" s="81" t="n">
        <v>1</v>
      </c>
      <c r="H243" s="81" t="n">
        <v>1</v>
      </c>
      <c r="I243" s="81" t="n">
        <v>1</v>
      </c>
      <c r="L243" s="81" t="n">
        <v>1</v>
      </c>
      <c r="M243" s="81" t="inlineStr">
        <is>
          <t>Barbed Wire</t>
        </is>
      </c>
      <c r="AU243" s="81" t="n">
        <v>32</v>
      </c>
      <c r="CI243" s="81" t="inlineStr">
        <is>
          <t>C</t>
        </is>
      </c>
      <c r="CJ243" s="81" t="inlineStr">
        <is>
          <t>Stings and slows raiders who shoot towers here</t>
        </is>
      </c>
      <c r="CK243" s="81" t="inlineStr">
        <is>
          <t>yes</t>
        </is>
      </c>
      <c r="CL243" s="81" t="n">
        <v>20</v>
      </c>
      <c r="CM243" s="81" t="n">
        <v>2</v>
      </c>
      <c r="CN243" s="81" t="n">
        <v>10</v>
      </c>
    </row>
    <row r="244">
      <c r="A244" s="81" t="inlineStr">
        <is>
          <t>Armory</t>
        </is>
      </c>
      <c r="B244" s="81" t="inlineStr">
        <is>
          <t>Plating</t>
        </is>
      </c>
      <c r="C244" s="81" t="inlineStr">
        <is>
          <t>resistance</t>
        </is>
      </c>
      <c r="D244" s="81" t="n">
        <v>5</v>
      </c>
      <c r="E244" s="81">
        <f>E84</f>
        <v/>
      </c>
      <c r="F244" s="81">
        <f>F84</f>
        <v/>
      </c>
      <c r="G244" s="81" t="n">
        <v>1</v>
      </c>
      <c r="H244" s="81" t="n">
        <v>1</v>
      </c>
      <c r="I244" s="81" t="n">
        <v>1</v>
      </c>
      <c r="L244" s="81" t="n">
        <v>1</v>
      </c>
      <c r="M244" s="81" t="inlineStr">
        <is>
          <t>Iron Fortress</t>
        </is>
      </c>
      <c r="AU244" s="81" t="n">
        <v>55</v>
      </c>
      <c r="CI244" s="81" t="inlineStr">
        <is>
          <t>B</t>
        </is>
      </c>
      <c r="CJ244" s="81" t="inlineStr">
        <is>
          <t>Towers in range take 55% less damage</t>
        </is>
      </c>
    </row>
    <row r="245">
      <c r="A245" s="81" t="inlineStr">
        <is>
          <t>Armory</t>
        </is>
      </c>
      <c r="B245" s="81" t="inlineStr">
        <is>
          <t>Plating</t>
        </is>
      </c>
      <c r="C245" s="81" t="inlineStr">
        <is>
          <t>resistance</t>
        </is>
      </c>
      <c r="D245" s="81" t="n">
        <v>5</v>
      </c>
      <c r="E245" s="81">
        <f>E84</f>
        <v/>
      </c>
      <c r="F245" s="81">
        <f>F84</f>
        <v/>
      </c>
      <c r="G245" s="81" t="n">
        <v>1</v>
      </c>
      <c r="H245" s="81" t="n">
        <v>1</v>
      </c>
      <c r="I245" s="81" t="n">
        <v>1</v>
      </c>
      <c r="L245" s="81" t="n">
        <v>1</v>
      </c>
      <c r="M245" s="81" t="inlineStr">
        <is>
          <t>Spike Fortress</t>
        </is>
      </c>
      <c r="AU245" s="81" t="n">
        <v>40</v>
      </c>
      <c r="AV245" s="81" t="n">
        <v>18</v>
      </c>
      <c r="CI245" s="81" t="inlineStr">
        <is>
          <t>C</t>
        </is>
      </c>
      <c r="CJ245" s="81" t="inlineStr">
        <is>
          <t>Biters take 18 damage back</t>
        </is>
      </c>
    </row>
    <row r="246">
      <c r="A246" s="81" t="inlineStr">
        <is>
          <t>Armory</t>
        </is>
      </c>
      <c r="B246" s="81" t="inlineStr">
        <is>
          <t>Gunsmith</t>
        </is>
      </c>
      <c r="C246" s="81" t="inlineStr">
        <is>
          <t>support</t>
        </is>
      </c>
      <c r="D246" s="81" t="n">
        <v>4</v>
      </c>
      <c r="E246" s="81">
        <f>E88</f>
        <v/>
      </c>
      <c r="F246" s="81">
        <f>F88</f>
        <v/>
      </c>
      <c r="G246" s="81" t="n">
        <v>1</v>
      </c>
      <c r="H246" s="81" t="n">
        <v>1</v>
      </c>
      <c r="I246" s="81" t="n">
        <v>1</v>
      </c>
      <c r="L246" s="81" t="n">
        <v>1</v>
      </c>
      <c r="M246" s="81" t="inlineStr">
        <is>
          <t>Rapid Feed</t>
        </is>
      </c>
      <c r="AB246" s="81" t="n">
        <v>20</v>
      </c>
      <c r="AC246" s="81" t="n">
        <v>15</v>
      </c>
      <c r="CI246" s="81" t="inlineStr">
        <is>
          <t>B</t>
        </is>
      </c>
      <c r="CJ246" s="81" t="inlineStr">
        <is>
          <t>Towers in range fire 20% faster</t>
        </is>
      </c>
    </row>
    <row r="247">
      <c r="A247" s="81" t="inlineStr">
        <is>
          <t>Armory</t>
        </is>
      </c>
      <c r="B247" s="81" t="inlineStr">
        <is>
          <t>Gunsmith</t>
        </is>
      </c>
      <c r="C247" s="81" t="inlineStr">
        <is>
          <t>support</t>
        </is>
      </c>
      <c r="D247" s="81" t="n">
        <v>4</v>
      </c>
      <c r="E247" s="81">
        <f>E88</f>
        <v/>
      </c>
      <c r="F247" s="81">
        <f>F88</f>
        <v/>
      </c>
      <c r="G247" s="81" t="n">
        <v>1</v>
      </c>
      <c r="H247" s="81" t="n">
        <v>1</v>
      </c>
      <c r="I247" s="81" t="n">
        <v>1</v>
      </c>
      <c r="L247" s="81" t="n">
        <v>1</v>
      </c>
      <c r="M247" s="81" t="inlineStr">
        <is>
          <t>Heavy Loads</t>
        </is>
      </c>
      <c r="AB247" s="81" t="n">
        <v>5</v>
      </c>
      <c r="AC247" s="81" t="n">
        <v>30</v>
      </c>
      <c r="CI247" s="81" t="inlineStr">
        <is>
          <t>C</t>
        </is>
      </c>
      <c r="CJ247" s="81" t="inlineStr">
        <is>
          <t>Towers in range hit 30% harder</t>
        </is>
      </c>
    </row>
    <row r="248">
      <c r="A248" s="81" t="inlineStr">
        <is>
          <t>Armory</t>
        </is>
      </c>
      <c r="B248" s="81" t="inlineStr">
        <is>
          <t>Gunsmith</t>
        </is>
      </c>
      <c r="C248" s="81" t="inlineStr">
        <is>
          <t>support</t>
        </is>
      </c>
      <c r="D248" s="81" t="n">
        <v>5</v>
      </c>
      <c r="E248" s="81">
        <f>E89</f>
        <v/>
      </c>
      <c r="F248" s="81">
        <f>F89</f>
        <v/>
      </c>
      <c r="G248" s="81" t="n">
        <v>1</v>
      </c>
      <c r="H248" s="81" t="n">
        <v>1</v>
      </c>
      <c r="I248" s="81" t="n">
        <v>1</v>
      </c>
      <c r="L248" s="81" t="n">
        <v>1</v>
      </c>
      <c r="M248" s="81" t="inlineStr">
        <is>
          <t>Machine Shop</t>
        </is>
      </c>
      <c r="AB248" s="81" t="n">
        <v>30</v>
      </c>
      <c r="AC248" s="81" t="n">
        <v>25</v>
      </c>
      <c r="CI248" s="81" t="inlineStr">
        <is>
          <t>B</t>
        </is>
      </c>
      <c r="CJ248" s="81" t="inlineStr">
        <is>
          <t>Towers in range fire 30% faster</t>
        </is>
      </c>
    </row>
    <row r="249">
      <c r="A249" s="81" t="inlineStr">
        <is>
          <t>Armory</t>
        </is>
      </c>
      <c r="B249" s="81" t="inlineStr">
        <is>
          <t>Gunsmith</t>
        </is>
      </c>
      <c r="C249" s="81" t="inlineStr">
        <is>
          <t>support</t>
        </is>
      </c>
      <c r="D249" s="81" t="n">
        <v>5</v>
      </c>
      <c r="E249" s="81">
        <f>E89</f>
        <v/>
      </c>
      <c r="F249" s="81">
        <f>F89</f>
        <v/>
      </c>
      <c r="G249" s="81" t="n">
        <v>1</v>
      </c>
      <c r="H249" s="81" t="n">
        <v>1</v>
      </c>
      <c r="I249" s="81" t="n">
        <v>1</v>
      </c>
      <c r="L249" s="81" t="n">
        <v>1</v>
      </c>
      <c r="M249" s="81" t="inlineStr">
        <is>
          <t>Magnum Loads</t>
        </is>
      </c>
      <c r="AB249" s="81" t="n">
        <v>15</v>
      </c>
      <c r="AC249" s="81" t="n">
        <v>40</v>
      </c>
      <c r="CI249" s="81" t="inlineStr">
        <is>
          <t>C</t>
        </is>
      </c>
      <c r="CJ249" s="81" t="inlineStr">
        <is>
          <t>Towers in range hit 40% harder</t>
        </is>
      </c>
    </row>
    <row r="250">
      <c r="A250" s="81" t="inlineStr">
        <is>
          <t>Armory</t>
        </is>
      </c>
      <c r="B250" s="81" t="inlineStr">
        <is>
          <t>Outfitter</t>
        </is>
      </c>
      <c r="C250" s="81" t="inlineStr">
        <is>
          <t>hunters</t>
        </is>
      </c>
      <c r="D250" s="81" t="n">
        <v>4</v>
      </c>
      <c r="E250" s="81">
        <f>E93</f>
        <v/>
      </c>
      <c r="F250" s="81">
        <f>F93</f>
        <v/>
      </c>
      <c r="G250" s="81" t="n">
        <v>1</v>
      </c>
      <c r="H250" s="81" t="n">
        <v>1</v>
      </c>
      <c r="I250" s="81" t="n">
        <v>1</v>
      </c>
      <c r="L250" s="81" t="n">
        <v>1</v>
      </c>
      <c r="M250" s="81" t="inlineStr">
        <is>
          <t>Loading Bench</t>
        </is>
      </c>
      <c r="AY250" s="81" t="n">
        <v>0.7</v>
      </c>
      <c r="CI250" s="81" t="inlineStr">
        <is>
          <t>B</t>
        </is>
      </c>
      <c r="CJ250" s="81" t="inlineStr">
        <is>
          <t>Hunters in range reload 30% faster</t>
        </is>
      </c>
    </row>
    <row r="251">
      <c r="A251" s="81" t="inlineStr">
        <is>
          <t>Armory</t>
        </is>
      </c>
      <c r="B251" s="81" t="inlineStr">
        <is>
          <t>Outfitter</t>
        </is>
      </c>
      <c r="C251" s="81" t="inlineStr">
        <is>
          <t>hunters</t>
        </is>
      </c>
      <c r="D251" s="81" t="n">
        <v>4</v>
      </c>
      <c r="E251" s="81">
        <f>E93</f>
        <v/>
      </c>
      <c r="F251" s="81">
        <f>F93</f>
        <v/>
      </c>
      <c r="G251" s="81" t="n">
        <v>1</v>
      </c>
      <c r="H251" s="81" t="n">
        <v>1</v>
      </c>
      <c r="I251" s="81" t="n">
        <v>1</v>
      </c>
      <c r="L251" s="81" t="n">
        <v>1</v>
      </c>
      <c r="M251" s="81" t="inlineStr">
        <is>
          <t>Gun Braces</t>
        </is>
      </c>
      <c r="AX251" s="81" t="n">
        <v>0.7</v>
      </c>
      <c r="CI251" s="81" t="inlineStr">
        <is>
          <t>C</t>
        </is>
      </c>
      <c r="CJ251" s="81" t="inlineStr">
        <is>
          <t>Hunters in range have 30% less recoil</t>
        </is>
      </c>
    </row>
    <row r="252">
      <c r="A252" s="81" t="inlineStr">
        <is>
          <t>Armory</t>
        </is>
      </c>
      <c r="B252" s="81" t="inlineStr">
        <is>
          <t>Outfitter</t>
        </is>
      </c>
      <c r="C252" s="81" t="inlineStr">
        <is>
          <t>hunters</t>
        </is>
      </c>
      <c r="D252" s="81" t="n">
        <v>5</v>
      </c>
      <c r="E252" s="81">
        <f>E94</f>
        <v/>
      </c>
      <c r="F252" s="81">
        <f>F94</f>
        <v/>
      </c>
      <c r="G252" s="81" t="n">
        <v>1</v>
      </c>
      <c r="H252" s="81" t="n">
        <v>1</v>
      </c>
      <c r="I252" s="81" t="n">
        <v>1</v>
      </c>
      <c r="L252" s="81" t="n">
        <v>1.15385</v>
      </c>
      <c r="M252" s="81" t="inlineStr">
        <is>
          <t>Gun Oil</t>
        </is>
      </c>
      <c r="AY252" s="81" t="n">
        <v>0.8</v>
      </c>
      <c r="CI252" s="81" t="inlineStr">
        <is>
          <t>B</t>
        </is>
      </c>
      <c r="CJ252" s="81" t="inlineStr">
        <is>
          <t>Wider ring; hunters in it reload 20% faster</t>
        </is>
      </c>
    </row>
    <row r="253">
      <c r="A253" s="81" t="inlineStr">
        <is>
          <t>Armory</t>
        </is>
      </c>
      <c r="B253" s="81" t="inlineStr">
        <is>
          <t>Outfitter</t>
        </is>
      </c>
      <c r="C253" s="81" t="inlineStr">
        <is>
          <t>hunters</t>
        </is>
      </c>
      <c r="D253" s="81" t="n">
        <v>5</v>
      </c>
      <c r="E253" s="81">
        <f>E94</f>
        <v/>
      </c>
      <c r="F253" s="81">
        <f>F94</f>
        <v/>
      </c>
      <c r="G253" s="81" t="n">
        <v>1</v>
      </c>
      <c r="H253" s="81" t="n">
        <v>1</v>
      </c>
      <c r="I253" s="81" t="n">
        <v>1</v>
      </c>
      <c r="L253" s="81" t="n">
        <v>1.15385</v>
      </c>
      <c r="M253" s="81" t="inlineStr">
        <is>
          <t>Steady Aim</t>
        </is>
      </c>
      <c r="AZ253" s="81" t="n">
        <v>0.8</v>
      </c>
      <c r="CI253" s="81" t="inlineStr">
        <is>
          <t>C</t>
        </is>
      </c>
      <c r="CJ253" s="81" t="inlineStr">
        <is>
          <t>Wider ring; hunters in it aim 20% tighter</t>
        </is>
      </c>
    </row>
    <row r="254">
      <c r="A254" s="43" t="inlineStr">
        <is>
          <t>Storm Coil</t>
        </is>
      </c>
      <c r="B254" s="43" t="inlineStr">
        <is>
          <t>Arc</t>
        </is>
      </c>
      <c r="C254" s="43" t="inlineStr">
        <is>
          <t>more arcs, reach</t>
        </is>
      </c>
      <c r="D254" s="56" t="n">
        <v>4</v>
      </c>
      <c r="E254" s="56">
        <f>E113</f>
        <v/>
      </c>
      <c r="F254" s="56">
        <f>F113</f>
        <v/>
      </c>
      <c r="G254" s="57" t="n">
        <v>1.15</v>
      </c>
      <c r="H254" s="57" t="n">
        <v>1</v>
      </c>
      <c r="I254" s="57" t="n">
        <v>1</v>
      </c>
      <c r="L254" s="57" t="n">
        <v>1</v>
      </c>
      <c r="M254" s="43" t="inlineStr">
        <is>
          <t>Branching Bolt</t>
        </is>
      </c>
      <c r="BM254" s="81" t="n">
        <v>3</v>
      </c>
      <c r="CI254" s="81" t="inlineStr">
        <is>
          <t>B</t>
        </is>
      </c>
      <c r="CJ254" s="81" t="inlineStr">
        <is>
          <t>Every arc forks three ways</t>
        </is>
      </c>
    </row>
    <row r="255">
      <c r="A255" s="43" t="inlineStr">
        <is>
          <t>Storm Coil</t>
        </is>
      </c>
      <c r="B255" s="43" t="inlineStr">
        <is>
          <t>Arc</t>
        </is>
      </c>
      <c r="C255" s="43" t="inlineStr">
        <is>
          <t>more arcs, reach</t>
        </is>
      </c>
      <c r="D255" s="56" t="n">
        <v>4</v>
      </c>
      <c r="E255" s="56">
        <f>E113</f>
        <v/>
      </c>
      <c r="F255" s="56">
        <f>F113</f>
        <v/>
      </c>
      <c r="G255" s="57" t="n">
        <v>1.4</v>
      </c>
      <c r="H255" s="57" t="n">
        <v>1</v>
      </c>
      <c r="I255" s="57" t="n">
        <v>1</v>
      </c>
      <c r="L255" s="57" t="n">
        <v>1</v>
      </c>
      <c r="M255" s="43" t="inlineStr">
        <is>
          <t>Chain Surge</t>
        </is>
      </c>
      <c r="BK255" s="81" t="n">
        <v>9</v>
      </c>
      <c r="CI255" s="81" t="inlineStr">
        <is>
          <t>C</t>
        </is>
      </c>
      <c r="CJ255" s="81" t="inlineStr">
        <is>
          <t>Three more arcs on every strike</t>
        </is>
      </c>
    </row>
    <row r="256">
      <c r="A256" s="43" t="inlineStr">
        <is>
          <t>Storm Coil</t>
        </is>
      </c>
      <c r="B256" s="43" t="inlineStr">
        <is>
          <t>Arc</t>
        </is>
      </c>
      <c r="C256" s="43" t="inlineStr">
        <is>
          <t>more arcs, reach</t>
        </is>
      </c>
      <c r="D256" s="56" t="n">
        <v>5</v>
      </c>
      <c r="E256" s="56">
        <f>E114</f>
        <v/>
      </c>
      <c r="F256" s="56">
        <f>F114</f>
        <v/>
      </c>
      <c r="G256" s="57" t="n">
        <v>1.45</v>
      </c>
      <c r="H256" s="57" t="n">
        <v>1</v>
      </c>
      <c r="I256" s="57" t="n">
        <v>1</v>
      </c>
      <c r="L256" s="57" t="n">
        <v>1</v>
      </c>
      <c r="M256" s="43" t="inlineStr">
        <is>
          <t>Storm Front</t>
        </is>
      </c>
      <c r="CI256" s="81" t="inlineStr">
        <is>
          <t>B</t>
        </is>
      </c>
      <c r="CJ256" s="81" t="inlineStr">
        <is>
          <t>Every 8 s a strike hits every dino on the field</t>
        </is>
      </c>
      <c r="CR256" s="81" t="n">
        <v>8</v>
      </c>
      <c r="CS256" s="81" t="n">
        <v>0.5</v>
      </c>
    </row>
    <row r="257">
      <c r="A257" s="43" t="inlineStr">
        <is>
          <t>Storm Coil</t>
        </is>
      </c>
      <c r="B257" s="43" t="inlineStr">
        <is>
          <t>Arc</t>
        </is>
      </c>
      <c r="C257" s="43" t="inlineStr">
        <is>
          <t>more arcs, reach</t>
        </is>
      </c>
      <c r="D257" s="56" t="n">
        <v>5</v>
      </c>
      <c r="E257" s="56">
        <f>E114</f>
        <v/>
      </c>
      <c r="F257" s="56">
        <f>F114</f>
        <v/>
      </c>
      <c r="G257" s="57" t="n">
        <v>1.5</v>
      </c>
      <c r="H257" s="57" t="n">
        <v>1</v>
      </c>
      <c r="I257" s="57" t="n">
        <v>1</v>
      </c>
      <c r="L257" s="57" t="n">
        <v>1</v>
      </c>
      <c r="M257" s="43" t="inlineStr">
        <is>
          <t>Supercell</t>
        </is>
      </c>
      <c r="AE257" s="81" t="n">
        <v>20</v>
      </c>
      <c r="AF257" s="81" t="n">
        <v>1</v>
      </c>
      <c r="BK257" s="81" t="n">
        <v>14</v>
      </c>
      <c r="CI257" s="81" t="inlineStr">
        <is>
          <t>C</t>
        </is>
      </c>
      <c r="CJ257" s="81" t="inlineStr">
        <is>
          <t>A 14-arc chain that slows every dino it hits</t>
        </is>
      </c>
      <c r="CT257" s="81" t="inlineStr">
        <is>
          <t>Yes</t>
        </is>
      </c>
    </row>
    <row r="258">
      <c r="A258" s="43" t="inlineStr">
        <is>
          <t>Storm Coil</t>
        </is>
      </c>
      <c r="B258" s="43" t="inlineStr">
        <is>
          <t>Charge</t>
        </is>
      </c>
      <c r="C258" s="43" t="inlineStr">
        <is>
          <t>power, armour, stun</t>
        </is>
      </c>
      <c r="D258" s="56" t="n">
        <v>4</v>
      </c>
      <c r="E258" s="56">
        <f>E118</f>
        <v/>
      </c>
      <c r="F258" s="56">
        <f>F118</f>
        <v/>
      </c>
      <c r="G258" s="57" t="n">
        <v>1.35</v>
      </c>
      <c r="H258" s="57" t="n">
        <v>1</v>
      </c>
      <c r="I258" s="57" t="n">
        <v>1</v>
      </c>
      <c r="L258" s="57" t="n">
        <v>1</v>
      </c>
      <c r="M258" s="43" t="inlineStr">
        <is>
          <t>Overcharge</t>
        </is>
      </c>
      <c r="N258" s="46" t="inlineStr">
        <is>
          <t>Yes</t>
        </is>
      </c>
      <c r="U258" s="57" t="n">
        <v>0.8</v>
      </c>
      <c r="CI258" s="81" t="inlineStr">
        <is>
          <t>B</t>
        </is>
      </c>
      <c r="CJ258" s="81" t="inlineStr">
        <is>
          <t>Stuns its first target for 0.8 s</t>
        </is>
      </c>
    </row>
    <row r="259">
      <c r="A259" s="43" t="inlineStr">
        <is>
          <t>Storm Coil</t>
        </is>
      </c>
      <c r="B259" s="43" t="inlineStr">
        <is>
          <t>Charge</t>
        </is>
      </c>
      <c r="C259" s="43" t="inlineStr">
        <is>
          <t>power, armour, stun</t>
        </is>
      </c>
      <c r="D259" s="56" t="n">
        <v>4</v>
      </c>
      <c r="E259" s="56">
        <f>E118</f>
        <v/>
      </c>
      <c r="F259" s="56">
        <f>F118</f>
        <v/>
      </c>
      <c r="G259" s="57" t="n">
        <v>1.3</v>
      </c>
      <c r="H259" s="57" t="n">
        <v>1</v>
      </c>
      <c r="I259" s="57" t="n">
        <v>1</v>
      </c>
      <c r="L259" s="57" t="n">
        <v>1</v>
      </c>
      <c r="M259" s="43" t="inlineStr">
        <is>
          <t>Static Storm</t>
        </is>
      </c>
      <c r="N259" s="46" t="inlineStr">
        <is>
          <t>Yes</t>
        </is>
      </c>
      <c r="BP259" s="81" t="n">
        <v>30</v>
      </c>
      <c r="CI259" s="81" t="inlineStr">
        <is>
          <t>C</t>
        </is>
      </c>
      <c r="CJ259" s="81" t="inlineStr">
        <is>
          <t>Struck dinos take +30% from the next strike</t>
        </is>
      </c>
    </row>
    <row r="260">
      <c r="A260" s="43" t="inlineStr">
        <is>
          <t>Storm Coil</t>
        </is>
      </c>
      <c r="B260" s="43" t="inlineStr">
        <is>
          <t>Charge</t>
        </is>
      </c>
      <c r="C260" s="43" t="inlineStr">
        <is>
          <t>power, armour, stun</t>
        </is>
      </c>
      <c r="D260" s="56" t="n">
        <v>5</v>
      </c>
      <c r="E260" s="56">
        <f>E119</f>
        <v/>
      </c>
      <c r="F260" s="56">
        <f>F119</f>
        <v/>
      </c>
      <c r="G260" s="57" t="n">
        <v>1.85</v>
      </c>
      <c r="H260" s="57" t="n">
        <v>1</v>
      </c>
      <c r="I260" s="57" t="n">
        <v>1</v>
      </c>
      <c r="L260" s="57" t="n">
        <v>1</v>
      </c>
      <c r="M260" s="43" t="inlineStr">
        <is>
          <t>Superconductor</t>
        </is>
      </c>
      <c r="N260" s="46" t="inlineStr">
        <is>
          <t>Yes</t>
        </is>
      </c>
      <c r="CI260" s="81" t="inlineStr">
        <is>
          <t>B</t>
        </is>
      </c>
      <c r="CJ260" s="81" t="inlineStr">
        <is>
          <t>Every dino in the chain is stunned for a moment</t>
        </is>
      </c>
      <c r="CT260" s="81" t="inlineStr">
        <is>
          <t>Yes</t>
        </is>
      </c>
    </row>
    <row r="261">
      <c r="A261" s="43" t="inlineStr">
        <is>
          <t>Storm Coil</t>
        </is>
      </c>
      <c r="B261" s="43" t="inlineStr">
        <is>
          <t>Charge</t>
        </is>
      </c>
      <c r="C261" s="43" t="inlineStr">
        <is>
          <t>power, armour, stun</t>
        </is>
      </c>
      <c r="D261" s="56" t="n">
        <v>5</v>
      </c>
      <c r="E261" s="56">
        <f>E119</f>
        <v/>
      </c>
      <c r="F261" s="56">
        <f>F119</f>
        <v/>
      </c>
      <c r="G261" s="57" t="n">
        <v>2</v>
      </c>
      <c r="H261" s="57" t="n">
        <v>1</v>
      </c>
      <c r="I261" s="57" t="n">
        <v>1</v>
      </c>
      <c r="L261" s="57" t="n">
        <v>1</v>
      </c>
      <c r="M261" s="43" t="inlineStr">
        <is>
          <t>Thunderstrike</t>
        </is>
      </c>
      <c r="N261" s="46" t="inlineStr">
        <is>
          <t>Yes</t>
        </is>
      </c>
      <c r="BJ261" s="81" t="n">
        <v>2</v>
      </c>
      <c r="CI261" s="81" t="inlineStr">
        <is>
          <t>C</t>
        </is>
      </c>
      <c r="CJ261" s="81" t="inlineStr">
        <is>
          <t>Huge strikes that break 2 sizes</t>
        </is>
      </c>
    </row>
    <row r="262">
      <c r="A262" s="43" t="inlineStr">
        <is>
          <t>Storm Coil</t>
        </is>
      </c>
      <c r="B262" s="43" t="inlineStr">
        <is>
          <t>Lightning Rod</t>
        </is>
      </c>
      <c r="C262" s="43" t="inlineStr">
        <is>
          <t>support, defence</t>
        </is>
      </c>
      <c r="D262" s="56" t="n">
        <v>4</v>
      </c>
      <c r="E262" s="56">
        <f>E123</f>
        <v/>
      </c>
      <c r="F262" s="56">
        <f>F123</f>
        <v/>
      </c>
      <c r="G262" s="57" t="n">
        <v>1.3</v>
      </c>
      <c r="H262" s="57" t="n">
        <v>1</v>
      </c>
      <c r="I262" s="57" t="n">
        <v>1</v>
      </c>
      <c r="L262" s="57" t="n">
        <v>1</v>
      </c>
      <c r="M262" s="43" t="inlineStr">
        <is>
          <t>Ground Wire</t>
        </is>
      </c>
      <c r="BR262" s="81" t="n">
        <v>2</v>
      </c>
      <c r="CI262" s="81" t="inlineStr">
        <is>
          <t>B</t>
        </is>
      </c>
      <c r="CJ262" s="81" t="inlineStr">
        <is>
          <t>Strikes down a dino throw every 2 s</t>
        </is>
      </c>
    </row>
    <row r="263">
      <c r="A263" s="43" t="inlineStr">
        <is>
          <t>Storm Coil</t>
        </is>
      </c>
      <c r="B263" s="43" t="inlineStr">
        <is>
          <t>Lightning Rod</t>
        </is>
      </c>
      <c r="C263" s="43" t="inlineStr">
        <is>
          <t>support, defence</t>
        </is>
      </c>
      <c r="D263" s="56" t="n">
        <v>4</v>
      </c>
      <c r="E263" s="56">
        <f>E123</f>
        <v/>
      </c>
      <c r="F263" s="56">
        <f>F123</f>
        <v/>
      </c>
      <c r="G263" s="57" t="n">
        <v>1.3</v>
      </c>
      <c r="H263" s="57" t="n">
        <v>1</v>
      </c>
      <c r="I263" s="57" t="n">
        <v>1</v>
      </c>
      <c r="L263" s="57" t="n">
        <v>1</v>
      </c>
      <c r="M263" s="43" t="inlineStr">
        <is>
          <t>Rod Strike</t>
        </is>
      </c>
      <c r="AB263" s="57" t="n">
        <v>15</v>
      </c>
      <c r="CI263" s="81" t="inlineStr">
        <is>
          <t>C</t>
        </is>
      </c>
      <c r="CJ263" s="81" t="inlineStr">
        <is>
          <t>Zaps raiders; towers in range fire 15% faster</t>
        </is>
      </c>
      <c r="CK263" s="81" t="inlineStr">
        <is>
          <t>yes</t>
        </is>
      </c>
      <c r="CL263" s="81" t="n">
        <v>20</v>
      </c>
      <c r="CM263" s="81" t="n">
        <v>1</v>
      </c>
      <c r="CN263" s="81" t="n">
        <v>8</v>
      </c>
    </row>
    <row r="264">
      <c r="A264" s="43" t="inlineStr">
        <is>
          <t>Storm Coil</t>
        </is>
      </c>
      <c r="B264" s="43" t="inlineStr">
        <is>
          <t>Lightning Rod</t>
        </is>
      </c>
      <c r="C264" s="43" t="inlineStr">
        <is>
          <t>support, defence</t>
        </is>
      </c>
      <c r="D264" s="56" t="n">
        <v>5</v>
      </c>
      <c r="E264" s="56">
        <f>E124</f>
        <v/>
      </c>
      <c r="F264" s="56">
        <f>F124</f>
        <v/>
      </c>
      <c r="G264" s="57" t="n">
        <v>1.3</v>
      </c>
      <c r="H264" s="57" t="n">
        <v>1</v>
      </c>
      <c r="I264" s="57" t="n">
        <v>1</v>
      </c>
      <c r="L264" s="57" t="n">
        <v>1</v>
      </c>
      <c r="M264" s="43" t="inlineStr">
        <is>
          <t>Lightning Shield</t>
        </is>
      </c>
      <c r="AC264" s="57" t="n">
        <v>10</v>
      </c>
      <c r="BR264" s="81" t="n">
        <v>1</v>
      </c>
      <c r="CI264" s="81" t="inlineStr">
        <is>
          <t>B</t>
        </is>
      </c>
      <c r="CJ264" s="81" t="inlineStr">
        <is>
          <t>Strikes down a throw at a tower every second</t>
        </is>
      </c>
    </row>
    <row r="265">
      <c r="A265" s="43" t="inlineStr">
        <is>
          <t>Storm Coil</t>
        </is>
      </c>
      <c r="B265" s="43" t="inlineStr">
        <is>
          <t>Lightning Rod</t>
        </is>
      </c>
      <c r="C265" s="43" t="inlineStr">
        <is>
          <t>support, defence</t>
        </is>
      </c>
      <c r="D265" s="56" t="n">
        <v>5</v>
      </c>
      <c r="E265" s="56">
        <f>E124</f>
        <v/>
      </c>
      <c r="F265" s="56">
        <f>F124</f>
        <v/>
      </c>
      <c r="G265" s="57" t="n">
        <v>1.3</v>
      </c>
      <c r="H265" s="57" t="n">
        <v>1</v>
      </c>
      <c r="I265" s="57" t="n">
        <v>1</v>
      </c>
      <c r="L265" s="57" t="n">
        <v>1</v>
      </c>
      <c r="M265" s="43" t="inlineStr">
        <is>
          <t>Thunder Drums</t>
        </is>
      </c>
      <c r="AB265" s="57" t="n">
        <v>25</v>
      </c>
      <c r="CI265" s="81" t="inlineStr">
        <is>
          <t>C</t>
        </is>
      </c>
      <c r="CJ265" s="81" t="inlineStr">
        <is>
          <t>Towers in range fire 25% faster</t>
        </is>
      </c>
    </row>
    <row r="266">
      <c r="A266" s="43" t="inlineStr">
        <is>
          <t>Falcon Roost</t>
        </is>
      </c>
      <c r="B266" s="43" t="inlineStr">
        <is>
          <t>Talons</t>
        </is>
      </c>
      <c r="C266" s="43" t="inlineStr">
        <is>
          <t>raw damage, pierces armour</t>
        </is>
      </c>
      <c r="D266" s="56" t="n">
        <v>4</v>
      </c>
      <c r="E266" s="56">
        <f>E128</f>
        <v/>
      </c>
      <c r="F266" s="56">
        <f>F128</f>
        <v/>
      </c>
      <c r="G266" s="57" t="n">
        <v>1.2</v>
      </c>
      <c r="H266" s="57" t="n">
        <v>1</v>
      </c>
      <c r="I266" s="57" t="n">
        <v>2</v>
      </c>
      <c r="L266" s="57" t="n">
        <v>1</v>
      </c>
      <c r="M266" s="43" t="inlineStr">
        <is>
          <t>Raking Strike</t>
        </is>
      </c>
      <c r="N266" s="81" t="inlineStr">
        <is>
          <t>Yes</t>
        </is>
      </c>
      <c r="CI266" s="81" t="inlineStr">
        <is>
          <t>B</t>
        </is>
      </c>
      <c r="CJ266" s="81" t="inlineStr">
        <is>
          <t>Each dive also slashes the dino beside it</t>
        </is>
      </c>
    </row>
    <row r="267">
      <c r="A267" s="43" t="inlineStr">
        <is>
          <t>Falcon Roost</t>
        </is>
      </c>
      <c r="B267" s="43" t="inlineStr">
        <is>
          <t>Talons</t>
        </is>
      </c>
      <c r="C267" s="43" t="inlineStr">
        <is>
          <t>raw damage, pierces armour</t>
        </is>
      </c>
      <c r="D267" s="56" t="n">
        <v>4</v>
      </c>
      <c r="E267" s="56">
        <f>E128</f>
        <v/>
      </c>
      <c r="F267" s="56">
        <f>F128</f>
        <v/>
      </c>
      <c r="G267" s="57" t="n">
        <v>1.35</v>
      </c>
      <c r="H267" s="57" t="n">
        <v>1</v>
      </c>
      <c r="I267" s="57" t="n">
        <v>1</v>
      </c>
      <c r="L267" s="57" t="n">
        <v>1</v>
      </c>
      <c r="M267" s="43" t="inlineStr">
        <is>
          <t>Stoop Strike</t>
        </is>
      </c>
      <c r="N267" s="81" t="inlineStr">
        <is>
          <t>Yes</t>
        </is>
      </c>
      <c r="BU267" s="81" t="n">
        <v>6</v>
      </c>
      <c r="CI267" s="81" t="inlineStr">
        <is>
          <t>C</t>
        </is>
      </c>
      <c r="CJ267" s="81" t="inlineStr">
        <is>
          <t>The first dive on a dino hits 6x</t>
        </is>
      </c>
    </row>
    <row r="268">
      <c r="A268" s="43" t="inlineStr">
        <is>
          <t>Falcon Roost</t>
        </is>
      </c>
      <c r="B268" s="43" t="inlineStr">
        <is>
          <t>Talons</t>
        </is>
      </c>
      <c r="C268" s="43" t="inlineStr">
        <is>
          <t>raw damage, pierces armour</t>
        </is>
      </c>
      <c r="D268" s="56" t="n">
        <v>5</v>
      </c>
      <c r="E268" s="56">
        <f>E129</f>
        <v/>
      </c>
      <c r="F268" s="56">
        <f>F129</f>
        <v/>
      </c>
      <c r="G268" s="57" t="n">
        <v>2.1</v>
      </c>
      <c r="H268" s="57" t="n">
        <v>1</v>
      </c>
      <c r="I268" s="57" t="n">
        <v>1</v>
      </c>
      <c r="L268" s="57" t="n">
        <v>1</v>
      </c>
      <c r="M268" s="43" t="inlineStr">
        <is>
          <t>Harpy Strike</t>
        </is>
      </c>
      <c r="P268" s="81" t="n">
        <v>2</v>
      </c>
      <c r="BJ268" s="81" t="n">
        <v>4</v>
      </c>
      <c r="CI268" s="81" t="inlineStr">
        <is>
          <t>B</t>
        </is>
      </c>
      <c r="CJ268" s="81" t="inlineStr">
        <is>
          <t>Dives break 4 sizes and hit bosses 2x</t>
        </is>
      </c>
    </row>
    <row r="269">
      <c r="A269" s="43" t="inlineStr">
        <is>
          <t>Falcon Roost</t>
        </is>
      </c>
      <c r="B269" s="43" t="inlineStr">
        <is>
          <t>Talons</t>
        </is>
      </c>
      <c r="C269" s="43" t="inlineStr">
        <is>
          <t>raw damage, pierces armour</t>
        </is>
      </c>
      <c r="D269" s="56" t="n">
        <v>5</v>
      </c>
      <c r="E269" s="56">
        <f>E129</f>
        <v/>
      </c>
      <c r="F269" s="56">
        <f>F129</f>
        <v/>
      </c>
      <c r="G269" s="57" t="n">
        <v>3.2</v>
      </c>
      <c r="H269" s="57" t="n">
        <v>1</v>
      </c>
      <c r="I269" s="57" t="n">
        <v>1</v>
      </c>
      <c r="L269" s="57" t="n">
        <v>1</v>
      </c>
      <c r="M269" s="43" t="inlineStr">
        <is>
          <t>Hide Ripper</t>
        </is>
      </c>
      <c r="O269" s="81" t="n">
        <v>2.5</v>
      </c>
      <c r="CI269" s="81" t="inlineStr">
        <is>
          <t>C</t>
        </is>
      </c>
      <c r="CJ269" s="81" t="inlineStr">
        <is>
          <t>Talons shred armoured dinos</t>
        </is>
      </c>
    </row>
    <row r="270">
      <c r="A270" s="43" t="inlineStr">
        <is>
          <t>Falcon Roost</t>
        </is>
      </c>
      <c r="B270" s="43" t="inlineStr">
        <is>
          <t>Flock</t>
        </is>
      </c>
      <c r="C270" s="43" t="inlineStr">
        <is>
          <t>more birds</t>
        </is>
      </c>
      <c r="D270" s="56" t="n">
        <v>4</v>
      </c>
      <c r="E270" s="56">
        <f>E133</f>
        <v/>
      </c>
      <c r="F270" s="56">
        <f>F133</f>
        <v/>
      </c>
      <c r="G270" s="57" t="n">
        <v>1.85</v>
      </c>
      <c r="H270" s="57" t="n">
        <v>1.6</v>
      </c>
      <c r="I270" s="57" t="n">
        <v>1</v>
      </c>
      <c r="L270" s="57" t="n">
        <v>1</v>
      </c>
      <c r="M270" s="43" t="inlineStr">
        <is>
          <t>Swift Wings</t>
        </is>
      </c>
      <c r="CI270" s="81" t="inlineStr">
        <is>
          <t>B</t>
        </is>
      </c>
      <c r="CJ270" s="81" t="inlineStr">
        <is>
          <t>Birds fly back much faster</t>
        </is>
      </c>
    </row>
    <row r="271">
      <c r="A271" s="43" t="inlineStr">
        <is>
          <t>Falcon Roost</t>
        </is>
      </c>
      <c r="B271" s="43" t="inlineStr">
        <is>
          <t>Flock</t>
        </is>
      </c>
      <c r="C271" s="43" t="inlineStr">
        <is>
          <t>more birds</t>
        </is>
      </c>
      <c r="D271" s="56" t="n">
        <v>4</v>
      </c>
      <c r="E271" s="56">
        <f>E133</f>
        <v/>
      </c>
      <c r="F271" s="56">
        <f>F133</f>
        <v/>
      </c>
      <c r="G271" s="57" t="n">
        <v>2.7</v>
      </c>
      <c r="H271" s="57" t="n">
        <v>1</v>
      </c>
      <c r="I271" s="57" t="n">
        <v>1</v>
      </c>
      <c r="L271" s="57" t="n">
        <v>1</v>
      </c>
      <c r="M271" s="43" t="inlineStr">
        <is>
          <t>Second Flock</t>
        </is>
      </c>
      <c r="BT271" s="81" t="n">
        <v>7</v>
      </c>
      <c r="CI271" s="81" t="inlineStr">
        <is>
          <t>C</t>
        </is>
      </c>
      <c r="CJ271" s="81" t="inlineStr">
        <is>
          <t>Seven bigger birds hunt at once</t>
        </is>
      </c>
    </row>
    <row r="272">
      <c r="A272" s="43" t="inlineStr">
        <is>
          <t>Falcon Roost</t>
        </is>
      </c>
      <c r="B272" s="43" t="inlineStr">
        <is>
          <t>Flock</t>
        </is>
      </c>
      <c r="C272" s="43" t="inlineStr">
        <is>
          <t>more birds</t>
        </is>
      </c>
      <c r="D272" s="56" t="n">
        <v>5</v>
      </c>
      <c r="E272" s="56">
        <f>E134</f>
        <v/>
      </c>
      <c r="F272" s="56">
        <f>F134</f>
        <v/>
      </c>
      <c r="G272" s="57" t="n">
        <v>3.3</v>
      </c>
      <c r="H272" s="57" t="n">
        <v>1</v>
      </c>
      <c r="I272" s="57" t="n">
        <v>1</v>
      </c>
      <c r="L272" s="57" t="n">
        <v>2</v>
      </c>
      <c r="M272" s="43" t="inlineStr">
        <is>
          <t>Sky Hunters</t>
        </is>
      </c>
      <c r="BT272" s="81" t="n">
        <v>12</v>
      </c>
      <c r="CI272" s="81" t="inlineStr">
        <is>
          <t>B</t>
        </is>
      </c>
      <c r="CJ272" s="81" t="inlineStr">
        <is>
          <t>Twelve birds hunt twice as far out</t>
        </is>
      </c>
    </row>
    <row r="273">
      <c r="A273" s="43" t="inlineStr">
        <is>
          <t>Falcon Roost</t>
        </is>
      </c>
      <c r="B273" s="43" t="inlineStr">
        <is>
          <t>Flock</t>
        </is>
      </c>
      <c r="C273" s="43" t="inlineStr">
        <is>
          <t>more birds</t>
        </is>
      </c>
      <c r="D273" s="56" t="n">
        <v>5</v>
      </c>
      <c r="E273" s="56">
        <f>E134</f>
        <v/>
      </c>
      <c r="F273" s="56">
        <f>F134</f>
        <v/>
      </c>
      <c r="G273" s="57" t="n">
        <v>1.05</v>
      </c>
      <c r="H273" s="57" t="n">
        <v>1</v>
      </c>
      <c r="I273" s="57" t="n">
        <v>1</v>
      </c>
      <c r="L273" s="57" t="n">
        <v>1</v>
      </c>
      <c r="M273" s="43" t="inlineStr">
        <is>
          <t>Strafing Run</t>
        </is>
      </c>
      <c r="R273" s="81" t="n">
        <v>3</v>
      </c>
      <c r="CI273" s="81" t="inlineStr">
        <is>
          <t>C</t>
        </is>
      </c>
      <c r="CJ273" s="81" t="inlineStr">
        <is>
          <t>Each dive cuts through 3 dinos in a line</t>
        </is>
      </c>
    </row>
    <row r="274">
      <c r="A274" s="43" t="inlineStr">
        <is>
          <t>Falcon Roost</t>
        </is>
      </c>
      <c r="B274" s="43" t="inlineStr">
        <is>
          <t>Falconer</t>
        </is>
      </c>
      <c r="C274" s="43" t="inlineStr">
        <is>
          <t>support</t>
        </is>
      </c>
      <c r="D274" s="56" t="n">
        <v>4</v>
      </c>
      <c r="E274" s="56">
        <f>E138</f>
        <v/>
      </c>
      <c r="F274" s="56">
        <f>F138</f>
        <v/>
      </c>
      <c r="G274" s="57" t="n">
        <v>1.3</v>
      </c>
      <c r="H274" s="57" t="n">
        <v>1</v>
      </c>
      <c r="I274" s="57" t="n">
        <v>1</v>
      </c>
      <c r="L274" s="57" t="n">
        <v>1</v>
      </c>
      <c r="M274" s="43" t="inlineStr">
        <is>
          <t>Loud Bells</t>
        </is>
      </c>
      <c r="T274" s="81" t="n">
        <v>25</v>
      </c>
      <c r="CI274" s="81" t="inlineStr">
        <is>
          <t>B</t>
        </is>
      </c>
      <c r="CJ274" s="81" t="inlineStr">
        <is>
          <t>Struck dinos take +25% from every tower</t>
        </is>
      </c>
    </row>
    <row r="275">
      <c r="A275" s="43" t="inlineStr">
        <is>
          <t>Falcon Roost</t>
        </is>
      </c>
      <c r="B275" s="43" t="inlineStr">
        <is>
          <t>Falconer</t>
        </is>
      </c>
      <c r="C275" s="43" t="inlineStr">
        <is>
          <t>support</t>
        </is>
      </c>
      <c r="D275" s="56" t="n">
        <v>4</v>
      </c>
      <c r="E275" s="56">
        <f>E138</f>
        <v/>
      </c>
      <c r="F275" s="56">
        <f>F138</f>
        <v/>
      </c>
      <c r="G275" s="57" t="n">
        <v>1.3</v>
      </c>
      <c r="H275" s="57" t="n">
        <v>1</v>
      </c>
      <c r="I275" s="57" t="n">
        <v>1</v>
      </c>
      <c r="L275" s="57" t="n">
        <v>1</v>
      </c>
      <c r="M275" s="43" t="inlineStr">
        <is>
          <t>Guard Falcons</t>
        </is>
      </c>
      <c r="BX275" s="81" t="n">
        <v>40</v>
      </c>
      <c r="CI275" s="81" t="inlineStr">
        <is>
          <t>C</t>
        </is>
      </c>
      <c r="CJ275" s="81" t="inlineStr">
        <is>
          <t>Birds dive at raiders; bosses take +40%</t>
        </is>
      </c>
      <c r="CK275" s="81" t="inlineStr">
        <is>
          <t>yes</t>
        </is>
      </c>
      <c r="CL275" s="81" t="n">
        <v>20</v>
      </c>
      <c r="CM275" s="81" t="n">
        <v>1</v>
      </c>
      <c r="CN275" s="81" t="n">
        <v>6</v>
      </c>
    </row>
    <row r="276">
      <c r="A276" s="43" t="inlineStr">
        <is>
          <t>Falcon Roost</t>
        </is>
      </c>
      <c r="B276" s="43" t="inlineStr">
        <is>
          <t>Falconer</t>
        </is>
      </c>
      <c r="C276" s="43" t="inlineStr">
        <is>
          <t>support</t>
        </is>
      </c>
      <c r="D276" s="56" t="n">
        <v>5</v>
      </c>
      <c r="E276" s="56">
        <f>E139</f>
        <v/>
      </c>
      <c r="F276" s="56">
        <f>F139</f>
        <v/>
      </c>
      <c r="G276" s="57" t="n">
        <v>1.3</v>
      </c>
      <c r="H276" s="57" t="n">
        <v>1</v>
      </c>
      <c r="I276" s="57" t="n">
        <v>1</v>
      </c>
      <c r="L276" s="57" t="n">
        <v>1</v>
      </c>
      <c r="M276" s="43" t="inlineStr">
        <is>
          <t>Royal Hood</t>
        </is>
      </c>
      <c r="BX276" s="81" t="n">
        <v>60</v>
      </c>
      <c r="CI276" s="81" t="inlineStr">
        <is>
          <t>B</t>
        </is>
      </c>
      <c r="CJ276" s="81" t="inlineStr">
        <is>
          <t>Bosses in range take +60% from everything</t>
        </is>
      </c>
    </row>
    <row r="277">
      <c r="A277" s="43" t="inlineStr">
        <is>
          <t>Falcon Roost</t>
        </is>
      </c>
      <c r="B277" s="43" t="inlineStr">
        <is>
          <t>Falconer</t>
        </is>
      </c>
      <c r="C277" s="43" t="inlineStr">
        <is>
          <t>support</t>
        </is>
      </c>
      <c r="D277" s="56" t="n">
        <v>5</v>
      </c>
      <c r="E277" s="56">
        <f>E139</f>
        <v/>
      </c>
      <c r="F277" s="56">
        <f>F139</f>
        <v/>
      </c>
      <c r="G277" s="57" t="n">
        <v>1.3</v>
      </c>
      <c r="H277" s="57" t="n">
        <v>1</v>
      </c>
      <c r="I277" s="57" t="n">
        <v>1</v>
      </c>
      <c r="L277" s="57" t="n">
        <v>1</v>
      </c>
      <c r="M277" s="43" t="inlineStr">
        <is>
          <t>Bell Chorus</t>
        </is>
      </c>
      <c r="T277" s="81" t="n">
        <v>40</v>
      </c>
      <c r="CI277" s="81" t="inlineStr">
        <is>
          <t>C</t>
        </is>
      </c>
      <c r="CJ277" s="81" t="inlineStr">
        <is>
          <t>Struck dinos take +40% from every tower</t>
        </is>
      </c>
    </row>
    <row r="278">
      <c r="A278" s="81" t="inlineStr">
        <is>
          <t>Tar Pit</t>
        </is>
      </c>
      <c r="B278" s="81" t="inlineStr">
        <is>
          <t>Deep Tar</t>
        </is>
      </c>
      <c r="C278" s="81" t="inlineStr">
        <is>
          <t>slow and sink</t>
        </is>
      </c>
      <c r="D278" s="81" t="n">
        <v>4</v>
      </c>
      <c r="E278" s="81">
        <f>E143</f>
        <v/>
      </c>
      <c r="F278" s="81">
        <f>F143</f>
        <v/>
      </c>
      <c r="G278" s="81" t="n">
        <v>1</v>
      </c>
      <c r="H278" s="81" t="n">
        <v>1</v>
      </c>
      <c r="I278" s="81" t="n">
        <v>1</v>
      </c>
      <c r="L278" s="81" t="n">
        <v>1</v>
      </c>
      <c r="M278" s="81" t="inlineStr">
        <is>
          <t>Thick Mire</t>
        </is>
      </c>
      <c r="AE278" s="81" t="n">
        <v>55</v>
      </c>
      <c r="CI278" s="81" t="inlineStr">
        <is>
          <t>B</t>
        </is>
      </c>
      <c r="CJ278" s="81" t="inlineStr">
        <is>
          <t>Thicker tar: dinos wade much slower</t>
        </is>
      </c>
    </row>
    <row r="279">
      <c r="A279" s="81" t="inlineStr">
        <is>
          <t>Tar Pit</t>
        </is>
      </c>
      <c r="B279" s="81" t="inlineStr">
        <is>
          <t>Deep Tar</t>
        </is>
      </c>
      <c r="C279" s="81" t="inlineStr">
        <is>
          <t>slow and sink</t>
        </is>
      </c>
      <c r="D279" s="81" t="n">
        <v>4</v>
      </c>
      <c r="E279" s="81">
        <f>E143</f>
        <v/>
      </c>
      <c r="F279" s="81">
        <f>F143</f>
        <v/>
      </c>
      <c r="G279" s="81" t="n">
        <v>1</v>
      </c>
      <c r="H279" s="81" t="n">
        <v>1</v>
      </c>
      <c r="I279" s="81" t="n">
        <v>1</v>
      </c>
      <c r="L279" s="81" t="n">
        <v>1.5</v>
      </c>
      <c r="M279" s="81" t="inlineStr">
        <is>
          <t>Bog Boots</t>
        </is>
      </c>
      <c r="AE279" s="81" t="n">
        <v>45</v>
      </c>
      <c r="CI279" s="81" t="inlineStr">
        <is>
          <t>C</t>
        </is>
      </c>
      <c r="CJ279" s="81" t="inlineStr">
        <is>
          <t>A longer pool that also slows raiders</t>
        </is>
      </c>
      <c r="CK279" s="81" t="inlineStr">
        <is>
          <t>yes</t>
        </is>
      </c>
      <c r="CL279" s="81" t="n">
        <v>30</v>
      </c>
      <c r="CM279" s="81" t="n">
        <v>2</v>
      </c>
    </row>
    <row r="280">
      <c r="A280" s="81" t="inlineStr">
        <is>
          <t>Tar Pit</t>
        </is>
      </c>
      <c r="B280" s="81" t="inlineStr">
        <is>
          <t>Deep Tar</t>
        </is>
      </c>
      <c r="C280" s="81" t="inlineStr">
        <is>
          <t>slow and sink</t>
        </is>
      </c>
      <c r="D280" s="81" t="n">
        <v>5</v>
      </c>
      <c r="E280" s="81">
        <f>E144</f>
        <v/>
      </c>
      <c r="F280" s="81">
        <f>F144</f>
        <v/>
      </c>
      <c r="G280" s="81" t="n">
        <v>1</v>
      </c>
      <c r="H280" s="81" t="n">
        <v>1</v>
      </c>
      <c r="I280" s="81" t="n">
        <v>1</v>
      </c>
      <c r="L280" s="81" t="n">
        <v>1.15</v>
      </c>
      <c r="M280" s="81" t="inlineStr">
        <is>
          <t>La Brea</t>
        </is>
      </c>
      <c r="AE280" s="81" t="n">
        <v>62</v>
      </c>
      <c r="AF280" s="81" t="n">
        <v>3</v>
      </c>
      <c r="CC280" s="81" t="n">
        <v>0.05</v>
      </c>
      <c r="CI280" s="81" t="inlineStr">
        <is>
          <t>B</t>
        </is>
      </c>
      <c r="CJ280" s="81" t="inlineStr">
        <is>
          <t>Smallest dinos sink at once; the rest crawl</t>
        </is>
      </c>
    </row>
    <row r="281">
      <c r="A281" s="81" t="inlineStr">
        <is>
          <t>Tar Pit</t>
        </is>
      </c>
      <c r="B281" s="81" t="inlineStr">
        <is>
          <t>Deep Tar</t>
        </is>
      </c>
      <c r="C281" s="81" t="inlineStr">
        <is>
          <t>slow and sink</t>
        </is>
      </c>
      <c r="D281" s="81" t="n">
        <v>5</v>
      </c>
      <c r="E281" s="81">
        <f>E144</f>
        <v/>
      </c>
      <c r="F281" s="81">
        <f>F144</f>
        <v/>
      </c>
      <c r="G281" s="81" t="n">
        <v>1</v>
      </c>
      <c r="H281" s="81" t="n">
        <v>1</v>
      </c>
      <c r="I281" s="81" t="n">
        <v>1</v>
      </c>
      <c r="L281" s="81" t="n">
        <v>1</v>
      </c>
      <c r="M281" s="81" t="inlineStr">
        <is>
          <t>Black Glue</t>
        </is>
      </c>
      <c r="AE281" s="81" t="n">
        <v>50</v>
      </c>
      <c r="AF281" s="81" t="n">
        <v>5</v>
      </c>
      <c r="CI281" s="81" t="inlineStr">
        <is>
          <t>C</t>
        </is>
      </c>
      <c r="CJ281" s="81" t="inlineStr">
        <is>
          <t>Dinos stay slowed 5 s after they climb out</t>
        </is>
      </c>
    </row>
    <row r="282">
      <c r="A282" s="81" t="inlineStr">
        <is>
          <t>Tar Pit</t>
        </is>
      </c>
      <c r="B282" s="81" t="inlineStr">
        <is>
          <t>Bubbling</t>
        </is>
      </c>
      <c r="C282" s="81" t="inlineStr">
        <is>
          <t>damage</t>
        </is>
      </c>
      <c r="D282" s="81" t="n">
        <v>4</v>
      </c>
      <c r="E282" s="81">
        <f>E148</f>
        <v/>
      </c>
      <c r="F282" s="81">
        <f>F148</f>
        <v/>
      </c>
      <c r="G282" s="81" t="n">
        <v>1</v>
      </c>
      <c r="H282" s="81" t="n">
        <v>1</v>
      </c>
      <c r="I282" s="81" t="n">
        <v>1</v>
      </c>
      <c r="L282" s="81" t="n">
        <v>1.3</v>
      </c>
      <c r="M282" s="81" t="inlineStr">
        <is>
          <t>Boiling Splash</t>
        </is>
      </c>
      <c r="CI282" s="81" t="inlineStr">
        <is>
          <t>B</t>
        </is>
      </c>
      <c r="CJ282" s="81" t="inlineStr">
        <is>
          <t>A bigger pool of boiling tar</t>
        </is>
      </c>
    </row>
    <row r="283">
      <c r="A283" s="81" t="inlineStr">
        <is>
          <t>Tar Pit</t>
        </is>
      </c>
      <c r="B283" s="81" t="inlineStr">
        <is>
          <t>Bubbling</t>
        </is>
      </c>
      <c r="C283" s="81" t="inlineStr">
        <is>
          <t>damage</t>
        </is>
      </c>
      <c r="D283" s="81" t="n">
        <v>4</v>
      </c>
      <c r="E283" s="81">
        <f>E148</f>
        <v/>
      </c>
      <c r="F283" s="81">
        <f>F148</f>
        <v/>
      </c>
      <c r="G283" s="81" t="n">
        <v>1</v>
      </c>
      <c r="H283" s="81" t="n">
        <v>1</v>
      </c>
      <c r="I283" s="81" t="n">
        <v>1</v>
      </c>
      <c r="L283" s="81" t="n">
        <v>1</v>
      </c>
      <c r="M283" s="81" t="inlineStr">
        <is>
          <t>Pitch Coat</t>
        </is>
      </c>
      <c r="X283" s="81" t="n">
        <v>85</v>
      </c>
      <c r="Y283" s="81" t="n">
        <v>1</v>
      </c>
      <c r="AM283" s="81" t="inlineStr">
        <is>
          <t>Yes</t>
        </is>
      </c>
      <c r="CI283" s="81" t="inlineStr">
        <is>
          <t>C</t>
        </is>
      </c>
      <c r="CJ283" s="81" t="inlineStr">
        <is>
          <t>Sticky tar strips armour; dinos leave burning</t>
        </is>
      </c>
    </row>
    <row r="284">
      <c r="A284" s="81" t="inlineStr">
        <is>
          <t>Tar Pit</t>
        </is>
      </c>
      <c r="B284" s="81" t="inlineStr">
        <is>
          <t>Bubbling</t>
        </is>
      </c>
      <c r="C284" s="81" t="inlineStr">
        <is>
          <t>damage</t>
        </is>
      </c>
      <c r="D284" s="81" t="n">
        <v>5</v>
      </c>
      <c r="E284" s="81">
        <f>E149</f>
        <v/>
      </c>
      <c r="F284" s="81">
        <f>F149</f>
        <v/>
      </c>
      <c r="G284" s="81" t="n">
        <v>1</v>
      </c>
      <c r="H284" s="81" t="n">
        <v>1</v>
      </c>
      <c r="I284" s="81" t="n">
        <v>1</v>
      </c>
      <c r="L284" s="81" t="n">
        <v>1</v>
      </c>
      <c r="M284" s="81" t="inlineStr">
        <is>
          <t>Ever-Burn</t>
        </is>
      </c>
      <c r="Y284" s="81" t="n">
        <v>2.75</v>
      </c>
      <c r="CI284" s="81" t="inlineStr">
        <is>
          <t>B</t>
        </is>
      </c>
      <c r="CJ284" s="81" t="inlineStr">
        <is>
          <t>Dinos keep burning 2.75 s after they leave</t>
        </is>
      </c>
    </row>
    <row r="285">
      <c r="A285" s="81" t="inlineStr">
        <is>
          <t>Tar Pit</t>
        </is>
      </c>
      <c r="B285" s="81" t="inlineStr">
        <is>
          <t>Bubbling</t>
        </is>
      </c>
      <c r="C285" s="81" t="inlineStr">
        <is>
          <t>damage</t>
        </is>
      </c>
      <c r="D285" s="81" t="n">
        <v>5</v>
      </c>
      <c r="E285" s="81">
        <f>E149</f>
        <v/>
      </c>
      <c r="F285" s="81">
        <f>F149</f>
        <v/>
      </c>
      <c r="G285" s="81" t="n">
        <v>1</v>
      </c>
      <c r="H285" s="81" t="n">
        <v>1</v>
      </c>
      <c r="I285" s="81" t="n">
        <v>1</v>
      </c>
      <c r="L285" s="81" t="n">
        <v>1</v>
      </c>
      <c r="M285" s="81" t="inlineStr">
        <is>
          <t>Tar Inferno</t>
        </is>
      </c>
      <c r="X285" s="81" t="n">
        <v>120</v>
      </c>
      <c r="CI285" s="81" t="inlineStr">
        <is>
          <t>C</t>
        </is>
      </c>
      <c r="CJ285" s="81" t="inlineStr">
        <is>
          <t>The tar boils 50% hotter</t>
        </is>
      </c>
    </row>
    <row r="286">
      <c r="A286" s="81" t="inlineStr">
        <is>
          <t>Tar Pit</t>
        </is>
      </c>
      <c r="B286" s="81" t="inlineStr">
        <is>
          <t>Dig Site</t>
        </is>
      </c>
      <c r="C286" s="81" t="inlineStr">
        <is>
          <t>cash and support</t>
        </is>
      </c>
      <c r="D286" s="81" t="n">
        <v>4</v>
      </c>
      <c r="E286" s="81">
        <f>E153</f>
        <v/>
      </c>
      <c r="F286" s="81">
        <f>F153</f>
        <v/>
      </c>
      <c r="G286" s="81" t="n">
        <v>1</v>
      </c>
      <c r="H286" s="81" t="n">
        <v>1</v>
      </c>
      <c r="I286" s="81" t="n">
        <v>1</v>
      </c>
      <c r="L286" s="81" t="n">
        <v>1</v>
      </c>
      <c r="M286" s="81" t="inlineStr">
        <is>
          <t>Bone Yard</t>
        </is>
      </c>
      <c r="CD286" s="81" t="n">
        <v>28</v>
      </c>
      <c r="CE286" s="81" t="n">
        <v>36</v>
      </c>
      <c r="CI286" s="81" t="inlineStr">
        <is>
          <t>B</t>
        </is>
      </c>
      <c r="CJ286" s="81" t="inlineStr">
        <is>
          <t>Every sunk dino pays more cash</t>
        </is>
      </c>
    </row>
    <row r="287">
      <c r="A287" s="81" t="inlineStr">
        <is>
          <t>Tar Pit</t>
        </is>
      </c>
      <c r="B287" s="81" t="inlineStr">
        <is>
          <t>Dig Site</t>
        </is>
      </c>
      <c r="C287" s="81" t="inlineStr">
        <is>
          <t>cash and support</t>
        </is>
      </c>
      <c r="D287" s="81" t="n">
        <v>4</v>
      </c>
      <c r="E287" s="81">
        <f>E153</f>
        <v/>
      </c>
      <c r="F287" s="81">
        <f>F153</f>
        <v/>
      </c>
      <c r="G287" s="81" t="n">
        <v>1</v>
      </c>
      <c r="H287" s="81" t="n">
        <v>1</v>
      </c>
      <c r="I287" s="81" t="n">
        <v>1</v>
      </c>
      <c r="L287" s="81" t="n">
        <v>1</v>
      </c>
      <c r="M287" s="81" t="inlineStr">
        <is>
          <t>Fossil Finder</t>
        </is>
      </c>
      <c r="CD287" s="81" t="n">
        <v>15</v>
      </c>
      <c r="CE287" s="81" t="n">
        <v>55</v>
      </c>
      <c r="CI287" s="81" t="inlineStr">
        <is>
          <t>C</t>
        </is>
      </c>
      <c r="CJ287" s="81" t="inlineStr">
        <is>
          <t>Bigger chests where dinos go under</t>
        </is>
      </c>
    </row>
    <row r="288">
      <c r="A288" s="81" t="inlineStr">
        <is>
          <t>Tar Pit</t>
        </is>
      </c>
      <c r="B288" s="81" t="inlineStr">
        <is>
          <t>Dig Site</t>
        </is>
      </c>
      <c r="C288" s="81" t="inlineStr">
        <is>
          <t>cash and support</t>
        </is>
      </c>
      <c r="D288" s="81" t="n">
        <v>5</v>
      </c>
      <c r="E288" s="81">
        <f>E154</f>
        <v/>
      </c>
      <c r="F288" s="81">
        <f>F154</f>
        <v/>
      </c>
      <c r="G288" s="81" t="n">
        <v>1</v>
      </c>
      <c r="H288" s="81" t="n">
        <v>1</v>
      </c>
      <c r="I288" s="81" t="n">
        <v>1</v>
      </c>
      <c r="L288" s="81" t="n">
        <v>1</v>
      </c>
      <c r="M288" s="81" t="inlineStr">
        <is>
          <t>Preserved Specimens</t>
        </is>
      </c>
      <c r="CD288" s="81" t="n">
        <v>36</v>
      </c>
      <c r="CE288" s="81" t="n">
        <v>40</v>
      </c>
      <c r="CI288" s="81" t="inlineStr">
        <is>
          <t>B</t>
        </is>
      </c>
      <c r="CJ288" s="81" t="inlineStr">
        <is>
          <t>Every sunk dino pays 36 cash</t>
        </is>
      </c>
    </row>
    <row r="289">
      <c r="A289" s="81" t="inlineStr">
        <is>
          <t>Tar Pit</t>
        </is>
      </c>
      <c r="B289" s="81" t="inlineStr">
        <is>
          <t>Dig Site</t>
        </is>
      </c>
      <c r="C289" s="81" t="inlineStr">
        <is>
          <t>cash and support</t>
        </is>
      </c>
      <c r="D289" s="81" t="n">
        <v>5</v>
      </c>
      <c r="E289" s="81">
        <f>E154</f>
        <v/>
      </c>
      <c r="F289" s="81">
        <f>F154</f>
        <v/>
      </c>
      <c r="G289" s="81" t="n">
        <v>1</v>
      </c>
      <c r="H289" s="81" t="n">
        <v>1</v>
      </c>
      <c r="I289" s="81" t="n">
        <v>1</v>
      </c>
      <c r="L289" s="81" t="n">
        <v>1</v>
      </c>
      <c r="M289" s="81" t="inlineStr">
        <is>
          <t>Amber Seep</t>
        </is>
      </c>
      <c r="CD289" s="81" t="n">
        <v>25</v>
      </c>
      <c r="CE289" s="81" t="n">
        <v>60</v>
      </c>
      <c r="CI289" s="81" t="inlineStr">
        <is>
          <t>C</t>
        </is>
      </c>
      <c r="CJ289" s="81" t="inlineStr">
        <is>
          <t>Chests where dinos sink are worth 60</t>
        </is>
      </c>
    </row>
    <row r="290">
      <c r="A290" s="81" t="inlineStr">
        <is>
          <t>Harpoon Ballista</t>
        </is>
      </c>
      <c r="B290" s="81" t="inlineStr">
        <is>
          <t>Spearhead</t>
        </is>
      </c>
      <c r="C290" s="81" t="inlineStr">
        <is>
          <t>raw damage, breaks</t>
        </is>
      </c>
      <c r="D290" s="81" t="n">
        <v>4</v>
      </c>
      <c r="E290" s="81">
        <f>E158</f>
        <v/>
      </c>
      <c r="F290" s="81">
        <f>F158</f>
        <v/>
      </c>
      <c r="G290" s="81" t="n">
        <v>1.7</v>
      </c>
      <c r="H290" s="81" t="n">
        <v>1</v>
      </c>
      <c r="I290" s="81" t="n">
        <v>1</v>
      </c>
      <c r="L290" s="81" t="n">
        <v>1</v>
      </c>
      <c r="M290" s="81" t="inlineStr">
        <is>
          <t>Serrated Head</t>
        </is>
      </c>
      <c r="N290" s="81" t="inlineStr">
        <is>
          <t>Yes</t>
        </is>
      </c>
      <c r="T290" s="81" t="n">
        <v>20</v>
      </c>
      <c r="CI290" s="81" t="inlineStr">
        <is>
          <t>B</t>
        </is>
      </c>
      <c r="CJ290" s="81" t="inlineStr">
        <is>
          <t>Hit dinos take +20% from every tower</t>
        </is>
      </c>
    </row>
    <row r="291">
      <c r="A291" s="81" t="inlineStr">
        <is>
          <t>Harpoon Ballista</t>
        </is>
      </c>
      <c r="B291" s="81" t="inlineStr">
        <is>
          <t>Spearhead</t>
        </is>
      </c>
      <c r="C291" s="81" t="inlineStr">
        <is>
          <t>raw damage, breaks</t>
        </is>
      </c>
      <c r="D291" s="81" t="n">
        <v>4</v>
      </c>
      <c r="E291" s="81">
        <f>E158</f>
        <v/>
      </c>
      <c r="F291" s="81">
        <f>F158</f>
        <v/>
      </c>
      <c r="G291" s="81" t="n">
        <v>1.6</v>
      </c>
      <c r="H291" s="81" t="n">
        <v>1</v>
      </c>
      <c r="I291" s="81" t="n">
        <v>1</v>
      </c>
      <c r="L291" s="81" t="n">
        <v>1</v>
      </c>
      <c r="M291" s="81" t="inlineStr">
        <is>
          <t>Whale Lance</t>
        </is>
      </c>
      <c r="N291" s="81" t="inlineStr">
        <is>
          <t>Yes</t>
        </is>
      </c>
      <c r="P291" s="81" t="n">
        <v>1.4</v>
      </c>
      <c r="CI291" s="81" t="inlineStr">
        <is>
          <t>C</t>
        </is>
      </c>
      <c r="CJ291" s="81" t="inlineStr">
        <is>
          <t>Bolts hit bosses 40% harder</t>
        </is>
      </c>
    </row>
    <row r="292">
      <c r="A292" s="81" t="inlineStr">
        <is>
          <t>Harpoon Ballista</t>
        </is>
      </c>
      <c r="B292" s="81" t="inlineStr">
        <is>
          <t>Spearhead</t>
        </is>
      </c>
      <c r="C292" s="81" t="inlineStr">
        <is>
          <t>raw damage, breaks</t>
        </is>
      </c>
      <c r="D292" s="81" t="n">
        <v>5</v>
      </c>
      <c r="E292" s="81">
        <f>E159</f>
        <v/>
      </c>
      <c r="F292" s="81">
        <f>F159</f>
        <v/>
      </c>
      <c r="G292" s="81" t="n">
        <v>2.5</v>
      </c>
      <c r="H292" s="81" t="n">
        <v>1.4</v>
      </c>
      <c r="I292" s="81" t="n">
        <v>1</v>
      </c>
      <c r="L292" s="81" t="n">
        <v>1</v>
      </c>
      <c r="M292" s="81" t="inlineStr">
        <is>
          <t>Leviathan Bolt</t>
        </is>
      </c>
      <c r="P292" s="81" t="n">
        <v>3</v>
      </c>
      <c r="BJ292" s="81" t="n">
        <v>4</v>
      </c>
      <c r="CI292" s="81" t="inlineStr">
        <is>
          <t>B</t>
        </is>
      </c>
      <c r="CJ292" s="81" t="inlineStr">
        <is>
          <t>Bolts break 4 sizes and hit bosses 3x</t>
        </is>
      </c>
    </row>
    <row r="293">
      <c r="A293" s="81" t="inlineStr">
        <is>
          <t>Harpoon Ballista</t>
        </is>
      </c>
      <c r="B293" s="81" t="inlineStr">
        <is>
          <t>Spearhead</t>
        </is>
      </c>
      <c r="C293" s="81" t="inlineStr">
        <is>
          <t>raw damage, breaks</t>
        </is>
      </c>
      <c r="D293" s="81" t="n">
        <v>5</v>
      </c>
      <c r="E293" s="81">
        <f>E159</f>
        <v/>
      </c>
      <c r="F293" s="81">
        <f>F159</f>
        <v/>
      </c>
      <c r="G293" s="81" t="n">
        <v>3</v>
      </c>
      <c r="H293" s="81" t="n">
        <v>2.1</v>
      </c>
      <c r="I293" s="81" t="n">
        <v>1</v>
      </c>
      <c r="L293" s="81" t="n">
        <v>1</v>
      </c>
      <c r="M293" s="81" t="inlineStr">
        <is>
          <t>Heartseeker</t>
        </is>
      </c>
      <c r="BJ293" s="81" t="n">
        <v>3</v>
      </c>
      <c r="CI293" s="81" t="inlineStr">
        <is>
          <t>C</t>
        </is>
      </c>
      <c r="CJ293" s="81" t="inlineStr">
        <is>
          <t>Always aims for the biggest dino in range</t>
        </is>
      </c>
      <c r="CU293" s="81" t="inlineStr">
        <is>
          <t>Yes</t>
        </is>
      </c>
    </row>
    <row r="294">
      <c r="A294" s="81" t="inlineStr">
        <is>
          <t>Harpoon Ballista</t>
        </is>
      </c>
      <c r="B294" s="81" t="inlineStr">
        <is>
          <t>Reel</t>
        </is>
      </c>
      <c r="C294" s="81" t="inlineStr">
        <is>
          <t>control</t>
        </is>
      </c>
      <c r="D294" s="81" t="n">
        <v>4</v>
      </c>
      <c r="E294" s="81">
        <f>E163</f>
        <v/>
      </c>
      <c r="F294" s="81">
        <f>F163</f>
        <v/>
      </c>
      <c r="G294" s="81" t="n">
        <v>1.3</v>
      </c>
      <c r="H294" s="81" t="n">
        <v>1</v>
      </c>
      <c r="I294" s="81" t="n">
        <v>1</v>
      </c>
      <c r="L294" s="81" t="n">
        <v>1</v>
      </c>
      <c r="M294" s="81" t="inlineStr">
        <is>
          <t>Tether</t>
        </is>
      </c>
      <c r="U294" s="81" t="n">
        <v>2</v>
      </c>
      <c r="CI294" s="81" t="inlineStr">
        <is>
          <t>B</t>
        </is>
      </c>
      <c r="CJ294" s="81" t="inlineStr">
        <is>
          <t>Pinned dinos stay held 2 s</t>
        </is>
      </c>
    </row>
    <row r="295">
      <c r="A295" s="81" t="inlineStr">
        <is>
          <t>Harpoon Ballista</t>
        </is>
      </c>
      <c r="B295" s="81" t="inlineStr">
        <is>
          <t>Reel</t>
        </is>
      </c>
      <c r="C295" s="81" t="inlineStr">
        <is>
          <t>control</t>
        </is>
      </c>
      <c r="D295" s="81" t="n">
        <v>4</v>
      </c>
      <c r="E295" s="81">
        <f>E163</f>
        <v/>
      </c>
      <c r="F295" s="81">
        <f>F163</f>
        <v/>
      </c>
      <c r="G295" s="81" t="n">
        <v>1.3</v>
      </c>
      <c r="H295" s="81" t="n">
        <v>1</v>
      </c>
      <c r="I295" s="81" t="n">
        <v>1</v>
      </c>
      <c r="L295" s="81" t="n">
        <v>1</v>
      </c>
      <c r="M295" s="81" t="inlineStr">
        <is>
          <t>Snag Line</t>
        </is>
      </c>
      <c r="U295" s="81" t="n">
        <v>1.75</v>
      </c>
      <c r="CI295" s="81" t="inlineStr">
        <is>
          <t>C</t>
        </is>
      </c>
      <c r="CJ295" s="81" t="inlineStr">
        <is>
          <t>Harpoons raiders too; holds dinos 1.75 s</t>
        </is>
      </c>
      <c r="CK295" s="81" t="inlineStr">
        <is>
          <t>yes</t>
        </is>
      </c>
      <c r="CL295" s="81" t="n">
        <v>30</v>
      </c>
      <c r="CM295" s="81" t="n">
        <v>3</v>
      </c>
      <c r="CN295" s="81" t="n">
        <v>12</v>
      </c>
    </row>
    <row r="296">
      <c r="A296" s="81" t="inlineStr">
        <is>
          <t>Harpoon Ballista</t>
        </is>
      </c>
      <c r="B296" s="81" t="inlineStr">
        <is>
          <t>Reel</t>
        </is>
      </c>
      <c r="C296" s="81" t="inlineStr">
        <is>
          <t>control</t>
        </is>
      </c>
      <c r="D296" s="81" t="n">
        <v>5</v>
      </c>
      <c r="E296" s="81">
        <f>E164</f>
        <v/>
      </c>
      <c r="F296" s="81">
        <f>F164</f>
        <v/>
      </c>
      <c r="G296" s="81" t="n">
        <v>1.3</v>
      </c>
      <c r="H296" s="81" t="n">
        <v>1</v>
      </c>
      <c r="I296" s="81" t="n">
        <v>1</v>
      </c>
      <c r="L296" s="81" t="n">
        <v>1</v>
      </c>
      <c r="M296" s="81" t="inlineStr">
        <is>
          <t>Anchor Line</t>
        </is>
      </c>
      <c r="AE296" s="81" t="n">
        <v>30</v>
      </c>
      <c r="AF296" s="81" t="n">
        <v>2</v>
      </c>
      <c r="AG296" s="81" t="inlineStr">
        <is>
          <t>Yes</t>
        </is>
      </c>
      <c r="CI296" s="81" t="inlineStr">
        <is>
          <t>B</t>
        </is>
      </c>
      <c r="CJ296" s="81" t="inlineStr">
        <is>
          <t>Bolts slow bosses too: 30% for 2 s</t>
        </is>
      </c>
    </row>
    <row r="297">
      <c r="A297" s="81" t="inlineStr">
        <is>
          <t>Harpoon Ballista</t>
        </is>
      </c>
      <c r="B297" s="81" t="inlineStr">
        <is>
          <t>Reel</t>
        </is>
      </c>
      <c r="C297" s="81" t="inlineStr">
        <is>
          <t>control</t>
        </is>
      </c>
      <c r="D297" s="81" t="n">
        <v>5</v>
      </c>
      <c r="E297" s="81">
        <f>E164</f>
        <v/>
      </c>
      <c r="F297" s="81">
        <f>F164</f>
        <v/>
      </c>
      <c r="G297" s="81" t="n">
        <v>1.3</v>
      </c>
      <c r="H297" s="81" t="n">
        <v>1</v>
      </c>
      <c r="I297" s="81" t="n">
        <v>1</v>
      </c>
      <c r="L297" s="81" t="n">
        <v>1</v>
      </c>
      <c r="M297" s="81" t="inlineStr">
        <is>
          <t>Winch Haul</t>
        </is>
      </c>
      <c r="W297" s="81" t="n">
        <v>7.5</v>
      </c>
      <c r="CI297" s="81" t="inlineStr">
        <is>
          <t>C</t>
        </is>
      </c>
      <c r="CJ297" s="81" t="inlineStr">
        <is>
          <t>Drags hit dinos 7.5 studs back</t>
        </is>
      </c>
    </row>
    <row r="298">
      <c r="A298" s="81" t="inlineStr">
        <is>
          <t>Harpoon Ballista</t>
        </is>
      </c>
      <c r="B298" s="81" t="inlineStr">
        <is>
          <t>Volley</t>
        </is>
      </c>
      <c r="C298" s="81" t="inlineStr">
        <is>
          <t>more bolts</t>
        </is>
      </c>
      <c r="D298" s="81" t="n">
        <v>4</v>
      </c>
      <c r="E298" s="81">
        <f>E168</f>
        <v/>
      </c>
      <c r="F298" s="81">
        <f>F168</f>
        <v/>
      </c>
      <c r="G298" s="81" t="n">
        <v>1.15</v>
      </c>
      <c r="H298" s="81" t="n">
        <v>1</v>
      </c>
      <c r="I298" s="81" t="n">
        <v>1</v>
      </c>
      <c r="L298" s="81" t="n">
        <v>1</v>
      </c>
      <c r="M298" s="81" t="inlineStr">
        <is>
          <t>Wide Volley</t>
        </is>
      </c>
      <c r="Q298" s="81" t="n">
        <v>5</v>
      </c>
      <c r="CI298" s="81" t="inlineStr">
        <is>
          <t>B</t>
        </is>
      </c>
      <c r="CJ298" s="81" t="inlineStr">
        <is>
          <t>Five bolts per volley</t>
        </is>
      </c>
    </row>
    <row r="299">
      <c r="A299" s="81" t="inlineStr">
        <is>
          <t>Harpoon Ballista</t>
        </is>
      </c>
      <c r="B299" s="81" t="inlineStr">
        <is>
          <t>Volley</t>
        </is>
      </c>
      <c r="C299" s="81" t="inlineStr">
        <is>
          <t>more bolts</t>
        </is>
      </c>
      <c r="D299" s="81" t="n">
        <v>4</v>
      </c>
      <c r="E299" s="81">
        <f>E168</f>
        <v/>
      </c>
      <c r="F299" s="81">
        <f>F168</f>
        <v/>
      </c>
      <c r="G299" s="81" t="n">
        <v>1</v>
      </c>
      <c r="H299" s="81" t="n">
        <v>1.6</v>
      </c>
      <c r="I299" s="81" t="n">
        <v>1</v>
      </c>
      <c r="L299" s="81" t="n">
        <v>1</v>
      </c>
      <c r="M299" s="81" t="inlineStr">
        <is>
          <t>Fire Bolts</t>
        </is>
      </c>
      <c r="X299" s="81" t="n">
        <v>6</v>
      </c>
      <c r="Y299" s="81" t="n">
        <v>3</v>
      </c>
      <c r="CI299" s="81" t="inlineStr">
        <is>
          <t>C</t>
        </is>
      </c>
      <c r="CJ299" s="81" t="inlineStr">
        <is>
          <t>Bolts set dinos on fire</t>
        </is>
      </c>
    </row>
    <row r="300">
      <c r="A300" s="81" t="inlineStr">
        <is>
          <t>Harpoon Ballista</t>
        </is>
      </c>
      <c r="B300" s="81" t="inlineStr">
        <is>
          <t>Volley</t>
        </is>
      </c>
      <c r="C300" s="81" t="inlineStr">
        <is>
          <t>more bolts</t>
        </is>
      </c>
      <c r="D300" s="81" t="n">
        <v>5</v>
      </c>
      <c r="E300" s="81">
        <f>E169</f>
        <v/>
      </c>
      <c r="F300" s="81">
        <f>F169</f>
        <v/>
      </c>
      <c r="G300" s="81" t="n">
        <v>2.4</v>
      </c>
      <c r="H300" s="81" t="n">
        <v>1</v>
      </c>
      <c r="I300" s="81" t="n">
        <v>1</v>
      </c>
      <c r="L300" s="81" t="n">
        <v>1</v>
      </c>
      <c r="M300" s="81" t="inlineStr">
        <is>
          <t>Siege Battery</t>
        </is>
      </c>
      <c r="Q300" s="81" t="n">
        <v>6</v>
      </c>
      <c r="CI300" s="81" t="inlineStr">
        <is>
          <t>B</t>
        </is>
      </c>
      <c r="CJ300" s="81" t="inlineStr">
        <is>
          <t>Six bolts per volley</t>
        </is>
      </c>
    </row>
    <row r="301">
      <c r="A301" s="81" t="inlineStr">
        <is>
          <t>Harpoon Ballista</t>
        </is>
      </c>
      <c r="B301" s="81" t="inlineStr">
        <is>
          <t>Volley</t>
        </is>
      </c>
      <c r="C301" s="81" t="inlineStr">
        <is>
          <t>more bolts</t>
        </is>
      </c>
      <c r="D301" s="81" t="n">
        <v>5</v>
      </c>
      <c r="E301" s="81">
        <f>E169</f>
        <v/>
      </c>
      <c r="F301" s="81">
        <f>F169</f>
        <v/>
      </c>
      <c r="G301" s="81" t="n">
        <v>2</v>
      </c>
      <c r="H301" s="81" t="n">
        <v>1.8</v>
      </c>
      <c r="I301" s="81" t="n">
        <v>1</v>
      </c>
      <c r="L301" s="81" t="n">
        <v>1</v>
      </c>
      <c r="M301" s="81" t="inlineStr">
        <is>
          <t>Firestorm Volley</t>
        </is>
      </c>
      <c r="X301" s="81" t="n">
        <v>12</v>
      </c>
      <c r="Y301" s="81" t="n">
        <v>3</v>
      </c>
      <c r="CI301" s="81" t="inlineStr">
        <is>
          <t>C</t>
        </is>
      </c>
      <c r="CJ301" s="81" t="inlineStr">
        <is>
          <t>Faster volleys of burning bolts</t>
        </is>
      </c>
    </row>
    <row r="302">
      <c r="A302" s="81" t="inlineStr">
        <is>
          <t>Amber Resin Cannon</t>
        </is>
      </c>
      <c r="B302" s="81" t="inlineStr">
        <is>
          <t>Entomb</t>
        </is>
      </c>
      <c r="C302" s="81" t="inlineStr">
        <is>
          <t>control</t>
        </is>
      </c>
      <c r="D302" s="81" t="n">
        <v>1</v>
      </c>
      <c r="E302" s="81">
        <f>ROUND('Towers'!$C$19*POWER('Tuning'!$B$12,D302),0)</f>
        <v/>
      </c>
      <c r="F302" s="81">
        <f>'Towers'!$C$19+E302</f>
        <v/>
      </c>
      <c r="G302" s="110" t="n">
        <v>1.4</v>
      </c>
      <c r="H302" s="110" t="n">
        <v>1.2</v>
      </c>
      <c r="I302" s="110" t="n">
        <v>1</v>
      </c>
      <c r="J302" s="81">
        <f>'Towers'!$G$19*G302*H302*I302</f>
        <v/>
      </c>
      <c r="K302" s="81">
        <f>IF(J302=0,0,F302/J302)</f>
        <v/>
      </c>
      <c r="L302" s="110" t="n">
        <v>1</v>
      </c>
      <c r="M302" s="81" t="inlineStr">
        <is>
          <t>Thick Resin</t>
        </is>
      </c>
      <c r="CW302" s="81" t="n">
        <v>0.85</v>
      </c>
    </row>
    <row r="303">
      <c r="A303" s="81" t="inlineStr">
        <is>
          <t>Amber Resin Cannon</t>
        </is>
      </c>
      <c r="B303" s="81" t="inlineStr">
        <is>
          <t>Entomb</t>
        </is>
      </c>
      <c r="C303" s="81" t="inlineStr">
        <is>
          <t>control</t>
        </is>
      </c>
      <c r="D303" s="81" t="n">
        <v>2</v>
      </c>
      <c r="E303" s="81">
        <f>ROUND('Towers'!$C$19*POWER('Tuning'!$B$12,D303),0)</f>
        <v/>
      </c>
      <c r="F303" s="81">
        <f>F302+E303</f>
        <v/>
      </c>
      <c r="G303" s="110" t="n">
        <v>2</v>
      </c>
      <c r="H303" s="110" t="n">
        <v>1.45</v>
      </c>
      <c r="I303" s="110" t="n">
        <v>1</v>
      </c>
      <c r="J303" s="81">
        <f>'Towers'!$G$19*G303*H303*I303</f>
        <v/>
      </c>
      <c r="K303" s="81">
        <f>IF(J303=0,0,F303/J303)</f>
        <v/>
      </c>
      <c r="L303" s="110" t="n">
        <v>1</v>
      </c>
      <c r="M303" s="81" t="inlineStr">
        <is>
          <t>Quick Set</t>
        </is>
      </c>
      <c r="CW303" s="81" t="n">
        <v>0.7</v>
      </c>
    </row>
    <row r="304">
      <c r="A304" s="81" t="inlineStr">
        <is>
          <t>Amber Resin Cannon</t>
        </is>
      </c>
      <c r="B304" s="81" t="inlineStr">
        <is>
          <t>Entomb</t>
        </is>
      </c>
      <c r="C304" s="81" t="inlineStr">
        <is>
          <t>control</t>
        </is>
      </c>
      <c r="D304" s="81" t="n">
        <v>3</v>
      </c>
      <c r="E304" s="81">
        <f>ROUND('Towers'!$C$19*POWER('Tuning'!$B$12,D304),0)</f>
        <v/>
      </c>
      <c r="F304" s="81">
        <f>F303+E304</f>
        <v/>
      </c>
      <c r="G304" s="110" t="n">
        <v>3</v>
      </c>
      <c r="H304" s="110" t="n">
        <v>1.8</v>
      </c>
      <c r="I304" s="110" t="n">
        <v>1</v>
      </c>
      <c r="J304" s="81">
        <f>'Towers'!$G$19*G304*H304*I304</f>
        <v/>
      </c>
      <c r="K304" s="81">
        <f>IF(J304=0,0,F304/J304)</f>
        <v/>
      </c>
      <c r="L304" s="110" t="n">
        <v>1</v>
      </c>
      <c r="M304" s="81" t="inlineStr">
        <is>
          <t>Amber Tomb</t>
        </is>
      </c>
      <c r="CV304" s="81" t="n">
        <v>2</v>
      </c>
      <c r="CW304" s="81" t="n">
        <v>0.5</v>
      </c>
    </row>
    <row r="305">
      <c r="A305" s="81" t="inlineStr">
        <is>
          <t>Amber Resin Cannon</t>
        </is>
      </c>
      <c r="B305" s="81" t="inlineStr">
        <is>
          <t>Entomb</t>
        </is>
      </c>
      <c r="C305" s="81" t="inlineStr">
        <is>
          <t>control</t>
        </is>
      </c>
      <c r="D305" s="81" t="n">
        <v>4</v>
      </c>
      <c r="E305" s="81">
        <f>ROUND('Towers'!$C$19*POWER('Tuning'!$B$12,D305),0)</f>
        <v/>
      </c>
      <c r="F305" s="81">
        <f>F304+E305</f>
        <v/>
      </c>
      <c r="G305" s="110" t="n">
        <v>1.6</v>
      </c>
      <c r="H305" s="110" t="n">
        <v>1</v>
      </c>
      <c r="I305" s="110" t="n">
        <v>1</v>
      </c>
      <c r="J305" s="81">
        <f>J304*G305*H305*I305</f>
        <v/>
      </c>
      <c r="K305" s="81">
        <f>IF(J305=0,0,F305/J305)</f>
        <v/>
      </c>
      <c r="L305" s="110" t="n">
        <v>1</v>
      </c>
      <c r="M305" s="81" t="inlineStr">
        <is>
          <t>Hardened Amber</t>
        </is>
      </c>
      <c r="CI305" s="81" t="inlineStr">
        <is>
          <t>A</t>
        </is>
      </c>
      <c r="CJ305" s="81" t="inlineStr">
        <is>
          <t>Stuck dinos take +30% from everything</t>
        </is>
      </c>
      <c r="CX305" s="81" t="n">
        <v>30</v>
      </c>
    </row>
    <row r="306">
      <c r="A306" s="81" t="inlineStr">
        <is>
          <t>Amber Resin Cannon</t>
        </is>
      </c>
      <c r="B306" s="81" t="inlineStr">
        <is>
          <t>Entomb</t>
        </is>
      </c>
      <c r="C306" s="81" t="inlineStr">
        <is>
          <t>control</t>
        </is>
      </c>
      <c r="D306" s="81" t="n">
        <v>5</v>
      </c>
      <c r="E306" s="81">
        <f>ROUND('Towers'!$C$19*POWER('Tuning'!$B$12,D306),0)</f>
        <v/>
      </c>
      <c r="F306" s="81">
        <f>F305+E306</f>
        <v/>
      </c>
      <c r="G306" s="110" t="n">
        <v>1.8</v>
      </c>
      <c r="H306" s="110" t="n">
        <v>1</v>
      </c>
      <c r="I306" s="110" t="n">
        <v>1</v>
      </c>
      <c r="J306" s="81">
        <f>J305*G306*H306*I306</f>
        <v/>
      </c>
      <c r="K306" s="81">
        <f>IF(J306=0,0,F306/J306)</f>
        <v/>
      </c>
      <c r="L306" s="110" t="n">
        <v>1</v>
      </c>
      <c r="M306" s="81" t="inlineStr">
        <is>
          <t>Amber Age</t>
        </is>
      </c>
      <c r="CI306" s="81" t="inlineStr">
        <is>
          <t>A</t>
        </is>
      </c>
      <c r="CJ306" s="81" t="inlineStr">
        <is>
          <t>Every 12 s, everything in range is stuck</t>
        </is>
      </c>
      <c r="DA306" s="81" t="n">
        <v>12</v>
      </c>
    </row>
    <row r="307">
      <c r="A307" s="81" t="inlineStr">
        <is>
          <t>Amber Resin Cannon</t>
        </is>
      </c>
      <c r="B307" s="81" t="inlineStr">
        <is>
          <t>Fossilize</t>
        </is>
      </c>
      <c r="C307" s="81" t="inlineStr">
        <is>
          <t>economy</t>
        </is>
      </c>
      <c r="D307" s="81" t="n">
        <v>1</v>
      </c>
      <c r="E307" s="81">
        <f>ROUND('Towers'!$C$19*POWER('Tuning'!$B$12,D307),0)</f>
        <v/>
      </c>
      <c r="F307" s="81">
        <f>'Towers'!$C$19+E307</f>
        <v/>
      </c>
      <c r="G307" s="110" t="n">
        <v>1.3</v>
      </c>
      <c r="H307" s="110" t="n">
        <v>1</v>
      </c>
      <c r="I307" s="110" t="n">
        <v>1</v>
      </c>
      <c r="J307" s="81">
        <f>'Towers'!$G$19*G307*H307*I307</f>
        <v/>
      </c>
      <c r="K307" s="81">
        <f>IF(J307=0,0,F307/J307)</f>
        <v/>
      </c>
      <c r="L307" s="110" t="n">
        <v>1.15</v>
      </c>
      <c r="M307" s="81" t="inlineStr">
        <is>
          <t>Collector's Eye</t>
        </is>
      </c>
      <c r="CD307" s="81" t="n">
        <v>50</v>
      </c>
      <c r="DD307" s="81" t="n">
        <v>10</v>
      </c>
    </row>
    <row r="308">
      <c r="A308" s="81" t="inlineStr">
        <is>
          <t>Amber Resin Cannon</t>
        </is>
      </c>
      <c r="B308" s="81" t="inlineStr">
        <is>
          <t>Fossilize</t>
        </is>
      </c>
      <c r="C308" s="81" t="inlineStr">
        <is>
          <t>economy</t>
        </is>
      </c>
      <c r="D308" s="81" t="n">
        <v>2</v>
      </c>
      <c r="E308" s="81">
        <f>ROUND('Towers'!$C$19*POWER('Tuning'!$B$12,D308),0)</f>
        <v/>
      </c>
      <c r="F308" s="81">
        <f>F307+E308</f>
        <v/>
      </c>
      <c r="G308" s="110" t="n">
        <v>1.8</v>
      </c>
      <c r="H308" s="110" t="n">
        <v>1.3</v>
      </c>
      <c r="I308" s="110" t="n">
        <v>1</v>
      </c>
      <c r="J308" s="81">
        <f>'Towers'!$G$19*G308*H308*I308</f>
        <v/>
      </c>
      <c r="K308" s="81">
        <f>IF(J308=0,0,F308/J308)</f>
        <v/>
      </c>
      <c r="L308" s="110" t="n">
        <v>1.15</v>
      </c>
      <c r="M308" s="81" t="inlineStr">
        <is>
          <t>Rare Find</t>
        </is>
      </c>
      <c r="CD308" s="81" t="n">
        <v>100</v>
      </c>
      <c r="DD308" s="81" t="n">
        <v>12</v>
      </c>
    </row>
    <row r="309">
      <c r="A309" s="81" t="inlineStr">
        <is>
          <t>Amber Resin Cannon</t>
        </is>
      </c>
      <c r="B309" s="81" t="inlineStr">
        <is>
          <t>Fossilize</t>
        </is>
      </c>
      <c r="C309" s="81" t="inlineStr">
        <is>
          <t>economy</t>
        </is>
      </c>
      <c r="D309" s="81" t="n">
        <v>3</v>
      </c>
      <c r="E309" s="81">
        <f>ROUND('Towers'!$C$19*POWER('Tuning'!$B$12,D309),0)</f>
        <v/>
      </c>
      <c r="F309" s="81">
        <f>F308+E309</f>
        <v/>
      </c>
      <c r="G309" s="110" t="n">
        <v>2.6</v>
      </c>
      <c r="H309" s="110" t="n">
        <v>1.5</v>
      </c>
      <c r="I309" s="110" t="n">
        <v>1</v>
      </c>
      <c r="J309" s="81">
        <f>'Towers'!$G$19*G309*H309*I309</f>
        <v/>
      </c>
      <c r="K309" s="81">
        <f>IF(J309=0,0,F309/J309)</f>
        <v/>
      </c>
      <c r="L309" s="110" t="n">
        <v>1.15</v>
      </c>
      <c r="M309" s="81" t="inlineStr">
        <is>
          <t>Fossil Record</t>
        </is>
      </c>
      <c r="CD309" s="81" t="n">
        <v>100</v>
      </c>
      <c r="CW309" s="81" t="n">
        <v>0.7</v>
      </c>
      <c r="DD309" s="81" t="n">
        <v>20</v>
      </c>
    </row>
    <row r="310">
      <c r="A310" s="81" t="inlineStr">
        <is>
          <t>Amber Resin Cannon</t>
        </is>
      </c>
      <c r="B310" s="81" t="inlineStr">
        <is>
          <t>Fossilize</t>
        </is>
      </c>
      <c r="C310" s="81" t="inlineStr">
        <is>
          <t>economy</t>
        </is>
      </c>
      <c r="D310" s="81" t="n">
        <v>4</v>
      </c>
      <c r="E310" s="81">
        <f>ROUND('Towers'!$C$19*POWER('Tuning'!$B$12,D310),0)</f>
        <v/>
      </c>
      <c r="F310" s="81">
        <f>F309+E310</f>
        <v/>
      </c>
      <c r="G310" s="110" t="n">
        <v>1</v>
      </c>
      <c r="H310" s="110" t="n">
        <v>1</v>
      </c>
      <c r="I310" s="110" t="n">
        <v>1</v>
      </c>
      <c r="J310" s="81">
        <f>J309*G310*H310*I310</f>
        <v/>
      </c>
      <c r="K310" s="81">
        <f>IF(J310=0,0,F310/J310)</f>
        <v/>
      </c>
      <c r="L310" s="110" t="n">
        <v>1</v>
      </c>
      <c r="M310" s="81" t="inlineStr">
        <is>
          <t>Museum Piece</t>
        </is>
      </c>
      <c r="CD310" s="81" t="n">
        <v>150</v>
      </c>
      <c r="CI310" s="81" t="inlineStr">
        <is>
          <t>A</t>
        </is>
      </c>
      <c r="CJ310" s="81" t="inlineStr">
        <is>
          <t>Fossils pay 50% more cash</t>
        </is>
      </c>
    </row>
    <row r="311">
      <c r="A311" s="81" t="inlineStr">
        <is>
          <t>Amber Resin Cannon</t>
        </is>
      </c>
      <c r="B311" s="81" t="inlineStr">
        <is>
          <t>Fossilize</t>
        </is>
      </c>
      <c r="C311" s="81" t="inlineStr">
        <is>
          <t>economy</t>
        </is>
      </c>
      <c r="D311" s="81" t="n">
        <v>5</v>
      </c>
      <c r="E311" s="81">
        <f>ROUND('Towers'!$C$19*POWER('Tuning'!$B$12,D311),0)</f>
        <v/>
      </c>
      <c r="F311" s="81">
        <f>F310+E311</f>
        <v/>
      </c>
      <c r="G311" s="110" t="n">
        <v>1</v>
      </c>
      <c r="H311" s="110" t="n">
        <v>1</v>
      </c>
      <c r="I311" s="110" t="n">
        <v>1</v>
      </c>
      <c r="J311" s="81">
        <f>J310*G311*H311*I311</f>
        <v/>
      </c>
      <c r="K311" s="81">
        <f>IF(J311=0,0,F311/J311)</f>
        <v/>
      </c>
      <c r="L311" s="110" t="n">
        <v>1</v>
      </c>
      <c r="M311" s="81" t="inlineStr">
        <is>
          <t>Fossil Fuel</t>
        </is>
      </c>
      <c r="CI311" s="81" t="inlineStr">
        <is>
          <t>A</t>
        </is>
      </c>
      <c r="CJ311" s="81" t="inlineStr">
        <is>
          <t>Each fossil speeds up nearby towers</t>
        </is>
      </c>
      <c r="DD311" s="81" t="n">
        <v>25</v>
      </c>
      <c r="DE311" s="81" t="n">
        <v>5</v>
      </c>
    </row>
    <row r="312">
      <c r="A312" s="81" t="inlineStr">
        <is>
          <t>Amber Resin Cannon</t>
        </is>
      </c>
      <c r="B312" s="81" t="inlineStr">
        <is>
          <t>Resin Shell</t>
        </is>
      </c>
      <c r="C312" s="81" t="inlineStr">
        <is>
          <t>support</t>
        </is>
      </c>
      <c r="D312" s="81" t="n">
        <v>1</v>
      </c>
      <c r="E312" s="81">
        <f>ROUND('Towers'!$C$19*POWER('Tuning'!$B$12,D312),0)</f>
        <v/>
      </c>
      <c r="F312" s="81">
        <f>'Towers'!$C$19+E312</f>
        <v/>
      </c>
      <c r="G312" s="110" t="n">
        <v>1</v>
      </c>
      <c r="H312" s="110" t="n">
        <v>1</v>
      </c>
      <c r="I312" s="110" t="n">
        <v>1</v>
      </c>
      <c r="J312" s="81">
        <f>'Towers'!$G$19*G312*H312*I312</f>
        <v/>
      </c>
      <c r="K312" s="81">
        <f>IF(J312=0,0,F312/J312)</f>
        <v/>
      </c>
      <c r="L312" s="110" t="n">
        <v>1</v>
      </c>
      <c r="M312" s="81" t="inlineStr">
        <is>
          <t>Coat of Resin</t>
        </is>
      </c>
      <c r="BH312" s="81" t="n">
        <v>15</v>
      </c>
    </row>
    <row r="313">
      <c r="A313" s="81" t="inlineStr">
        <is>
          <t>Amber Resin Cannon</t>
        </is>
      </c>
      <c r="B313" s="81" t="inlineStr">
        <is>
          <t>Resin Shell</t>
        </is>
      </c>
      <c r="C313" s="81" t="inlineStr">
        <is>
          <t>support</t>
        </is>
      </c>
      <c r="D313" s="81" t="n">
        <v>2</v>
      </c>
      <c r="E313" s="81">
        <f>ROUND('Towers'!$C$19*POWER('Tuning'!$B$12,D313),0)</f>
        <v/>
      </c>
      <c r="F313" s="81">
        <f>F312+E313</f>
        <v/>
      </c>
      <c r="G313" s="110" t="n">
        <v>1</v>
      </c>
      <c r="H313" s="110" t="n">
        <v>1</v>
      </c>
      <c r="I313" s="110" t="n">
        <v>1</v>
      </c>
      <c r="J313" s="81">
        <f>'Towers'!$G$19*G313*H313*I313</f>
        <v/>
      </c>
      <c r="K313" s="81">
        <f>IF(J313=0,0,F313/J313)</f>
        <v/>
      </c>
      <c r="L313" s="110" t="n">
        <v>1</v>
      </c>
      <c r="M313" s="81" t="inlineStr">
        <is>
          <t>Sticky Armour</t>
        </is>
      </c>
      <c r="AU313" s="81" t="n">
        <v>20</v>
      </c>
      <c r="BH313" s="81" t="n">
        <v>15</v>
      </c>
    </row>
    <row r="314">
      <c r="A314" s="81" t="inlineStr">
        <is>
          <t>Amber Resin Cannon</t>
        </is>
      </c>
      <c r="B314" s="81" t="inlineStr">
        <is>
          <t>Resin Shell</t>
        </is>
      </c>
      <c r="C314" s="81" t="inlineStr">
        <is>
          <t>support</t>
        </is>
      </c>
      <c r="D314" s="81" t="n">
        <v>3</v>
      </c>
      <c r="E314" s="81">
        <f>ROUND('Towers'!$C$19*POWER('Tuning'!$B$12,D314),0)</f>
        <v/>
      </c>
      <c r="F314" s="81">
        <f>F313+E314</f>
        <v/>
      </c>
      <c r="G314" s="110" t="n">
        <v>1</v>
      </c>
      <c r="H314" s="110" t="n">
        <v>1</v>
      </c>
      <c r="I314" s="110" t="n">
        <v>1</v>
      </c>
      <c r="J314" s="81">
        <f>'Towers'!$G$19*G314*H314*I314</f>
        <v/>
      </c>
      <c r="K314" s="81">
        <f>IF(J314=0,0,F314/J314)</f>
        <v/>
      </c>
      <c r="L314" s="110" t="n">
        <v>1</v>
      </c>
      <c r="M314" s="81" t="inlineStr">
        <is>
          <t>Amber Shield</t>
        </is>
      </c>
      <c r="AU314" s="81" t="n">
        <v>20</v>
      </c>
      <c r="BH314" s="81" t="n">
        <v>15</v>
      </c>
      <c r="DH314" s="81" t="n">
        <v>3</v>
      </c>
    </row>
    <row r="315">
      <c r="A315" s="81" t="inlineStr">
        <is>
          <t>Amber Resin Cannon</t>
        </is>
      </c>
      <c r="B315" s="81" t="inlineStr">
        <is>
          <t>Resin Shell</t>
        </is>
      </c>
      <c r="C315" s="81" t="inlineStr">
        <is>
          <t>support</t>
        </is>
      </c>
      <c r="D315" s="81" t="n">
        <v>4</v>
      </c>
      <c r="E315" s="81">
        <f>ROUND('Towers'!$C$19*POWER('Tuning'!$B$12,D315),0)</f>
        <v/>
      </c>
      <c r="F315" s="81">
        <f>F314+E315</f>
        <v/>
      </c>
      <c r="G315" s="110" t="n">
        <v>1</v>
      </c>
      <c r="H315" s="110" t="n">
        <v>1</v>
      </c>
      <c r="I315" s="110" t="n">
        <v>1</v>
      </c>
      <c r="J315" s="81">
        <f>J314*G315*H315*I315</f>
        <v/>
      </c>
      <c r="K315" s="81">
        <f>IF(J315=0,0,F315/J315)</f>
        <v/>
      </c>
      <c r="L315" s="110" t="n">
        <v>1</v>
      </c>
      <c r="M315" s="81" t="inlineStr">
        <is>
          <t>Self-Sealing</t>
        </is>
      </c>
      <c r="CI315" s="81" t="inlineStr">
        <is>
          <t>A</t>
        </is>
      </c>
      <c r="CJ315" s="81" t="inlineStr">
        <is>
          <t>Sealed towers heal 30% when the shell breaks</t>
        </is>
      </c>
      <c r="DJ315" s="81" t="n">
        <v>30</v>
      </c>
    </row>
    <row r="316">
      <c r="A316" s="81" t="inlineStr">
        <is>
          <t>Amber Resin Cannon</t>
        </is>
      </c>
      <c r="B316" s="81" t="inlineStr">
        <is>
          <t>Resin Shell</t>
        </is>
      </c>
      <c r="C316" s="81" t="inlineStr">
        <is>
          <t>support</t>
        </is>
      </c>
      <c r="D316" s="81" t="n">
        <v>5</v>
      </c>
      <c r="E316" s="81">
        <f>ROUND('Towers'!$C$19*POWER('Tuning'!$B$12,D316),0)</f>
        <v/>
      </c>
      <c r="F316" s="81">
        <f>F315+E316</f>
        <v/>
      </c>
      <c r="G316" s="110" t="n">
        <v>1</v>
      </c>
      <c r="H316" s="110" t="n">
        <v>1</v>
      </c>
      <c r="I316" s="110" t="n">
        <v>1</v>
      </c>
      <c r="J316" s="81">
        <f>J315*G316*H316*I316</f>
        <v/>
      </c>
      <c r="K316" s="81">
        <f>IF(J316=0,0,F316/J316)</f>
        <v/>
      </c>
      <c r="L316" s="110" t="n">
        <v>1</v>
      </c>
      <c r="M316" s="81" t="inlineStr">
        <is>
          <t>Amber Fortress</t>
        </is>
      </c>
      <c r="CI316" s="81" t="inlineStr">
        <is>
          <t>A</t>
        </is>
      </c>
      <c r="CJ316" s="81" t="inlineStr">
        <is>
          <t>Nearby towers can't be knocked out (20 s each)</t>
        </is>
      </c>
      <c r="DI316" s="81" t="n">
        <v>20</v>
      </c>
    </row>
    <row r="317">
      <c r="A317" s="81" t="inlineStr">
        <is>
          <t>Amber Resin Cannon</t>
        </is>
      </c>
      <c r="B317" s="81" t="inlineStr">
        <is>
          <t>Entomb</t>
        </is>
      </c>
      <c r="C317" s="81" t="inlineStr">
        <is>
          <t>control</t>
        </is>
      </c>
      <c r="D317" s="81" t="n">
        <v>4</v>
      </c>
      <c r="E317" s="81">
        <f>E305</f>
        <v/>
      </c>
      <c r="F317" s="81">
        <f>F305</f>
        <v/>
      </c>
      <c r="G317" s="110" t="n">
        <v>1.5</v>
      </c>
      <c r="H317" s="110" t="n">
        <v>1</v>
      </c>
      <c r="I317" s="110" t="n">
        <v>1</v>
      </c>
      <c r="L317" s="110" t="n">
        <v>1</v>
      </c>
      <c r="M317" s="81" t="inlineStr">
        <is>
          <t>Spreading Amber</t>
        </is>
      </c>
      <c r="CI317" s="81" t="inlineStr">
        <is>
          <t>B</t>
        </is>
      </c>
      <c r="CJ317" s="81" t="inlineStr">
        <is>
          <t>The amber jumps to the next dino</t>
        </is>
      </c>
      <c r="CY317" s="81" t="n">
        <v>1</v>
      </c>
    </row>
    <row r="318">
      <c r="A318" s="81" t="inlineStr">
        <is>
          <t>Amber Resin Cannon</t>
        </is>
      </c>
      <c r="B318" s="81" t="inlineStr">
        <is>
          <t>Entomb</t>
        </is>
      </c>
      <c r="C318" s="81" t="inlineStr">
        <is>
          <t>control</t>
        </is>
      </c>
      <c r="D318" s="81" t="n">
        <v>4</v>
      </c>
      <c r="E318" s="81">
        <f>E305</f>
        <v/>
      </c>
      <c r="F318" s="81">
        <f>F305</f>
        <v/>
      </c>
      <c r="G318" s="110" t="n">
        <v>1.6</v>
      </c>
      <c r="H318" s="110" t="n">
        <v>1</v>
      </c>
      <c r="I318" s="110" t="n">
        <v>1</v>
      </c>
      <c r="L318" s="110" t="n">
        <v>1</v>
      </c>
      <c r="M318" s="81" t="inlineStr">
        <is>
          <t>Sticky Bed</t>
        </is>
      </c>
      <c r="CI318" s="81" t="inlineStr">
        <is>
          <t>C</t>
        </is>
      </c>
      <c r="CJ318" s="81" t="inlineStr">
        <is>
          <t>Dinos walking past a stuck one slow 30%</t>
        </is>
      </c>
      <c r="CZ318" s="81" t="n">
        <v>30</v>
      </c>
    </row>
    <row r="319">
      <c r="A319" s="81" t="inlineStr">
        <is>
          <t>Amber Resin Cannon</t>
        </is>
      </c>
      <c r="B319" s="81" t="inlineStr">
        <is>
          <t>Entomb</t>
        </is>
      </c>
      <c r="C319" s="81" t="inlineStr">
        <is>
          <t>control</t>
        </is>
      </c>
      <c r="D319" s="81" t="n">
        <v>5</v>
      </c>
      <c r="E319" s="81">
        <f>E306</f>
        <v/>
      </c>
      <c r="F319" s="81">
        <f>F306</f>
        <v/>
      </c>
      <c r="G319" s="110" t="n">
        <v>1.8</v>
      </c>
      <c r="H319" s="110" t="n">
        <v>1.15</v>
      </c>
      <c r="I319" s="110" t="n">
        <v>1</v>
      </c>
      <c r="L319" s="110" t="n">
        <v>1</v>
      </c>
      <c r="M319" s="81" t="inlineStr">
        <is>
          <t>Living Amber</t>
        </is>
      </c>
      <c r="CI319" s="81" t="inlineStr">
        <is>
          <t>B</t>
        </is>
      </c>
      <c r="CJ319" s="81" t="inlineStr">
        <is>
          <t>Traps a boss 3 s; others stay stuck longer</t>
        </is>
      </c>
      <c r="CV319" s="81" t="n">
        <v>2.5</v>
      </c>
      <c r="DB319" s="81" t="n">
        <v>3</v>
      </c>
    </row>
    <row r="320">
      <c r="A320" s="81" t="inlineStr">
        <is>
          <t>Amber Resin Cannon</t>
        </is>
      </c>
      <c r="B320" s="81" t="inlineStr">
        <is>
          <t>Entomb</t>
        </is>
      </c>
      <c r="C320" s="81" t="inlineStr">
        <is>
          <t>control</t>
        </is>
      </c>
      <c r="D320" s="81" t="n">
        <v>5</v>
      </c>
      <c r="E320" s="81">
        <f>E306</f>
        <v/>
      </c>
      <c r="F320" s="81">
        <f>F306</f>
        <v/>
      </c>
      <c r="G320" s="110" t="n">
        <v>1.8</v>
      </c>
      <c r="H320" s="110" t="n">
        <v>1</v>
      </c>
      <c r="I320" s="110" t="n">
        <v>1</v>
      </c>
      <c r="L320" s="110" t="n">
        <v>1</v>
      </c>
      <c r="M320" s="81" t="inlineStr">
        <is>
          <t>Time Capsule</t>
        </is>
      </c>
      <c r="CI320" s="81" t="inlineStr">
        <is>
          <t>C</t>
        </is>
      </c>
      <c r="CJ320" s="81" t="inlineStr">
        <is>
          <t>Stuck dinos are sent 12 studs back</t>
        </is>
      </c>
      <c r="DC320" s="81" t="n">
        <v>12</v>
      </c>
    </row>
    <row r="321">
      <c r="A321" s="81" t="inlineStr">
        <is>
          <t>Amber Resin Cannon</t>
        </is>
      </c>
      <c r="B321" s="81" t="inlineStr">
        <is>
          <t>Fossilize</t>
        </is>
      </c>
      <c r="C321" s="81" t="inlineStr">
        <is>
          <t>economy</t>
        </is>
      </c>
      <c r="D321" s="81" t="n">
        <v>4</v>
      </c>
      <c r="E321" s="81">
        <f>E310</f>
        <v/>
      </c>
      <c r="F321" s="81">
        <f>F310</f>
        <v/>
      </c>
      <c r="G321" s="110" t="n">
        <v>1</v>
      </c>
      <c r="H321" s="110" t="n">
        <v>1</v>
      </c>
      <c r="I321" s="110" t="n">
        <v>1</v>
      </c>
      <c r="L321" s="110" t="n">
        <v>1</v>
      </c>
      <c r="M321" s="81" t="inlineStr">
        <is>
          <t>Dig Crew</t>
        </is>
      </c>
      <c r="CE321" s="81" t="n">
        <v>25</v>
      </c>
      <c r="CI321" s="81" t="inlineStr">
        <is>
          <t>B</t>
        </is>
      </c>
      <c r="CJ321" s="81" t="inlineStr">
        <is>
          <t>A fossil drops a cash chest</t>
        </is>
      </c>
    </row>
    <row r="322">
      <c r="A322" s="81" t="inlineStr">
        <is>
          <t>Amber Resin Cannon</t>
        </is>
      </c>
      <c r="B322" s="81" t="inlineStr">
        <is>
          <t>Fossilize</t>
        </is>
      </c>
      <c r="C322" s="81" t="inlineStr">
        <is>
          <t>economy</t>
        </is>
      </c>
      <c r="D322" s="81" t="n">
        <v>4</v>
      </c>
      <c r="E322" s="81">
        <f>E310</f>
        <v/>
      </c>
      <c r="F322" s="81">
        <f>F310</f>
        <v/>
      </c>
      <c r="G322" s="110" t="n">
        <v>1</v>
      </c>
      <c r="H322" s="110" t="n">
        <v>1</v>
      </c>
      <c r="I322" s="110" t="n">
        <v>1</v>
      </c>
      <c r="L322" s="110" t="n">
        <v>1</v>
      </c>
      <c r="M322" s="81" t="inlineStr">
        <is>
          <t>Bone Dust</t>
        </is>
      </c>
      <c r="CI322" s="81" t="inlineStr">
        <is>
          <t>C</t>
        </is>
      </c>
      <c r="CJ322" s="81" t="inlineStr">
        <is>
          <t>Fossils mark nearby dinos +15%</t>
        </is>
      </c>
      <c r="DM322" s="81" t="n">
        <v>15</v>
      </c>
    </row>
    <row r="323">
      <c r="A323" s="81" t="inlineStr">
        <is>
          <t>Amber Resin Cannon</t>
        </is>
      </c>
      <c r="B323" s="81" t="inlineStr">
        <is>
          <t>Fossilize</t>
        </is>
      </c>
      <c r="C323" s="81" t="inlineStr">
        <is>
          <t>economy</t>
        </is>
      </c>
      <c r="D323" s="81" t="n">
        <v>5</v>
      </c>
      <c r="E323" s="81">
        <f>E311</f>
        <v/>
      </c>
      <c r="F323" s="81">
        <f>F311</f>
        <v/>
      </c>
      <c r="G323" s="110" t="n">
        <v>1</v>
      </c>
      <c r="H323" s="110" t="n">
        <v>1</v>
      </c>
      <c r="I323" s="110" t="n">
        <v>1</v>
      </c>
      <c r="L323" s="110" t="n">
        <v>1</v>
      </c>
      <c r="M323" s="81" t="inlineStr">
        <is>
          <t>Prize Fossils</t>
        </is>
      </c>
      <c r="CI323" s="81" t="inlineStr">
        <is>
          <t>B</t>
        </is>
      </c>
      <c r="CJ323" s="81" t="inlineStr">
        <is>
          <t>More fossils; each counts double for bounties</t>
        </is>
      </c>
      <c r="DD323" s="81" t="n">
        <v>30</v>
      </c>
      <c r="DF323" s="81" t="n">
        <v>2</v>
      </c>
    </row>
    <row r="324">
      <c r="A324" s="81" t="inlineStr">
        <is>
          <t>Amber Resin Cannon</t>
        </is>
      </c>
      <c r="B324" s="81" t="inlineStr">
        <is>
          <t>Fossilize</t>
        </is>
      </c>
      <c r="C324" s="81" t="inlineStr">
        <is>
          <t>economy</t>
        </is>
      </c>
      <c r="D324" s="81" t="n">
        <v>5</v>
      </c>
      <c r="E324" s="81">
        <f>E311</f>
        <v/>
      </c>
      <c r="F324" s="81">
        <f>F311</f>
        <v/>
      </c>
      <c r="G324" s="110" t="n">
        <v>1</v>
      </c>
      <c r="H324" s="110" t="n">
        <v>1</v>
      </c>
      <c r="I324" s="110" t="n">
        <v>1</v>
      </c>
      <c r="L324" s="110" t="n">
        <v>1</v>
      </c>
      <c r="M324" s="81" t="inlineStr">
        <is>
          <t>Amber Heart</t>
        </is>
      </c>
      <c r="CI324" s="81" t="inlineStr">
        <is>
          <t>C</t>
        </is>
      </c>
      <c r="CJ324" s="81" t="inlineStr">
        <is>
          <t>Every 15th fossil freezes your whole side 1 s</t>
        </is>
      </c>
      <c r="DG324" s="81" t="n">
        <v>15</v>
      </c>
    </row>
    <row r="325">
      <c r="A325" s="81" t="inlineStr">
        <is>
          <t>Amber Resin Cannon</t>
        </is>
      </c>
      <c r="B325" s="81" t="inlineStr">
        <is>
          <t>Resin Shell</t>
        </is>
      </c>
      <c r="C325" s="81" t="inlineStr">
        <is>
          <t>support</t>
        </is>
      </c>
      <c r="D325" s="81" t="n">
        <v>4</v>
      </c>
      <c r="E325" s="81">
        <f>E315</f>
        <v/>
      </c>
      <c r="F325" s="81">
        <f>F315</f>
        <v/>
      </c>
      <c r="G325" s="110" t="n">
        <v>1</v>
      </c>
      <c r="H325" s="110" t="n">
        <v>1</v>
      </c>
      <c r="I325" s="110" t="n">
        <v>1</v>
      </c>
      <c r="L325" s="110" t="n">
        <v>1</v>
      </c>
      <c r="M325" s="81" t="inlineStr">
        <is>
          <t>Raider Glue</t>
        </is>
      </c>
      <c r="CI325" s="81" t="inlineStr">
        <is>
          <t>B</t>
        </is>
      </c>
      <c r="CJ325" s="81" t="inlineStr">
        <is>
          <t>Raiders and biters near your towers slow down</t>
        </is>
      </c>
      <c r="CK325" s="81" t="inlineStr">
        <is>
          <t>yes</t>
        </is>
      </c>
      <c r="CL325" s="81" t="n">
        <v>20</v>
      </c>
      <c r="CM325" s="81" t="n">
        <v>2</v>
      </c>
      <c r="CP325" s="81" t="n">
        <v>25</v>
      </c>
      <c r="CQ325" s="81" t="n">
        <v>2</v>
      </c>
    </row>
    <row r="326">
      <c r="A326" s="81" t="inlineStr">
        <is>
          <t>Amber Resin Cannon</t>
        </is>
      </c>
      <c r="B326" s="81" t="inlineStr">
        <is>
          <t>Resin Shell</t>
        </is>
      </c>
      <c r="C326" s="81" t="inlineStr">
        <is>
          <t>support</t>
        </is>
      </c>
      <c r="D326" s="81" t="n">
        <v>4</v>
      </c>
      <c r="E326" s="81">
        <f>E315</f>
        <v/>
      </c>
      <c r="F326" s="81">
        <f>F315</f>
        <v/>
      </c>
      <c r="G326" s="110" t="n">
        <v>1</v>
      </c>
      <c r="H326" s="110" t="n">
        <v>1</v>
      </c>
      <c r="I326" s="110" t="n">
        <v>1</v>
      </c>
      <c r="L326" s="110" t="n">
        <v>1</v>
      </c>
      <c r="M326" s="81" t="inlineStr">
        <is>
          <t>Sticky Thorns</t>
        </is>
      </c>
      <c r="AV326" s="81" t="n">
        <v>5</v>
      </c>
      <c r="CI326" s="81" t="inlineStr">
        <is>
          <t>C</t>
        </is>
      </c>
      <c r="CJ326" s="81" t="inlineStr">
        <is>
          <t>Biters get slowed and take 5 damage</t>
        </is>
      </c>
      <c r="CP326" s="81" t="n">
        <v>15</v>
      </c>
      <c r="CQ326" s="81" t="n">
        <v>1.5</v>
      </c>
    </row>
    <row r="327">
      <c r="A327" s="81" t="inlineStr">
        <is>
          <t>Amber Resin Cannon</t>
        </is>
      </c>
      <c r="B327" s="81" t="inlineStr">
        <is>
          <t>Resin Shell</t>
        </is>
      </c>
      <c r="C327" s="81" t="inlineStr">
        <is>
          <t>support</t>
        </is>
      </c>
      <c r="D327" s="81" t="n">
        <v>5</v>
      </c>
      <c r="E327" s="81">
        <f>E316</f>
        <v/>
      </c>
      <c r="F327" s="81">
        <f>F316</f>
        <v/>
      </c>
      <c r="G327" s="110" t="n">
        <v>1</v>
      </c>
      <c r="H327" s="110" t="n">
        <v>1</v>
      </c>
      <c r="I327" s="110" t="n">
        <v>1</v>
      </c>
      <c r="L327" s="110" t="n">
        <v>1</v>
      </c>
      <c r="M327" s="81" t="inlineStr">
        <is>
          <t>Resin Wall</t>
        </is>
      </c>
      <c r="CI327" s="81" t="inlineStr">
        <is>
          <t>B</t>
        </is>
      </c>
      <c r="CJ327" s="81" t="inlineStr">
        <is>
          <t>Once a round, an amber wall holds every dino 3 s</t>
        </is>
      </c>
      <c r="DL327" s="81" t="n">
        <v>3</v>
      </c>
    </row>
    <row r="328">
      <c r="A328" s="81" t="inlineStr">
        <is>
          <t>Amber Resin Cannon</t>
        </is>
      </c>
      <c r="B328" s="81" t="inlineStr">
        <is>
          <t>Resin Shell</t>
        </is>
      </c>
      <c r="C328" s="81" t="inlineStr">
        <is>
          <t>support</t>
        </is>
      </c>
      <c r="D328" s="81" t="n">
        <v>5</v>
      </c>
      <c r="E328" s="81">
        <f>E316</f>
        <v/>
      </c>
      <c r="F328" s="81">
        <f>F316</f>
        <v/>
      </c>
      <c r="G328" s="110" t="n">
        <v>1</v>
      </c>
      <c r="H328" s="110" t="n">
        <v>1</v>
      </c>
      <c r="I328" s="110" t="n">
        <v>1</v>
      </c>
      <c r="L328" s="110" t="n">
        <v>1</v>
      </c>
      <c r="M328" s="81" t="inlineStr">
        <is>
          <t>Amber Mirror</t>
        </is>
      </c>
      <c r="BR328" s="81" t="n">
        <v>1</v>
      </c>
      <c r="CI328" s="81" t="inlineStr">
        <is>
          <t>C</t>
        </is>
      </c>
      <c r="CJ328" s="81" t="inlineStr">
        <is>
          <t>Throws at your towers bounce back</t>
        </is>
      </c>
      <c r="DK328" s="81" t="n">
        <v>60</v>
      </c>
    </row>
    <row r="329">
      <c r="A329" s="81" t="inlineStr">
        <is>
          <t>Raptor Pen</t>
        </is>
      </c>
      <c r="B329" s="81" t="inlineStr">
        <is>
          <t>Pack</t>
        </is>
      </c>
      <c r="C329" s="81" t="inlineStr">
        <is>
          <t>pack damage</t>
        </is>
      </c>
      <c r="D329" s="81" t="n">
        <v>1</v>
      </c>
      <c r="E329" s="81">
        <f>ROUND('Towers'!$C$20*POWER('Tuning'!$B$12,D329),0)</f>
        <v/>
      </c>
      <c r="F329" s="81">
        <f>'Towers'!$C$20+E329</f>
        <v/>
      </c>
      <c r="G329" s="110" t="n">
        <v>1</v>
      </c>
      <c r="H329" s="110" t="n">
        <v>1</v>
      </c>
      <c r="I329" s="110" t="n">
        <v>1</v>
      </c>
      <c r="J329" s="81">
        <f>'Towers'!$G$20*G329*H329*I329</f>
        <v/>
      </c>
      <c r="K329" s="81">
        <f>IF(J329=0,0,F329/J329)</f>
        <v/>
      </c>
      <c r="L329" s="110" t="n">
        <v>1</v>
      </c>
      <c r="M329" s="81" t="inlineStr">
        <is>
          <t>Second Raptor</t>
        </is>
      </c>
      <c r="DN329" s="81" t="n">
        <v>2</v>
      </c>
    </row>
    <row r="330">
      <c r="A330" s="81" t="inlineStr">
        <is>
          <t>Raptor Pen</t>
        </is>
      </c>
      <c r="B330" s="81" t="inlineStr">
        <is>
          <t>Pack</t>
        </is>
      </c>
      <c r="C330" s="81" t="inlineStr">
        <is>
          <t>pack damage</t>
        </is>
      </c>
      <c r="D330" s="81" t="n">
        <v>2</v>
      </c>
      <c r="E330" s="81">
        <f>ROUND('Towers'!$C$20*POWER('Tuning'!$B$12,D330),0)</f>
        <v/>
      </c>
      <c r="F330" s="81">
        <f>F329+E330</f>
        <v/>
      </c>
      <c r="G330" s="110" t="n">
        <v>1.4</v>
      </c>
      <c r="H330" s="110" t="n">
        <v>1</v>
      </c>
      <c r="I330" s="110" t="n">
        <v>1</v>
      </c>
      <c r="J330" s="81">
        <f>'Towers'!$G$20*G330*H330*I330</f>
        <v/>
      </c>
      <c r="K330" s="81">
        <f>IF(J330=0,0,F330/J330)</f>
        <v/>
      </c>
      <c r="L330" s="110" t="n">
        <v>1</v>
      </c>
      <c r="M330" s="81" t="inlineStr">
        <is>
          <t>Quick Whistle</t>
        </is>
      </c>
      <c r="DN330" s="81" t="n">
        <v>2</v>
      </c>
      <c r="DP330" s="81" t="n">
        <v>1.3</v>
      </c>
      <c r="DR330" s="81" t="n">
        <v>0.7</v>
      </c>
    </row>
    <row r="331">
      <c r="A331" s="81" t="inlineStr">
        <is>
          <t>Raptor Pen</t>
        </is>
      </c>
      <c r="B331" s="81" t="inlineStr">
        <is>
          <t>Pack</t>
        </is>
      </c>
      <c r="C331" s="81" t="inlineStr">
        <is>
          <t>pack damage</t>
        </is>
      </c>
      <c r="D331" s="81" t="n">
        <v>3</v>
      </c>
      <c r="E331" s="81">
        <f>ROUND('Towers'!$C$20*POWER('Tuning'!$B$12,D331),0)</f>
        <v/>
      </c>
      <c r="F331" s="81">
        <f>F330+E331</f>
        <v/>
      </c>
      <c r="G331" s="110" t="n">
        <v>1.4</v>
      </c>
      <c r="H331" s="110" t="n">
        <v>1</v>
      </c>
      <c r="I331" s="110" t="n">
        <v>1</v>
      </c>
      <c r="J331" s="81">
        <f>'Towers'!$G$20*G331*H331*I331</f>
        <v/>
      </c>
      <c r="K331" s="81">
        <f>IF(J331=0,0,F331/J331)</f>
        <v/>
      </c>
      <c r="L331" s="110" t="n">
        <v>1</v>
      </c>
      <c r="M331" s="81" t="inlineStr">
        <is>
          <t>Pack of Five</t>
        </is>
      </c>
      <c r="DN331" s="81" t="n">
        <v>5</v>
      </c>
      <c r="DP331" s="81" t="n">
        <v>1.3</v>
      </c>
      <c r="DR331" s="81" t="n">
        <v>0.7</v>
      </c>
    </row>
    <row r="332">
      <c r="A332" s="81" t="inlineStr">
        <is>
          <t>Raptor Pen</t>
        </is>
      </c>
      <c r="B332" s="81" t="inlineStr">
        <is>
          <t>Pack</t>
        </is>
      </c>
      <c r="C332" s="81" t="inlineStr">
        <is>
          <t>pack damage</t>
        </is>
      </c>
      <c r="D332" s="81" t="n">
        <v>4</v>
      </c>
      <c r="E332" s="81">
        <f>ROUND('Towers'!$C$20*POWER('Tuning'!$B$12,D332),0)</f>
        <v/>
      </c>
      <c r="F332" s="81">
        <f>F331+E332</f>
        <v/>
      </c>
      <c r="G332" s="110" t="n">
        <v>1.75</v>
      </c>
      <c r="H332" s="110" t="n">
        <v>1</v>
      </c>
      <c r="I332" s="110" t="n">
        <v>1</v>
      </c>
      <c r="J332" s="81">
        <f>J331*G332*H332*I332</f>
        <v/>
      </c>
      <c r="K332" s="81">
        <f>IF(J332=0,0,F332/J332)</f>
        <v/>
      </c>
      <c r="L332" s="110" t="n">
        <v>1</v>
      </c>
      <c r="M332" s="81" t="inlineStr">
        <is>
          <t>Hide Rippers</t>
        </is>
      </c>
      <c r="N332" s="81" t="inlineStr">
        <is>
          <t>Yes</t>
        </is>
      </c>
      <c r="CI332" s="81" t="inlineStr">
        <is>
          <t>A</t>
        </is>
      </c>
      <c r="CJ332" s="81" t="inlineStr">
        <is>
          <t>Raptors bite through armour</t>
        </is>
      </c>
    </row>
    <row r="333">
      <c r="A333" s="81" t="inlineStr">
        <is>
          <t>Raptor Pen</t>
        </is>
      </c>
      <c r="B333" s="81" t="inlineStr">
        <is>
          <t>Pack</t>
        </is>
      </c>
      <c r="C333" s="81" t="inlineStr">
        <is>
          <t>pack damage</t>
        </is>
      </c>
      <c r="D333" s="81" t="n">
        <v>5</v>
      </c>
      <c r="E333" s="81">
        <f>ROUND('Towers'!$C$20*POWER('Tuning'!$B$12,D333),0)</f>
        <v/>
      </c>
      <c r="F333" s="81">
        <f>F332+E333</f>
        <v/>
      </c>
      <c r="G333" s="110" t="n">
        <v>1.7</v>
      </c>
      <c r="H333" s="110" t="n">
        <v>1</v>
      </c>
      <c r="I333" s="110" t="n">
        <v>1</v>
      </c>
      <c r="J333" s="81">
        <f>J332*G333*H333*I333</f>
        <v/>
      </c>
      <c r="K333" s="81">
        <f>IF(J333=0,0,F333/J333)</f>
        <v/>
      </c>
      <c r="L333" s="110" t="n">
        <v>1</v>
      </c>
      <c r="M333" s="81" t="inlineStr">
        <is>
          <t>Raptor Swarm</t>
        </is>
      </c>
      <c r="CI333" s="81" t="inlineStr">
        <is>
          <t>A</t>
        </is>
      </c>
      <c r="CJ333" s="81" t="inlineStr">
        <is>
          <t>10 small raptors flood the track once a round</t>
        </is>
      </c>
      <c r="EA333" s="81" t="inlineStr">
        <is>
          <t>Yes</t>
        </is>
      </c>
    </row>
    <row r="334">
      <c r="A334" s="81" t="inlineStr">
        <is>
          <t>Raptor Pen</t>
        </is>
      </c>
      <c r="B334" s="81" t="inlineStr">
        <is>
          <t>Alpha</t>
        </is>
      </c>
      <c r="C334" s="81" t="inlineStr">
        <is>
          <t>one big hunter</t>
        </is>
      </c>
      <c r="D334" s="81" t="n">
        <v>1</v>
      </c>
      <c r="E334" s="81">
        <f>ROUND('Towers'!$C$20*POWER('Tuning'!$B$12,D334),0)</f>
        <v/>
      </c>
      <c r="F334" s="81">
        <f>'Towers'!$C$20+E334</f>
        <v/>
      </c>
      <c r="G334" s="110" t="n">
        <v>1.9</v>
      </c>
      <c r="H334" s="110" t="n">
        <v>1</v>
      </c>
      <c r="I334" s="110" t="n">
        <v>1</v>
      </c>
      <c r="J334" s="81">
        <f>'Towers'!$G$20*G334*H334*I334</f>
        <v/>
      </c>
      <c r="K334" s="81">
        <f>IF(J334=0,0,F334/J334)</f>
        <v/>
      </c>
      <c r="L334" s="110" t="n">
        <v>1</v>
      </c>
      <c r="M334" s="81" t="inlineStr">
        <is>
          <t>Sharp Claws</t>
        </is>
      </c>
    </row>
    <row r="335">
      <c r="A335" s="81" t="inlineStr">
        <is>
          <t>Raptor Pen</t>
        </is>
      </c>
      <c r="B335" s="81" t="inlineStr">
        <is>
          <t>Alpha</t>
        </is>
      </c>
      <c r="C335" s="81" t="inlineStr">
        <is>
          <t>one big hunter</t>
        </is>
      </c>
      <c r="D335" s="81" t="n">
        <v>2</v>
      </c>
      <c r="E335" s="81">
        <f>ROUND('Towers'!$C$20*POWER('Tuning'!$B$12,D335),0)</f>
        <v/>
      </c>
      <c r="F335" s="81">
        <f>F334+E335</f>
        <v/>
      </c>
      <c r="G335" s="110" t="n">
        <v>3.6</v>
      </c>
      <c r="H335" s="110" t="n">
        <v>1</v>
      </c>
      <c r="I335" s="110" t="n">
        <v>1</v>
      </c>
      <c r="J335" s="81">
        <f>'Towers'!$G$20*G335*H335*I335</f>
        <v/>
      </c>
      <c r="K335" s="81">
        <f>IF(J335=0,0,F335/J335)</f>
        <v/>
      </c>
      <c r="L335" s="110" t="n">
        <v>1</v>
      </c>
      <c r="M335" s="81" t="inlineStr">
        <is>
          <t>Thick Hide</t>
        </is>
      </c>
      <c r="DO335" s="81" t="n">
        <v>1.6</v>
      </c>
      <c r="DQ335" s="81" t="n">
        <v>25</v>
      </c>
    </row>
    <row r="336">
      <c r="A336" s="81" t="inlineStr">
        <is>
          <t>Raptor Pen</t>
        </is>
      </c>
      <c r="B336" s="81" t="inlineStr">
        <is>
          <t>Alpha</t>
        </is>
      </c>
      <c r="C336" s="81" t="inlineStr">
        <is>
          <t>one big hunter</t>
        </is>
      </c>
      <c r="D336" s="81" t="n">
        <v>3</v>
      </c>
      <c r="E336" s="81">
        <f>ROUND('Towers'!$C$20*POWER('Tuning'!$B$12,D336),0)</f>
        <v/>
      </c>
      <c r="F336" s="81">
        <f>F335+E336</f>
        <v/>
      </c>
      <c r="G336" s="110" t="n">
        <v>7</v>
      </c>
      <c r="H336" s="110" t="n">
        <v>1</v>
      </c>
      <c r="I336" s="110" t="n">
        <v>1</v>
      </c>
      <c r="J336" s="81">
        <f>'Towers'!$G$20*G336*H336*I336</f>
        <v/>
      </c>
      <c r="K336" s="81">
        <f>IF(J336=0,0,F336/J336)</f>
        <v/>
      </c>
      <c r="L336" s="110" t="n">
        <v>1</v>
      </c>
      <c r="M336" s="81" t="inlineStr">
        <is>
          <t>Alpha Raptor</t>
        </is>
      </c>
      <c r="BJ336" s="81" t="n">
        <v>2</v>
      </c>
      <c r="DO336" s="81" t="n">
        <v>3</v>
      </c>
      <c r="DQ336" s="81" t="n">
        <v>25</v>
      </c>
      <c r="DS336" s="81" t="n">
        <v>1</v>
      </c>
      <c r="DZ336" s="81" t="inlineStr">
        <is>
          <t>Yes</t>
        </is>
      </c>
    </row>
    <row r="337">
      <c r="A337" s="81" t="inlineStr">
        <is>
          <t>Raptor Pen</t>
        </is>
      </c>
      <c r="B337" s="81" t="inlineStr">
        <is>
          <t>Alpha</t>
        </is>
      </c>
      <c r="C337" s="81" t="inlineStr">
        <is>
          <t>one big hunter</t>
        </is>
      </c>
      <c r="D337" s="81" t="n">
        <v>4</v>
      </c>
      <c r="E337" s="81">
        <f>ROUND('Towers'!$C$20*POWER('Tuning'!$B$12,D337),0)</f>
        <v/>
      </c>
      <c r="F337" s="81">
        <f>F336+E337</f>
        <v/>
      </c>
      <c r="G337" s="110" t="n">
        <v>1.8</v>
      </c>
      <c r="H337" s="110" t="n">
        <v>1</v>
      </c>
      <c r="I337" s="110" t="n">
        <v>1</v>
      </c>
      <c r="J337" s="81">
        <f>J336*G337*H337*I337</f>
        <v/>
      </c>
      <c r="K337" s="81">
        <f>IF(J337=0,0,F337/J337)</f>
        <v/>
      </c>
      <c r="L337" s="110" t="n">
        <v>1</v>
      </c>
      <c r="M337" s="81" t="inlineStr">
        <is>
          <t>Sickle Claw</t>
        </is>
      </c>
      <c r="BJ337" s="81" t="n">
        <v>3</v>
      </c>
      <c r="CI337" s="81" t="inlineStr">
        <is>
          <t>A</t>
        </is>
      </c>
      <c r="CJ337" s="81" t="inlineStr">
        <is>
          <t>×3 on its target, breaks 3</t>
        </is>
      </c>
    </row>
    <row r="338">
      <c r="A338" s="81" t="inlineStr">
        <is>
          <t>Raptor Pen</t>
        </is>
      </c>
      <c r="B338" s="81" t="inlineStr">
        <is>
          <t>Alpha</t>
        </is>
      </c>
      <c r="C338" s="81" t="inlineStr">
        <is>
          <t>one big hunter</t>
        </is>
      </c>
      <c r="D338" s="81" t="n">
        <v>5</v>
      </c>
      <c r="E338" s="81">
        <f>ROUND('Towers'!$C$20*POWER('Tuning'!$B$12,D338),0)</f>
        <v/>
      </c>
      <c r="F338" s="81">
        <f>F337+E338</f>
        <v/>
      </c>
      <c r="G338" s="110" t="n">
        <v>1.9</v>
      </c>
      <c r="H338" s="110" t="n">
        <v>1.25</v>
      </c>
      <c r="I338" s="110" t="n">
        <v>1</v>
      </c>
      <c r="J338" s="81">
        <f>J337*G338*H338*I338</f>
        <v/>
      </c>
      <c r="K338" s="81">
        <f>IF(J338=0,0,F338/J338)</f>
        <v/>
      </c>
      <c r="L338" s="110" t="n">
        <v>1</v>
      </c>
      <c r="M338" s="81" t="inlineStr">
        <is>
          <t>King of the Pack</t>
        </is>
      </c>
      <c r="BJ338" s="81" t="n">
        <v>4</v>
      </c>
      <c r="CI338" s="81" t="inlineStr">
        <is>
          <t>A</t>
        </is>
      </c>
      <c r="CJ338" s="81" t="inlineStr">
        <is>
          <t>A giant raptor, half damage taken</t>
        </is>
      </c>
      <c r="DO338" s="81" t="n">
        <v>1.5</v>
      </c>
      <c r="DQ338" s="81" t="n">
        <v>50</v>
      </c>
    </row>
    <row r="339">
      <c r="A339" s="81" t="inlineStr">
        <is>
          <t>Raptor Pen</t>
        </is>
      </c>
      <c r="B339" s="81" t="inlineStr">
        <is>
          <t>Trainer</t>
        </is>
      </c>
      <c r="C339" s="81" t="inlineStr">
        <is>
          <t>support</t>
        </is>
      </c>
      <c r="D339" s="81" t="n">
        <v>1</v>
      </c>
      <c r="E339" s="81">
        <f>ROUND('Towers'!$C$20*POWER('Tuning'!$B$12,D339),0)</f>
        <v/>
      </c>
      <c r="F339" s="81">
        <f>'Towers'!$C$20+E339</f>
        <v/>
      </c>
      <c r="G339" s="110" t="n">
        <v>1.3</v>
      </c>
      <c r="H339" s="110" t="n">
        <v>1</v>
      </c>
      <c r="I339" s="110" t="n">
        <v>1</v>
      </c>
      <c r="J339" s="81">
        <f>'Towers'!$G$20*G339*H339*I339</f>
        <v/>
      </c>
      <c r="K339" s="81">
        <f>IF(J339=0,0,F339/J339)</f>
        <v/>
      </c>
      <c r="L339" s="110" t="n">
        <v>1.15</v>
      </c>
      <c r="M339" s="81" t="inlineStr">
        <is>
          <t>Tracking Nose</t>
        </is>
      </c>
      <c r="DV339" s="81" t="inlineStr">
        <is>
          <t>Yes</t>
        </is>
      </c>
    </row>
    <row r="340">
      <c r="A340" s="81" t="inlineStr">
        <is>
          <t>Raptor Pen</t>
        </is>
      </c>
      <c r="B340" s="81" t="inlineStr">
        <is>
          <t>Trainer</t>
        </is>
      </c>
      <c r="C340" s="81" t="inlineStr">
        <is>
          <t>support</t>
        </is>
      </c>
      <c r="D340" s="81" t="n">
        <v>2</v>
      </c>
      <c r="E340" s="81">
        <f>ROUND('Towers'!$C$20*POWER('Tuning'!$B$12,D340),0)</f>
        <v/>
      </c>
      <c r="F340" s="81">
        <f>F339+E340</f>
        <v/>
      </c>
      <c r="G340" s="110" t="n">
        <v>1.6</v>
      </c>
      <c r="H340" s="110" t="n">
        <v>1</v>
      </c>
      <c r="I340" s="110" t="n">
        <v>1</v>
      </c>
      <c r="J340" s="81">
        <f>'Towers'!$G$20*G340*H340*I340</f>
        <v/>
      </c>
      <c r="K340" s="81">
        <f>IF(J340=0,0,F340/J340)</f>
        <v/>
      </c>
      <c r="L340" s="110" t="n">
        <v>1.15</v>
      </c>
      <c r="M340" s="81" t="inlineStr">
        <is>
          <t>Herding Call</t>
        </is>
      </c>
      <c r="AE340" s="81" t="n">
        <v>20</v>
      </c>
      <c r="AF340" s="81" t="n">
        <v>1</v>
      </c>
      <c r="DV340" s="81" t="inlineStr">
        <is>
          <t>Yes</t>
        </is>
      </c>
    </row>
    <row r="341">
      <c r="A341" s="81" t="inlineStr">
        <is>
          <t>Raptor Pen</t>
        </is>
      </c>
      <c r="B341" s="81" t="inlineStr">
        <is>
          <t>Trainer</t>
        </is>
      </c>
      <c r="C341" s="81" t="inlineStr">
        <is>
          <t>support</t>
        </is>
      </c>
      <c r="D341" s="81" t="n">
        <v>3</v>
      </c>
      <c r="E341" s="81">
        <f>ROUND('Towers'!$C$20*POWER('Tuning'!$B$12,D341),0)</f>
        <v/>
      </c>
      <c r="F341" s="81">
        <f>F340+E341</f>
        <v/>
      </c>
      <c r="G341" s="110" t="n">
        <v>2.2</v>
      </c>
      <c r="H341" s="110" t="n">
        <v>1</v>
      </c>
      <c r="I341" s="110" t="n">
        <v>1</v>
      </c>
      <c r="J341" s="81">
        <f>'Towers'!$G$20*G341*H341*I341</f>
        <v/>
      </c>
      <c r="K341" s="81">
        <f>IF(J341=0,0,F341/J341)</f>
        <v/>
      </c>
      <c r="L341" s="110" t="n">
        <v>1.15</v>
      </c>
      <c r="M341" s="81" t="inlineStr">
        <is>
          <t>Pack Howl</t>
        </is>
      </c>
      <c r="AE341" s="81" t="n">
        <v>20</v>
      </c>
      <c r="AF341" s="81" t="n">
        <v>1</v>
      </c>
      <c r="BY341" s="81" t="n">
        <v>15</v>
      </c>
      <c r="DN341" s="81" t="n">
        <v>2</v>
      </c>
      <c r="DV341" s="81" t="inlineStr">
        <is>
          <t>Yes</t>
        </is>
      </c>
    </row>
    <row r="342">
      <c r="A342" s="81" t="inlineStr">
        <is>
          <t>Raptor Pen</t>
        </is>
      </c>
      <c r="B342" s="81" t="inlineStr">
        <is>
          <t>Trainer</t>
        </is>
      </c>
      <c r="C342" s="81" t="inlineStr">
        <is>
          <t>support</t>
        </is>
      </c>
      <c r="D342" s="81" t="n">
        <v>4</v>
      </c>
      <c r="E342" s="81">
        <f>ROUND('Towers'!$C$20*POWER('Tuning'!$B$12,D342),0)</f>
        <v/>
      </c>
      <c r="F342" s="81">
        <f>F341+E342</f>
        <v/>
      </c>
      <c r="G342" s="110" t="n">
        <v>1.4</v>
      </c>
      <c r="H342" s="110" t="n">
        <v>1</v>
      </c>
      <c r="I342" s="110" t="n">
        <v>1</v>
      </c>
      <c r="J342" s="81">
        <f>J341*G342*H342*I342</f>
        <v/>
      </c>
      <c r="K342" s="81">
        <f>IF(J342=0,0,F342/J342)</f>
        <v/>
      </c>
      <c r="L342" s="110" t="n">
        <v>1</v>
      </c>
      <c r="M342" s="81" t="inlineStr">
        <is>
          <t>Treat Bag</t>
        </is>
      </c>
      <c r="CI342" s="81" t="inlineStr">
        <is>
          <t>A</t>
        </is>
      </c>
      <c r="CJ342" s="81" t="inlineStr">
        <is>
          <t>Raptors heal and return faster</t>
        </is>
      </c>
      <c r="DR342" s="81" t="n">
        <v>0.5</v>
      </c>
      <c r="DX342" s="81" t="inlineStr">
        <is>
          <t>Yes</t>
        </is>
      </c>
    </row>
    <row r="343">
      <c r="A343" s="81" t="inlineStr">
        <is>
          <t>Raptor Pen</t>
        </is>
      </c>
      <c r="B343" s="81" t="inlineStr">
        <is>
          <t>Trainer</t>
        </is>
      </c>
      <c r="C343" s="81" t="inlineStr">
        <is>
          <t>support</t>
        </is>
      </c>
      <c r="D343" s="81" t="n">
        <v>5</v>
      </c>
      <c r="E343" s="81">
        <f>ROUND('Towers'!$C$20*POWER('Tuning'!$B$12,D343),0)</f>
        <v/>
      </c>
      <c r="F343" s="81">
        <f>F342+E343</f>
        <v/>
      </c>
      <c r="G343" s="110" t="n">
        <v>1.5</v>
      </c>
      <c r="H343" s="110" t="n">
        <v>1</v>
      </c>
      <c r="I343" s="110" t="n">
        <v>1</v>
      </c>
      <c r="J343" s="81">
        <f>J342*G343*H343*I343</f>
        <v/>
      </c>
      <c r="K343" s="81">
        <f>IF(J343=0,0,F343/J343)</f>
        <v/>
      </c>
      <c r="L343" s="110" t="n">
        <v>1</v>
      </c>
      <c r="M343" s="81" t="inlineStr">
        <is>
          <t>Raptor Charge</t>
        </is>
      </c>
      <c r="CI343" s="81" t="inlineStr">
        <is>
          <t>A</t>
        </is>
      </c>
      <c r="CJ343" s="81" t="inlineStr">
        <is>
          <t>Every raptor charges the track once a round</t>
        </is>
      </c>
      <c r="EB343" s="81" t="inlineStr">
        <is>
          <t>Yes</t>
        </is>
      </c>
    </row>
    <row r="344">
      <c r="A344" s="81" t="inlineStr">
        <is>
          <t>Raptor Pen</t>
        </is>
      </c>
      <c r="B344" s="81" t="inlineStr">
        <is>
          <t>Pack</t>
        </is>
      </c>
      <c r="C344" s="81" t="inlineStr">
        <is>
          <t>pack damage</t>
        </is>
      </c>
      <c r="D344" s="81" t="n">
        <v>4</v>
      </c>
      <c r="E344" s="81">
        <f>E332</f>
        <v/>
      </c>
      <c r="F344" s="81">
        <f>F332</f>
        <v/>
      </c>
      <c r="G344" s="110" t="n">
        <v>1.85</v>
      </c>
      <c r="H344" s="110" t="n">
        <v>1</v>
      </c>
      <c r="I344" s="110" t="n">
        <v>1</v>
      </c>
      <c r="L344" s="110" t="n">
        <v>1</v>
      </c>
      <c r="M344" s="81" t="inlineStr">
        <is>
          <t>Flanking</t>
        </is>
      </c>
      <c r="CI344" s="81" t="inlineStr">
        <is>
          <t>B</t>
        </is>
      </c>
      <c r="CJ344" s="81" t="inlineStr">
        <is>
          <t>Each raptor picks a different dino</t>
        </is>
      </c>
      <c r="DU344" s="81" t="inlineStr">
        <is>
          <t>Yes</t>
        </is>
      </c>
    </row>
    <row r="345">
      <c r="A345" s="81" t="inlineStr">
        <is>
          <t>Raptor Pen</t>
        </is>
      </c>
      <c r="B345" s="81" t="inlineStr">
        <is>
          <t>Pack</t>
        </is>
      </c>
      <c r="C345" s="81" t="inlineStr">
        <is>
          <t>pack damage</t>
        </is>
      </c>
      <c r="D345" s="81" t="n">
        <v>4</v>
      </c>
      <c r="E345" s="81">
        <f>E332</f>
        <v/>
      </c>
      <c r="F345" s="81">
        <f>F332</f>
        <v/>
      </c>
      <c r="G345" s="110" t="n">
        <v>1.75</v>
      </c>
      <c r="H345" s="110" t="n">
        <v>1</v>
      </c>
      <c r="I345" s="110" t="n">
        <v>1</v>
      </c>
      <c r="L345" s="110" t="n">
        <v>1</v>
      </c>
      <c r="M345" s="81" t="inlineStr">
        <is>
          <t>Ambush</t>
        </is>
      </c>
      <c r="BU345" s="81" t="n">
        <v>2</v>
      </c>
      <c r="CI345" s="81" t="inlineStr">
        <is>
          <t>C</t>
        </is>
      </c>
      <c r="CJ345" s="81" t="inlineStr">
        <is>
          <t>Each raptor's first pounce hits double</t>
        </is>
      </c>
    </row>
    <row r="346">
      <c r="A346" s="81" t="inlineStr">
        <is>
          <t>Raptor Pen</t>
        </is>
      </c>
      <c r="B346" s="81" t="inlineStr">
        <is>
          <t>Pack</t>
        </is>
      </c>
      <c r="C346" s="81" t="inlineStr">
        <is>
          <t>pack damage</t>
        </is>
      </c>
      <c r="D346" s="81" t="n">
        <v>5</v>
      </c>
      <c r="E346" s="81">
        <f>E333</f>
        <v/>
      </c>
      <c r="F346" s="81">
        <f>F333</f>
        <v/>
      </c>
      <c r="G346" s="110" t="n">
        <v>1.75</v>
      </c>
      <c r="H346" s="110" t="n">
        <v>1</v>
      </c>
      <c r="I346" s="110" t="n">
        <v>1</v>
      </c>
      <c r="L346" s="110" t="n">
        <v>1</v>
      </c>
      <c r="M346" s="81" t="inlineStr">
        <is>
          <t>Clever Girls</t>
        </is>
      </c>
      <c r="CI346" s="81" t="inlineStr">
        <is>
          <t>B</t>
        </is>
      </c>
      <c r="CJ346" s="81" t="inlineStr">
        <is>
          <t>Raptors dodge bites and never get trampled</t>
        </is>
      </c>
      <c r="DY346" s="81" t="inlineStr">
        <is>
          <t>Yes</t>
        </is>
      </c>
    </row>
    <row r="347">
      <c r="A347" s="81" t="inlineStr">
        <is>
          <t>Raptor Pen</t>
        </is>
      </c>
      <c r="B347" s="81" t="inlineStr">
        <is>
          <t>Pack</t>
        </is>
      </c>
      <c r="C347" s="81" t="inlineStr">
        <is>
          <t>pack damage</t>
        </is>
      </c>
      <c r="D347" s="81" t="n">
        <v>5</v>
      </c>
      <c r="E347" s="81">
        <f>E333</f>
        <v/>
      </c>
      <c r="F347" s="81">
        <f>F333</f>
        <v/>
      </c>
      <c r="G347" s="110" t="n">
        <v>1.95</v>
      </c>
      <c r="H347" s="110" t="n">
        <v>1</v>
      </c>
      <c r="I347" s="110" t="n">
        <v>1</v>
      </c>
      <c r="L347" s="110" t="n">
        <v>1</v>
      </c>
      <c r="M347" s="81" t="inlineStr">
        <is>
          <t>Sky Leap</t>
        </is>
      </c>
      <c r="CI347" s="81" t="inlineStr">
        <is>
          <t>C</t>
        </is>
      </c>
      <c r="CJ347" s="81" t="inlineStr">
        <is>
          <t>Raptors jump at low flyers</t>
        </is>
      </c>
      <c r="DW347" s="81" t="inlineStr">
        <is>
          <t>Yes</t>
        </is>
      </c>
    </row>
    <row r="348">
      <c r="A348" s="81" t="inlineStr">
        <is>
          <t>Raptor Pen</t>
        </is>
      </c>
      <c r="B348" s="81" t="inlineStr">
        <is>
          <t>Alpha</t>
        </is>
      </c>
      <c r="C348" s="81" t="inlineStr">
        <is>
          <t>one big hunter</t>
        </is>
      </c>
      <c r="D348" s="81" t="n">
        <v>4</v>
      </c>
      <c r="E348" s="81">
        <f>E337</f>
        <v/>
      </c>
      <c r="F348" s="81">
        <f>F337</f>
        <v/>
      </c>
      <c r="G348" s="110" t="n">
        <v>1.6</v>
      </c>
      <c r="H348" s="110" t="n">
        <v>1</v>
      </c>
      <c r="I348" s="110" t="n">
        <v>1</v>
      </c>
      <c r="L348" s="110" t="n">
        <v>1</v>
      </c>
      <c r="M348" s="81" t="inlineStr">
        <is>
          <t>Boss Hunter</t>
        </is>
      </c>
      <c r="P348" s="81" t="n">
        <v>1.6</v>
      </c>
      <c r="CI348" s="81" t="inlineStr">
        <is>
          <t>B</t>
        </is>
      </c>
      <c r="CJ348" s="81" t="inlineStr">
        <is>
          <t>Can hold a boss for a moment</t>
        </is>
      </c>
      <c r="DT348" s="81" t="n">
        <v>0.5</v>
      </c>
    </row>
    <row r="349">
      <c r="A349" s="81" t="inlineStr">
        <is>
          <t>Raptor Pen</t>
        </is>
      </c>
      <c r="B349" s="81" t="inlineStr">
        <is>
          <t>Alpha</t>
        </is>
      </c>
      <c r="C349" s="81" t="inlineStr">
        <is>
          <t>one big hunter</t>
        </is>
      </c>
      <c r="D349" s="81" t="n">
        <v>4</v>
      </c>
      <c r="E349" s="81">
        <f>E337</f>
        <v/>
      </c>
      <c r="F349" s="81">
        <f>F337</f>
        <v/>
      </c>
      <c r="G349" s="110" t="n">
        <v>1.7</v>
      </c>
      <c r="H349" s="110" t="n">
        <v>1</v>
      </c>
      <c r="I349" s="110" t="n">
        <v>1</v>
      </c>
      <c r="L349" s="110" t="n">
        <v>1</v>
      </c>
      <c r="M349" s="81" t="inlineStr">
        <is>
          <t>Scent Trail</t>
        </is>
      </c>
      <c r="T349" s="81" t="n">
        <v>15</v>
      </c>
      <c r="CI349" s="81" t="inlineStr">
        <is>
          <t>C</t>
        </is>
      </c>
      <c r="CJ349" s="81" t="inlineStr">
        <is>
          <t>Its target is marked +15%</t>
        </is>
      </c>
    </row>
    <row r="350">
      <c r="A350" s="81" t="inlineStr">
        <is>
          <t>Raptor Pen</t>
        </is>
      </c>
      <c r="B350" s="81" t="inlineStr">
        <is>
          <t>Alpha</t>
        </is>
      </c>
      <c r="C350" s="81" t="inlineStr">
        <is>
          <t>one big hunter</t>
        </is>
      </c>
      <c r="D350" s="81" t="n">
        <v>5</v>
      </c>
      <c r="E350" s="81">
        <f>E338</f>
        <v/>
      </c>
      <c r="F350" s="81">
        <f>F338</f>
        <v/>
      </c>
      <c r="G350" s="110" t="n">
        <v>2</v>
      </c>
      <c r="H350" s="110" t="n">
        <v>1</v>
      </c>
      <c r="I350" s="110" t="n">
        <v>1</v>
      </c>
      <c r="L350" s="110" t="n">
        <v>1</v>
      </c>
      <c r="M350" s="81" t="inlineStr">
        <is>
          <t>Rex Tamer</t>
        </is>
      </c>
      <c r="U350" s="81" t="n">
        <v>1</v>
      </c>
      <c r="CI350" s="81" t="inlineStr">
        <is>
          <t>B</t>
        </is>
      </c>
      <c r="CJ350" s="81" t="inlineStr">
        <is>
          <t>A tamed T. rex whose roar stuns</t>
        </is>
      </c>
      <c r="DO350" s="81" t="n">
        <v>1.4</v>
      </c>
      <c r="ED350" s="81" t="n">
        <v>15</v>
      </c>
    </row>
    <row r="351">
      <c r="A351" s="81" t="inlineStr">
        <is>
          <t>Raptor Pen</t>
        </is>
      </c>
      <c r="B351" s="81" t="inlineStr">
        <is>
          <t>Alpha</t>
        </is>
      </c>
      <c r="C351" s="81" t="inlineStr">
        <is>
          <t>one big hunter</t>
        </is>
      </c>
      <c r="D351" s="81" t="n">
        <v>5</v>
      </c>
      <c r="E351" s="81">
        <f>E338</f>
        <v/>
      </c>
      <c r="F351" s="81">
        <f>F338</f>
        <v/>
      </c>
      <c r="G351" s="110" t="n">
        <v>1.75</v>
      </c>
      <c r="H351" s="110" t="n">
        <v>1</v>
      </c>
      <c r="I351" s="110" t="n">
        <v>1</v>
      </c>
      <c r="L351" s="110" t="n">
        <v>1</v>
      </c>
      <c r="M351" s="81" t="inlineStr">
        <is>
          <t>Hungry Alpha</t>
        </is>
      </c>
      <c r="CI351" s="81" t="inlineStr">
        <is>
          <t>C</t>
        </is>
      </c>
      <c r="CJ351" s="81" t="inlineStr">
        <is>
          <t>Stronger with every take-down</t>
        </is>
      </c>
      <c r="EE351" s="81" t="n">
        <v>10</v>
      </c>
    </row>
    <row r="352">
      <c r="A352" s="81" t="inlineStr">
        <is>
          <t>Raptor Pen</t>
        </is>
      </c>
      <c r="B352" s="81" t="inlineStr">
        <is>
          <t>Trainer</t>
        </is>
      </c>
      <c r="C352" s="81" t="inlineStr">
        <is>
          <t>support</t>
        </is>
      </c>
      <c r="D352" s="81" t="n">
        <v>4</v>
      </c>
      <c r="E352" s="81">
        <f>E342</f>
        <v/>
      </c>
      <c r="F352" s="81">
        <f>F342</f>
        <v/>
      </c>
      <c r="G352" s="110" t="n">
        <v>1.3</v>
      </c>
      <c r="H352" s="110" t="n">
        <v>1</v>
      </c>
      <c r="I352" s="110" t="n">
        <v>1</v>
      </c>
      <c r="L352" s="110" t="n">
        <v>1</v>
      </c>
      <c r="M352" s="81" t="inlineStr">
        <is>
          <t>Guard Raptors</t>
        </is>
      </c>
      <c r="CI352" s="81" t="inlineStr">
        <is>
          <t>B</t>
        </is>
      </c>
      <c r="CJ352" s="81" t="inlineStr">
        <is>
          <t>A raptor guards each tower</t>
        </is>
      </c>
      <c r="EC352" s="81" t="inlineStr">
        <is>
          <t>Yes</t>
        </is>
      </c>
    </row>
    <row r="353">
      <c r="A353" s="81" t="inlineStr">
        <is>
          <t>Raptor Pen</t>
        </is>
      </c>
      <c r="B353" s="81" t="inlineStr">
        <is>
          <t>Trainer</t>
        </is>
      </c>
      <c r="C353" s="81" t="inlineStr">
        <is>
          <t>support</t>
        </is>
      </c>
      <c r="D353" s="81" t="n">
        <v>4</v>
      </c>
      <c r="E353" s="81">
        <f>E342</f>
        <v/>
      </c>
      <c r="F353" s="81">
        <f>F342</f>
        <v/>
      </c>
      <c r="G353" s="110" t="n">
        <v>1.3</v>
      </c>
      <c r="H353" s="110" t="n">
        <v>1</v>
      </c>
      <c r="I353" s="110" t="n">
        <v>1</v>
      </c>
      <c r="L353" s="110" t="n">
        <v>1</v>
      </c>
      <c r="M353" s="81" t="inlineStr">
        <is>
          <t>Whistle Drill</t>
        </is>
      </c>
      <c r="BY353" s="81" t="n">
        <v>20</v>
      </c>
      <c r="CI353" s="81" t="inlineStr">
        <is>
          <t>C</t>
        </is>
      </c>
      <c r="CJ353" s="81" t="inlineStr">
        <is>
          <t>Raptors run 30% faster</t>
        </is>
      </c>
      <c r="DP353" s="81" t="n">
        <v>1.3</v>
      </c>
    </row>
    <row r="354">
      <c r="A354" s="81" t="inlineStr">
        <is>
          <t>Raptor Pen</t>
        </is>
      </c>
      <c r="B354" s="81" t="inlineStr">
        <is>
          <t>Trainer</t>
        </is>
      </c>
      <c r="C354" s="81" t="inlineStr">
        <is>
          <t>support</t>
        </is>
      </c>
      <c r="D354" s="81" t="n">
        <v>5</v>
      </c>
      <c r="E354" s="81">
        <f>E343</f>
        <v/>
      </c>
      <c r="F354" s="81">
        <f>F343</f>
        <v/>
      </c>
      <c r="G354" s="110" t="n">
        <v>1.1</v>
      </c>
      <c r="H354" s="110" t="n">
        <v>1</v>
      </c>
      <c r="I354" s="110" t="n">
        <v>1</v>
      </c>
      <c r="L354" s="110" t="n">
        <v>1</v>
      </c>
      <c r="M354" s="81" t="inlineStr">
        <is>
          <t>Pack Bond</t>
        </is>
      </c>
      <c r="CI354" s="81" t="inlineStr">
        <is>
          <t>B</t>
        </is>
      </c>
      <c r="CJ354" s="81" t="inlineStr">
        <is>
          <t>Hunters nearby +20% with 3+ raptors out</t>
        </is>
      </c>
      <c r="DN354" s="81" t="n">
        <v>3</v>
      </c>
      <c r="EG354" s="81" t="n">
        <v>20</v>
      </c>
    </row>
    <row r="355">
      <c r="A355" s="81" t="inlineStr">
        <is>
          <t>Raptor Pen</t>
        </is>
      </c>
      <c r="B355" s="81" t="inlineStr">
        <is>
          <t>Trainer</t>
        </is>
      </c>
      <c r="C355" s="81" t="inlineStr">
        <is>
          <t>support</t>
        </is>
      </c>
      <c r="D355" s="81" t="n">
        <v>5</v>
      </c>
      <c r="E355" s="81">
        <f>E343</f>
        <v/>
      </c>
      <c r="F355" s="81">
        <f>F343</f>
        <v/>
      </c>
      <c r="G355" s="110" t="n">
        <v>1.5</v>
      </c>
      <c r="H355" s="110" t="n">
        <v>1</v>
      </c>
      <c r="I355" s="110" t="n">
        <v>1</v>
      </c>
      <c r="L355" s="110" t="n">
        <v>1</v>
      </c>
      <c r="M355" s="81" t="inlineStr">
        <is>
          <t>Raider Hounds</t>
        </is>
      </c>
      <c r="BJ355" s="81" t="n">
        <v>2</v>
      </c>
      <c r="CI355" s="81" t="inlineStr">
        <is>
          <t>C</t>
        </is>
      </c>
      <c r="CJ355" s="81" t="inlineStr">
        <is>
          <t>Raptors chase raiders (or the dino that hurt a tower)</t>
        </is>
      </c>
      <c r="CK355" s="81" t="inlineStr">
        <is>
          <t>yes</t>
        </is>
      </c>
      <c r="CL355" s="81" t="n">
        <v>20</v>
      </c>
      <c r="CM355" s="81" t="n">
        <v>1</v>
      </c>
      <c r="CN355" s="81" t="n">
        <v>10</v>
      </c>
      <c r="EF355" s="81" t="n">
        <v>2</v>
      </c>
    </row>
    <row r="356">
      <c r="A356" s="81" t="inlineStr">
        <is>
          <t>Bone Totem</t>
        </is>
      </c>
      <c r="B356" s="81" t="inlineStr">
        <is>
          <t>Roar</t>
        </is>
      </c>
      <c r="C356" s="81" t="inlineStr">
        <is>
          <t>damage</t>
        </is>
      </c>
      <c r="D356" s="81" t="n">
        <v>1</v>
      </c>
      <c r="E356" s="81">
        <f>ROUND('Towers'!$C$21*POWER('Tuning'!$B$12,D356),0)</f>
        <v/>
      </c>
      <c r="F356" s="81">
        <f>'Towers'!$C$21+E356</f>
        <v/>
      </c>
      <c r="G356" s="110" t="n">
        <v>1.6</v>
      </c>
      <c r="H356" s="110" t="n">
        <v>1</v>
      </c>
      <c r="I356" s="110" t="n">
        <v>1</v>
      </c>
      <c r="J356" s="81">
        <f>'Towers'!$G$21*G356*H356*I356</f>
        <v/>
      </c>
      <c r="K356" s="81">
        <f>IF(J356=0,0,F356/J356)</f>
        <v/>
      </c>
      <c r="L356" s="110" t="n">
        <v>1</v>
      </c>
      <c r="M356" s="81" t="inlineStr">
        <is>
          <t>Louder Roar</t>
        </is>
      </c>
      <c r="DN356" s="81" t="n"/>
    </row>
    <row r="357">
      <c r="A357" s="81" t="inlineStr">
        <is>
          <t>Bone Totem</t>
        </is>
      </c>
      <c r="B357" s="81" t="inlineStr">
        <is>
          <t>Roar</t>
        </is>
      </c>
      <c r="C357" s="81" t="inlineStr">
        <is>
          <t>damage</t>
        </is>
      </c>
      <c r="D357" s="81" t="n">
        <v>2</v>
      </c>
      <c r="E357" s="81">
        <f>ROUND('Towers'!$C$21*POWER('Tuning'!$B$12,D357),0)</f>
        <v/>
      </c>
      <c r="F357" s="81">
        <f>F356+E357</f>
        <v/>
      </c>
      <c r="G357" s="110" t="n">
        <v>2.2</v>
      </c>
      <c r="H357" s="110" t="n">
        <v>1</v>
      </c>
      <c r="I357" s="110" t="n">
        <v>1</v>
      </c>
      <c r="J357" s="81">
        <f>'Towers'!$G$21*G357*H357*I357</f>
        <v/>
      </c>
      <c r="K357" s="81">
        <f>IF(J357=0,0,F357/J357)</f>
        <v/>
      </c>
      <c r="L357" s="110" t="n">
        <v>1</v>
      </c>
      <c r="M357" s="81" t="inlineStr">
        <is>
          <t>Quick Charge</t>
        </is>
      </c>
      <c r="DN357" s="81" t="n"/>
      <c r="DP357" s="81" t="n"/>
      <c r="DR357" s="81" t="n"/>
      <c r="EL357" s="81" t="n">
        <v>0.8</v>
      </c>
    </row>
    <row r="358">
      <c r="A358" s="81" t="inlineStr">
        <is>
          <t>Bone Totem</t>
        </is>
      </c>
      <c r="B358" s="81" t="inlineStr">
        <is>
          <t>Roar</t>
        </is>
      </c>
      <c r="C358" s="81" t="inlineStr">
        <is>
          <t>damage</t>
        </is>
      </c>
      <c r="D358" s="81" t="n">
        <v>3</v>
      </c>
      <c r="E358" s="81">
        <f>ROUND('Towers'!$C$21*POWER('Tuning'!$B$12,D358),0)</f>
        <v/>
      </c>
      <c r="F358" s="81">
        <f>F357+E358</f>
        <v/>
      </c>
      <c r="G358" s="110" t="n">
        <v>4.2</v>
      </c>
      <c r="H358" s="110" t="n">
        <v>1</v>
      </c>
      <c r="I358" s="110" t="n">
        <v>1</v>
      </c>
      <c r="J358" s="81">
        <f>'Towers'!$G$21*G358*H358*I358</f>
        <v/>
      </c>
      <c r="K358" s="81">
        <f>IF(J358=0,0,F358/J358)</f>
        <v/>
      </c>
      <c r="L358" s="110" t="n">
        <v>1</v>
      </c>
      <c r="M358" s="81" t="inlineStr">
        <is>
          <t>Thunder Roar</t>
        </is>
      </c>
      <c r="N358" s="81" t="inlineStr">
        <is>
          <t>Yes</t>
        </is>
      </c>
      <c r="BJ358" s="81" t="n">
        <v>3</v>
      </c>
      <c r="DN358" s="81" t="n"/>
      <c r="DP358" s="81" t="n"/>
      <c r="DR358" s="81" t="n"/>
      <c r="EL358" s="81" t="n">
        <v>0.8</v>
      </c>
    </row>
    <row r="359">
      <c r="A359" s="81" t="inlineStr">
        <is>
          <t>Bone Totem</t>
        </is>
      </c>
      <c r="B359" s="81" t="inlineStr">
        <is>
          <t>Roar</t>
        </is>
      </c>
      <c r="C359" s="81" t="inlineStr">
        <is>
          <t>damage</t>
        </is>
      </c>
      <c r="D359" s="81" t="n">
        <v>4</v>
      </c>
      <c r="E359" s="81">
        <f>ROUND('Towers'!$C$21*POWER('Tuning'!$B$12,D359),0)</f>
        <v/>
      </c>
      <c r="F359" s="81">
        <f>F358+E359</f>
        <v/>
      </c>
      <c r="G359" s="110" t="n">
        <v>0.9</v>
      </c>
      <c r="H359" s="110" t="n">
        <v>1</v>
      </c>
      <c r="I359" s="110" t="n">
        <v>1</v>
      </c>
      <c r="J359" s="81">
        <f>J358*G359*H359*I359</f>
        <v/>
      </c>
      <c r="K359" s="81">
        <f>IF(J359=0,0,F359/J359)</f>
        <v/>
      </c>
      <c r="L359" s="110" t="n">
        <v>1</v>
      </c>
      <c r="M359" s="81" t="inlineStr">
        <is>
          <t>Echo Roar</t>
        </is>
      </c>
      <c r="N359" s="81" t="n"/>
      <c r="CI359" s="81" t="inlineStr">
        <is>
          <t>A</t>
        </is>
      </c>
      <c r="CJ359" s="81" t="inlineStr">
        <is>
          <t>The roar hits twice</t>
        </is>
      </c>
      <c r="EM359" s="81" t="n">
        <v>1</v>
      </c>
    </row>
    <row r="360">
      <c r="A360" s="81" t="inlineStr">
        <is>
          <t>Bone Totem</t>
        </is>
      </c>
      <c r="B360" s="81" t="inlineStr">
        <is>
          <t>Roar</t>
        </is>
      </c>
      <c r="C360" s="81" t="inlineStr">
        <is>
          <t>damage</t>
        </is>
      </c>
      <c r="D360" s="81" t="n">
        <v>5</v>
      </c>
      <c r="E360" s="81">
        <f>ROUND('Towers'!$C$21*POWER('Tuning'!$B$12,D360),0)</f>
        <v/>
      </c>
      <c r="F360" s="81">
        <f>F359+E360</f>
        <v/>
      </c>
      <c r="G360" s="110" t="n">
        <v>0.8</v>
      </c>
      <c r="H360" s="110" t="n">
        <v>1</v>
      </c>
      <c r="I360" s="110" t="n">
        <v>1</v>
      </c>
      <c r="J360" s="81">
        <f>J359*G360*H360*I360</f>
        <v/>
      </c>
      <c r="K360" s="81">
        <f>IF(J360=0,0,F360/J360)</f>
        <v/>
      </c>
      <c r="L360" s="110" t="n">
        <v>1</v>
      </c>
      <c r="M360" s="81" t="inlineStr">
        <is>
          <t>Ancient Roar</t>
        </is>
      </c>
      <c r="CI360" s="81" t="inlineStr">
        <is>
          <t>A</t>
        </is>
      </c>
      <c r="CJ360" s="81" t="inlineStr">
        <is>
          <t>The roar reaches your whole track</t>
        </is>
      </c>
      <c r="EA360" s="81" t="n"/>
      <c r="EN360" s="81" t="inlineStr">
        <is>
          <t>Yes</t>
        </is>
      </c>
    </row>
    <row r="361">
      <c r="A361" s="81" t="inlineStr">
        <is>
          <t>Bone Totem</t>
        </is>
      </c>
      <c r="B361" s="81" t="inlineStr">
        <is>
          <t>Ancestors</t>
        </is>
      </c>
      <c r="C361" s="81" t="inlineStr">
        <is>
          <t>buffs</t>
        </is>
      </c>
      <c r="D361" s="81" t="n">
        <v>1</v>
      </c>
      <c r="E361" s="81">
        <f>ROUND('Towers'!$C$21*POWER('Tuning'!$B$12,D361),0)</f>
        <v/>
      </c>
      <c r="F361" s="81">
        <f>'Towers'!$C$21+E361</f>
        <v/>
      </c>
      <c r="G361" s="110" t="n">
        <v>1</v>
      </c>
      <c r="H361" s="110" t="n">
        <v>1</v>
      </c>
      <c r="I361" s="110" t="n">
        <v>1</v>
      </c>
      <c r="J361" s="81">
        <f>'Towers'!$G$21*G361*H361*I361</f>
        <v/>
      </c>
      <c r="K361" s="81">
        <f>IF(J361=0,0,F361/J361)</f>
        <v/>
      </c>
      <c r="L361" s="110" t="n">
        <v>1</v>
      </c>
      <c r="M361" s="81" t="inlineStr">
        <is>
          <t>Old Bones</t>
        </is>
      </c>
      <c r="EU361" s="81" t="n">
        <v>20</v>
      </c>
    </row>
    <row r="362">
      <c r="A362" s="81" t="inlineStr">
        <is>
          <t>Bone Totem</t>
        </is>
      </c>
      <c r="B362" s="81" t="inlineStr">
        <is>
          <t>Ancestors</t>
        </is>
      </c>
      <c r="C362" s="81" t="inlineStr">
        <is>
          <t>buffs</t>
        </is>
      </c>
      <c r="D362" s="81" t="n">
        <v>2</v>
      </c>
      <c r="E362" s="81">
        <f>ROUND('Towers'!$C$21*POWER('Tuning'!$B$12,D362),0)</f>
        <v/>
      </c>
      <c r="F362" s="81">
        <f>F361+E362</f>
        <v/>
      </c>
      <c r="G362" s="110" t="n">
        <v>1</v>
      </c>
      <c r="H362" s="110" t="n">
        <v>1</v>
      </c>
      <c r="I362" s="110" t="n">
        <v>1</v>
      </c>
      <c r="J362" s="81">
        <f>'Towers'!$G$21*G362*H362*I362</f>
        <v/>
      </c>
      <c r="K362" s="81">
        <f>IF(J362=0,0,F362/J362)</f>
        <v/>
      </c>
      <c r="L362" s="110" t="n">
        <v>1</v>
      </c>
      <c r="M362" s="81" t="inlineStr">
        <is>
          <t>Shared Charge</t>
        </is>
      </c>
      <c r="DO362" s="81" t="n"/>
      <c r="DQ362" s="81" t="n"/>
      <c r="EI362" s="81" t="n">
        <v>2</v>
      </c>
      <c r="EU362" s="81" t="n">
        <v>20</v>
      </c>
    </row>
    <row r="363">
      <c r="A363" s="81" t="inlineStr">
        <is>
          <t>Bone Totem</t>
        </is>
      </c>
      <c r="B363" s="81" t="inlineStr">
        <is>
          <t>Ancestors</t>
        </is>
      </c>
      <c r="C363" s="81" t="inlineStr">
        <is>
          <t>buffs</t>
        </is>
      </c>
      <c r="D363" s="81" t="n">
        <v>3</v>
      </c>
      <c r="E363" s="81">
        <f>ROUND('Towers'!$C$21*POWER('Tuning'!$B$12,D363),0)</f>
        <v/>
      </c>
      <c r="F363" s="81">
        <f>F362+E363</f>
        <v/>
      </c>
      <c r="G363" s="110" t="n">
        <v>1</v>
      </c>
      <c r="H363" s="110" t="n">
        <v>1</v>
      </c>
      <c r="I363" s="110" t="n">
        <v>1</v>
      </c>
      <c r="J363" s="81">
        <f>'Towers'!$G$21*G363*H363*I363</f>
        <v/>
      </c>
      <c r="K363" s="81">
        <f>IF(J363=0,0,F363/J363)</f>
        <v/>
      </c>
      <c r="L363" s="110" t="n">
        <v>1</v>
      </c>
      <c r="M363" s="81" t="inlineStr">
        <is>
          <t>Spirit Guard</t>
        </is>
      </c>
      <c r="BJ363" s="81" t="n"/>
      <c r="DO363" s="81" t="n"/>
      <c r="DQ363" s="81" t="n"/>
      <c r="DS363" s="81" t="n"/>
      <c r="DZ363" s="81" t="n"/>
      <c r="EI363" s="81" t="n">
        <v>2</v>
      </c>
      <c r="EP363" s="81" t="n">
        <v>4</v>
      </c>
      <c r="EU363" s="81" t="n">
        <v>20</v>
      </c>
    </row>
    <row r="364">
      <c r="A364" s="81" t="inlineStr">
        <is>
          <t>Bone Totem</t>
        </is>
      </c>
      <c r="B364" s="81" t="inlineStr">
        <is>
          <t>Ancestors</t>
        </is>
      </c>
      <c r="C364" s="81" t="inlineStr">
        <is>
          <t>buffs</t>
        </is>
      </c>
      <c r="D364" s="81" t="n">
        <v>4</v>
      </c>
      <c r="E364" s="81">
        <f>ROUND('Towers'!$C$21*POWER('Tuning'!$B$12,D364),0)</f>
        <v/>
      </c>
      <c r="F364" s="81">
        <f>F363+E364</f>
        <v/>
      </c>
      <c r="G364" s="110" t="n">
        <v>1</v>
      </c>
      <c r="H364" s="110" t="n">
        <v>1</v>
      </c>
      <c r="I364" s="110" t="n">
        <v>1</v>
      </c>
      <c r="J364" s="81">
        <f>J363*G364*H364*I364</f>
        <v/>
      </c>
      <c r="K364" s="81">
        <f>IF(J364=0,0,F364/J364)</f>
        <v/>
      </c>
      <c r="L364" s="110" t="n">
        <v>1</v>
      </c>
      <c r="M364" s="81" t="inlineStr">
        <is>
          <t>War Paint</t>
        </is>
      </c>
      <c r="BJ364" s="81" t="n"/>
      <c r="CI364" s="81" t="inlineStr">
        <is>
          <t>A</t>
        </is>
      </c>
      <c r="CJ364" s="81" t="inlineStr">
        <is>
          <t>Hunters nearby +15% for 6 s when full</t>
        </is>
      </c>
      <c r="EG364" s="81" t="n">
        <v>15</v>
      </c>
    </row>
    <row r="365">
      <c r="A365" s="81" t="inlineStr">
        <is>
          <t>Bone Totem</t>
        </is>
      </c>
      <c r="B365" s="81" t="inlineStr">
        <is>
          <t>Ancestors</t>
        </is>
      </c>
      <c r="C365" s="81" t="inlineStr">
        <is>
          <t>buffs</t>
        </is>
      </c>
      <c r="D365" s="81" t="n">
        <v>5</v>
      </c>
      <c r="E365" s="81">
        <f>ROUND('Towers'!$C$21*POWER('Tuning'!$B$12,D365),0)</f>
        <v/>
      </c>
      <c r="F365" s="81">
        <f>F364+E365</f>
        <v/>
      </c>
      <c r="G365" s="110" t="n">
        <v>1</v>
      </c>
      <c r="H365" s="110" t="n">
        <v>1</v>
      </c>
      <c r="I365" s="110" t="n">
        <v>1</v>
      </c>
      <c r="J365" s="81">
        <f>J364*G365*H365*I365</f>
        <v/>
      </c>
      <c r="K365" s="81">
        <f>IF(J365=0,0,F365/J365)</f>
        <v/>
      </c>
      <c r="L365" s="110" t="n">
        <v>1</v>
      </c>
      <c r="M365" s="81" t="inlineStr">
        <is>
          <t>Spirit Hunters</t>
        </is>
      </c>
      <c r="BJ365" s="81" t="n"/>
      <c r="CI365" s="81" t="inlineStr">
        <is>
          <t>A</t>
        </is>
      </c>
      <c r="CJ365" s="81" t="inlineStr">
        <is>
          <t>3 ghost hunters fire for 6 s when full</t>
        </is>
      </c>
      <c r="DO365" s="81" t="n"/>
      <c r="DQ365" s="81" t="n"/>
      <c r="EQ365" s="81" t="inlineStr">
        <is>
          <t>Yes</t>
        </is>
      </c>
    </row>
    <row r="366">
      <c r="A366" s="81" t="inlineStr">
        <is>
          <t>Bone Totem</t>
        </is>
      </c>
      <c r="B366" s="81" t="inlineStr">
        <is>
          <t>Bone Pile</t>
        </is>
      </c>
      <c r="C366" s="81" t="inlineStr">
        <is>
          <t>cash</t>
        </is>
      </c>
      <c r="D366" s="81" t="n">
        <v>1</v>
      </c>
      <c r="E366" s="81">
        <f>ROUND('Towers'!$C$21*POWER('Tuning'!$B$12,D366),0)</f>
        <v/>
      </c>
      <c r="F366" s="81">
        <f>'Towers'!$C$21+E366</f>
        <v/>
      </c>
      <c r="G366" s="110" t="n">
        <v>1</v>
      </c>
      <c r="H366" s="110" t="n">
        <v>1</v>
      </c>
      <c r="I366" s="110" t="n">
        <v>1</v>
      </c>
      <c r="J366" s="81">
        <f>'Towers'!$G$21*G366*H366*I366</f>
        <v/>
      </c>
      <c r="K366" s="81">
        <f>IF(J366=0,0,F366/J366)</f>
        <v/>
      </c>
      <c r="L366" s="110" t="n">
        <v>1</v>
      </c>
      <c r="M366" s="81" t="inlineStr">
        <is>
          <t>Bone Collector</t>
        </is>
      </c>
      <c r="DV366" s="81" t="n"/>
      <c r="EX366" s="81" t="n">
        <v>8</v>
      </c>
    </row>
    <row r="367">
      <c r="A367" s="81" t="inlineStr">
        <is>
          <t>Bone Totem</t>
        </is>
      </c>
      <c r="B367" s="81" t="inlineStr">
        <is>
          <t>Bone Pile</t>
        </is>
      </c>
      <c r="C367" s="81" t="inlineStr">
        <is>
          <t>cash</t>
        </is>
      </c>
      <c r="D367" s="81" t="n">
        <v>2</v>
      </c>
      <c r="E367" s="81">
        <f>ROUND('Towers'!$C$21*POWER('Tuning'!$B$12,D367),0)</f>
        <v/>
      </c>
      <c r="F367" s="81">
        <f>F366+E367</f>
        <v/>
      </c>
      <c r="G367" s="110" t="n">
        <v>1</v>
      </c>
      <c r="H367" s="110" t="n">
        <v>1</v>
      </c>
      <c r="I367" s="110" t="n">
        <v>1</v>
      </c>
      <c r="J367" s="81">
        <f>'Towers'!$G$21*G367*H367*I367</f>
        <v/>
      </c>
      <c r="K367" s="81">
        <f>IF(J367=0,0,F367/J367)</f>
        <v/>
      </c>
      <c r="L367" s="110" t="n">
        <v>1</v>
      </c>
      <c r="M367" s="81" t="inlineStr">
        <is>
          <t>Trade Post</t>
        </is>
      </c>
      <c r="AE367" s="81" t="n"/>
      <c r="AF367" s="81" t="n"/>
      <c r="DV367" s="81" t="n"/>
      <c r="EX367" s="81" t="n">
        <v>26</v>
      </c>
    </row>
    <row r="368">
      <c r="A368" s="81" t="inlineStr">
        <is>
          <t>Bone Totem</t>
        </is>
      </c>
      <c r="B368" s="81" t="inlineStr">
        <is>
          <t>Bone Pile</t>
        </is>
      </c>
      <c r="C368" s="81" t="inlineStr">
        <is>
          <t>cash</t>
        </is>
      </c>
      <c r="D368" s="81" t="n">
        <v>3</v>
      </c>
      <c r="E368" s="81">
        <f>ROUND('Towers'!$C$21*POWER('Tuning'!$B$12,D368),0)</f>
        <v/>
      </c>
      <c r="F368" s="81">
        <f>F367+E368</f>
        <v/>
      </c>
      <c r="G368" s="110" t="n">
        <v>1</v>
      </c>
      <c r="H368" s="110" t="n">
        <v>1</v>
      </c>
      <c r="I368" s="110" t="n">
        <v>1</v>
      </c>
      <c r="J368" s="81">
        <f>'Towers'!$G$21*G368*H368*I368</f>
        <v/>
      </c>
      <c r="K368" s="81">
        <f>IF(J368=0,0,F368/J368)</f>
        <v/>
      </c>
      <c r="L368" s="110" t="n">
        <v>1</v>
      </c>
      <c r="M368" s="81" t="inlineStr">
        <is>
          <t>Bone Market</t>
        </is>
      </c>
      <c r="AE368" s="81" t="n"/>
      <c r="AF368" s="81" t="n"/>
      <c r="BY368" s="81" t="n"/>
      <c r="DN368" s="81" t="n"/>
      <c r="DV368" s="81" t="n"/>
      <c r="ER368" s="81" t="n">
        <v>120</v>
      </c>
      <c r="EX368" s="81" t="n">
        <v>26</v>
      </c>
    </row>
    <row r="369">
      <c r="A369" s="81" t="inlineStr">
        <is>
          <t>Bone Totem</t>
        </is>
      </c>
      <c r="B369" s="81" t="inlineStr">
        <is>
          <t>Bone Pile</t>
        </is>
      </c>
      <c r="C369" s="81" t="inlineStr">
        <is>
          <t>cash</t>
        </is>
      </c>
      <c r="D369" s="81" t="n">
        <v>4</v>
      </c>
      <c r="E369" s="81">
        <f>ROUND('Towers'!$C$21*POWER('Tuning'!$B$12,D369),0)</f>
        <v/>
      </c>
      <c r="F369" s="81">
        <f>F368+E369</f>
        <v/>
      </c>
      <c r="G369" s="110" t="n">
        <v>1</v>
      </c>
      <c r="H369" s="110" t="n">
        <v>1</v>
      </c>
      <c r="I369" s="110" t="n">
        <v>1</v>
      </c>
      <c r="J369" s="81">
        <f>J368*G369*H369*I369</f>
        <v/>
      </c>
      <c r="K369" s="81">
        <f>IF(J369=0,0,F369/J369)</f>
        <v/>
      </c>
      <c r="L369" s="110" t="n">
        <v>1</v>
      </c>
      <c r="M369" s="81" t="inlineStr">
        <is>
          <t>Rare Bones</t>
        </is>
      </c>
      <c r="CI369" s="81" t="inlineStr">
        <is>
          <t>A</t>
        </is>
      </c>
      <c r="CJ369" s="81" t="inlineStr">
        <is>
          <t>Bosses fill half the charge</t>
        </is>
      </c>
      <c r="DR369" s="81" t="n"/>
      <c r="DX369" s="81" t="n"/>
      <c r="EJ369" s="81" t="n">
        <v>50</v>
      </c>
    </row>
    <row r="370">
      <c r="A370" s="81" t="inlineStr">
        <is>
          <t>Bone Totem</t>
        </is>
      </c>
      <c r="B370" s="81" t="inlineStr">
        <is>
          <t>Bone Pile</t>
        </is>
      </c>
      <c r="C370" s="81" t="inlineStr">
        <is>
          <t>cash</t>
        </is>
      </c>
      <c r="D370" s="81" t="n">
        <v>5</v>
      </c>
      <c r="E370" s="81">
        <f>ROUND('Towers'!$C$21*POWER('Tuning'!$B$12,D370),0)</f>
        <v/>
      </c>
      <c r="F370" s="81">
        <f>F369+E370</f>
        <v/>
      </c>
      <c r="G370" s="110" t="n">
        <v>1</v>
      </c>
      <c r="H370" s="110" t="n">
        <v>1</v>
      </c>
      <c r="I370" s="110" t="n">
        <v>1</v>
      </c>
      <c r="J370" s="81">
        <f>J369*G370*H370*I370</f>
        <v/>
      </c>
      <c r="K370" s="81">
        <f>IF(J370=0,0,F370/J370)</f>
        <v/>
      </c>
      <c r="L370" s="110" t="n">
        <v>1</v>
      </c>
      <c r="M370" s="81" t="inlineStr">
        <is>
          <t>Camp Payday</t>
        </is>
      </c>
      <c r="CI370" s="81" t="inlineStr">
        <is>
          <t>A</t>
        </is>
      </c>
      <c r="CJ370" s="81" t="inlineStr">
        <is>
          <t>Every hunter in your camp gets paid</t>
        </is>
      </c>
      <c r="EB370" s="81" t="n"/>
      <c r="ES370" s="81" t="n">
        <v>30</v>
      </c>
    </row>
    <row r="371">
      <c r="A371" s="81" t="inlineStr">
        <is>
          <t>Bone Totem</t>
        </is>
      </c>
      <c r="B371" s="81" t="inlineStr">
        <is>
          <t>Roar</t>
        </is>
      </c>
      <c r="C371" s="81" t="inlineStr">
        <is>
          <t>damage</t>
        </is>
      </c>
      <c r="D371" s="81" t="n">
        <v>4</v>
      </c>
      <c r="E371" s="81">
        <f>E359</f>
        <v/>
      </c>
      <c r="F371" s="81">
        <f>F359</f>
        <v/>
      </c>
      <c r="G371" s="110" t="n">
        <v>1.85</v>
      </c>
      <c r="H371" s="110" t="n">
        <v>1</v>
      </c>
      <c r="I371" s="110" t="n">
        <v>1</v>
      </c>
      <c r="L371" s="110" t="n">
        <v>1</v>
      </c>
      <c r="M371" s="81" t="inlineStr">
        <is>
          <t>Fear</t>
        </is>
      </c>
      <c r="W371" s="81" t="n">
        <v>8</v>
      </c>
      <c r="CI371" s="81" t="inlineStr">
        <is>
          <t>B</t>
        </is>
      </c>
      <c r="CJ371" s="81" t="inlineStr">
        <is>
          <t>The roar scares small dinos 8 studs back</t>
        </is>
      </c>
      <c r="DU371" s="81" t="n"/>
    </row>
    <row r="372">
      <c r="A372" s="81" t="inlineStr">
        <is>
          <t>Bone Totem</t>
        </is>
      </c>
      <c r="B372" s="81" t="inlineStr">
        <is>
          <t>Roar</t>
        </is>
      </c>
      <c r="C372" s="81" t="inlineStr">
        <is>
          <t>damage</t>
        </is>
      </c>
      <c r="D372" s="81" t="n">
        <v>4</v>
      </c>
      <c r="E372" s="81">
        <f>E359</f>
        <v/>
      </c>
      <c r="F372" s="81">
        <f>F359</f>
        <v/>
      </c>
      <c r="G372" s="110" t="n">
        <v>1.8</v>
      </c>
      <c r="H372" s="110" t="n">
        <v>1</v>
      </c>
      <c r="I372" s="110" t="n">
        <v>1</v>
      </c>
      <c r="L372" s="110" t="n">
        <v>1</v>
      </c>
      <c r="M372" s="81" t="inlineStr">
        <is>
          <t>Shatter Roar</t>
        </is>
      </c>
      <c r="AM372" s="81" t="inlineStr">
        <is>
          <t>Yes</t>
        </is>
      </c>
      <c r="BU372" s="81" t="n"/>
      <c r="CI372" s="81" t="inlineStr">
        <is>
          <t>C</t>
        </is>
      </c>
      <c r="CJ372" s="81" t="inlineStr">
        <is>
          <t>The roar strips armour for 4 s</t>
        </is>
      </c>
    </row>
    <row r="373">
      <c r="A373" s="81" t="inlineStr">
        <is>
          <t>Bone Totem</t>
        </is>
      </c>
      <c r="B373" s="81" t="inlineStr">
        <is>
          <t>Roar</t>
        </is>
      </c>
      <c r="C373" s="81" t="inlineStr">
        <is>
          <t>damage</t>
        </is>
      </c>
      <c r="D373" s="81" t="n">
        <v>5</v>
      </c>
      <c r="E373" s="81">
        <f>E360</f>
        <v/>
      </c>
      <c r="F373" s="81">
        <f>F360</f>
        <v/>
      </c>
      <c r="G373" s="110" t="n">
        <v>1.76</v>
      </c>
      <c r="H373" s="110" t="n">
        <v>1</v>
      </c>
      <c r="I373" s="110" t="n">
        <v>1</v>
      </c>
      <c r="L373" s="110" t="n">
        <v>1</v>
      </c>
      <c r="M373" s="81" t="inlineStr">
        <is>
          <t>Skull Storm</t>
        </is>
      </c>
      <c r="CI373" s="81" t="inlineStr">
        <is>
          <t>B</t>
        </is>
      </c>
      <c r="CJ373" s="81" t="inlineStr">
        <is>
          <t>8 flying skulls hunt dinos</t>
        </is>
      </c>
      <c r="DY373" s="81" t="n"/>
      <c r="EO373" s="81" t="n">
        <v>8</v>
      </c>
    </row>
    <row r="374">
      <c r="A374" s="81" t="inlineStr">
        <is>
          <t>Bone Totem</t>
        </is>
      </c>
      <c r="B374" s="81" t="inlineStr">
        <is>
          <t>Roar</t>
        </is>
      </c>
      <c r="C374" s="81" t="inlineStr">
        <is>
          <t>damage</t>
        </is>
      </c>
      <c r="D374" s="81" t="n">
        <v>5</v>
      </c>
      <c r="E374" s="81">
        <f>E360</f>
        <v/>
      </c>
      <c r="F374" s="81">
        <f>F360</f>
        <v/>
      </c>
      <c r="G374" s="110" t="n">
        <v>1.8</v>
      </c>
      <c r="H374" s="110" t="n">
        <v>1</v>
      </c>
      <c r="I374" s="110" t="n">
        <v>1</v>
      </c>
      <c r="L374" s="110" t="n">
        <v>1</v>
      </c>
      <c r="M374" s="81" t="inlineStr">
        <is>
          <t>Finishing Roar</t>
        </is>
      </c>
      <c r="CI374" s="81" t="inlineStr">
        <is>
          <t>C</t>
        </is>
      </c>
      <c r="CJ374" s="81" t="inlineStr">
        <is>
          <t>A free roar at a weak boss</t>
        </is>
      </c>
      <c r="DW374" s="81" t="n"/>
      <c r="EZ374" s="81" t="inlineStr">
        <is>
          <t>Yes</t>
        </is>
      </c>
    </row>
    <row r="375">
      <c r="A375" s="81" t="inlineStr">
        <is>
          <t>Bone Totem</t>
        </is>
      </c>
      <c r="B375" s="81" t="inlineStr">
        <is>
          <t>Ancestors</t>
        </is>
      </c>
      <c r="C375" s="81" t="inlineStr">
        <is>
          <t>buffs</t>
        </is>
      </c>
      <c r="D375" s="81" t="n">
        <v>4</v>
      </c>
      <c r="E375" s="81">
        <f>E364</f>
        <v/>
      </c>
      <c r="F375" s="81">
        <f>F364</f>
        <v/>
      </c>
      <c r="G375" s="110" t="n">
        <v>1</v>
      </c>
      <c r="H375" s="110" t="n">
        <v>1</v>
      </c>
      <c r="I375" s="110" t="n">
        <v>1</v>
      </c>
      <c r="L375" s="110" t="n">
        <v>1</v>
      </c>
      <c r="M375" s="81" t="inlineStr">
        <is>
          <t>Bone Armour</t>
        </is>
      </c>
      <c r="P375" s="81" t="n"/>
      <c r="BH375" s="81" t="n">
        <v>20</v>
      </c>
      <c r="CI375" s="81" t="inlineStr">
        <is>
          <t>B</t>
        </is>
      </c>
      <c r="CJ375" s="81" t="inlineStr">
        <is>
          <t>Nearby towers get 20% more HP</t>
        </is>
      </c>
      <c r="DT375" s="81" t="n"/>
    </row>
    <row r="376">
      <c r="A376" s="81" t="inlineStr">
        <is>
          <t>Bone Totem</t>
        </is>
      </c>
      <c r="B376" s="81" t="inlineStr">
        <is>
          <t>Ancestors</t>
        </is>
      </c>
      <c r="C376" s="81" t="inlineStr">
        <is>
          <t>buffs</t>
        </is>
      </c>
      <c r="D376" s="81" t="n">
        <v>4</v>
      </c>
      <c r="E376" s="81">
        <f>E364</f>
        <v/>
      </c>
      <c r="F376" s="81">
        <f>F364</f>
        <v/>
      </c>
      <c r="G376" s="110" t="n">
        <v>1</v>
      </c>
      <c r="H376" s="110" t="n">
        <v>1</v>
      </c>
      <c r="I376" s="110" t="n">
        <v>1</v>
      </c>
      <c r="L376" s="110" t="n">
        <v>1</v>
      </c>
      <c r="M376" s="81" t="inlineStr">
        <is>
          <t>Ancestor's Eye</t>
        </is>
      </c>
      <c r="T376" s="81" t="n"/>
      <c r="CI376" s="81" t="inlineStr">
        <is>
          <t>C</t>
        </is>
      </c>
      <c r="CJ376" s="81" t="inlineStr">
        <is>
          <t>Nearby towers see 10% further</t>
        </is>
      </c>
      <c r="FA376" s="81" t="n">
        <v>10</v>
      </c>
    </row>
    <row r="377">
      <c r="A377" s="81" t="inlineStr">
        <is>
          <t>Bone Totem</t>
        </is>
      </c>
      <c r="B377" s="81" t="inlineStr">
        <is>
          <t>Ancestors</t>
        </is>
      </c>
      <c r="C377" s="81" t="inlineStr">
        <is>
          <t>buffs</t>
        </is>
      </c>
      <c r="D377" s="81" t="n">
        <v>5</v>
      </c>
      <c r="E377" s="81">
        <f>E365</f>
        <v/>
      </c>
      <c r="F377" s="81">
        <f>F365</f>
        <v/>
      </c>
      <c r="G377" s="110" t="n">
        <v>1</v>
      </c>
      <c r="H377" s="110" t="n">
        <v>1</v>
      </c>
      <c r="I377" s="110" t="n">
        <v>1</v>
      </c>
      <c r="L377" s="110" t="n">
        <v>1</v>
      </c>
      <c r="M377" s="81" t="inlineStr">
        <is>
          <t>Totem Pole</t>
        </is>
      </c>
      <c r="U377" s="81" t="n"/>
      <c r="CI377" s="81" t="inlineStr">
        <is>
          <t>B</t>
        </is>
      </c>
      <c r="CJ377" s="81" t="inlineStr">
        <is>
          <t>Buffs reach every tower, half strength</t>
        </is>
      </c>
      <c r="DO377" s="81" t="n"/>
      <c r="ED377" s="81" t="n"/>
      <c r="EU377" s="81" t="n">
        <v>30</v>
      </c>
      <c r="EW377" s="81" t="inlineStr">
        <is>
          <t>Yes</t>
        </is>
      </c>
    </row>
    <row r="378">
      <c r="A378" s="81" t="inlineStr">
        <is>
          <t>Bone Totem</t>
        </is>
      </c>
      <c r="B378" s="81" t="inlineStr">
        <is>
          <t>Ancestors</t>
        </is>
      </c>
      <c r="C378" s="81" t="inlineStr">
        <is>
          <t>buffs</t>
        </is>
      </c>
      <c r="D378" s="81" t="n">
        <v>5</v>
      </c>
      <c r="E378" s="81">
        <f>E365</f>
        <v/>
      </c>
      <c r="F378" s="81">
        <f>F365</f>
        <v/>
      </c>
      <c r="G378" s="110" t="n">
        <v>1</v>
      </c>
      <c r="H378" s="110" t="n">
        <v>1</v>
      </c>
      <c r="I378" s="110" t="n">
        <v>1</v>
      </c>
      <c r="L378" s="110" t="n">
        <v>1</v>
      </c>
      <c r="M378" s="81" t="inlineStr">
        <is>
          <t>Elder Wisdom</t>
        </is>
      </c>
      <c r="CI378" s="81" t="inlineStr">
        <is>
          <t>C</t>
        </is>
      </c>
      <c r="CJ378" s="81" t="inlineStr">
        <is>
          <t>Hero abilities nearby recharge 25% faster</t>
        </is>
      </c>
      <c r="EE378" s="81" t="n"/>
      <c r="EV378" s="81" t="n">
        <v>0.75</v>
      </c>
    </row>
    <row r="379">
      <c r="A379" s="81" t="inlineStr">
        <is>
          <t>Bone Totem</t>
        </is>
      </c>
      <c r="B379" s="81" t="inlineStr">
        <is>
          <t>Bone Pile</t>
        </is>
      </c>
      <c r="C379" s="81" t="inlineStr">
        <is>
          <t>cash</t>
        </is>
      </c>
      <c r="D379" s="81" t="n">
        <v>4</v>
      </c>
      <c r="E379" s="81">
        <f>E369</f>
        <v/>
      </c>
      <c r="F379" s="81">
        <f>F369</f>
        <v/>
      </c>
      <c r="G379" s="110" t="n">
        <v>1</v>
      </c>
      <c r="H379" s="110" t="n">
        <v>1</v>
      </c>
      <c r="I379" s="110" t="n">
        <v>1</v>
      </c>
      <c r="L379" s="110" t="n">
        <v>1</v>
      </c>
      <c r="M379" s="81" t="inlineStr">
        <is>
          <t>Bone Bank</t>
        </is>
      </c>
      <c r="CI379" s="81" t="inlineStr">
        <is>
          <t>B</t>
        </is>
      </c>
      <c r="CJ379" s="81" t="inlineStr">
        <is>
          <t>Leftover charge pays at round end</t>
        </is>
      </c>
      <c r="EC379" s="81" t="n"/>
      <c r="EY379" s="81" t="n">
        <v>25</v>
      </c>
    </row>
    <row r="380">
      <c r="A380" s="81" t="inlineStr">
        <is>
          <t>Bone Totem</t>
        </is>
      </c>
      <c r="B380" s="81" t="inlineStr">
        <is>
          <t>Bone Pile</t>
        </is>
      </c>
      <c r="C380" s="81" t="inlineStr">
        <is>
          <t>cash</t>
        </is>
      </c>
      <c r="D380" s="81" t="n">
        <v>4</v>
      </c>
      <c r="E380" s="81">
        <f>E369</f>
        <v/>
      </c>
      <c r="F380" s="81">
        <f>F369</f>
        <v/>
      </c>
      <c r="G380" s="110" t="n">
        <v>1</v>
      </c>
      <c r="H380" s="110" t="n">
        <v>1</v>
      </c>
      <c r="I380" s="110" t="n">
        <v>1</v>
      </c>
      <c r="L380" s="110" t="n">
        <v>1</v>
      </c>
      <c r="M380" s="81" t="inlineStr">
        <is>
          <t>Bone Bonus</t>
        </is>
      </c>
      <c r="BY380" s="81" t="n"/>
      <c r="CI380" s="81" t="inlineStr">
        <is>
          <t>C</t>
        </is>
      </c>
      <c r="CJ380" s="81" t="inlineStr">
        <is>
          <t>Each full charge pays 40% more</t>
        </is>
      </c>
      <c r="DP380" s="81" t="n"/>
      <c r="ER380" s="81" t="n">
        <v>168</v>
      </c>
    </row>
    <row r="381">
      <c r="A381" s="81" t="inlineStr">
        <is>
          <t>Bone Totem</t>
        </is>
      </c>
      <c r="B381" s="81" t="inlineStr">
        <is>
          <t>Bone Pile</t>
        </is>
      </c>
      <c r="C381" s="81" t="inlineStr">
        <is>
          <t>cash</t>
        </is>
      </c>
      <c r="D381" s="81" t="n">
        <v>5</v>
      </c>
      <c r="E381" s="81">
        <f>E370</f>
        <v/>
      </c>
      <c r="F381" s="81">
        <f>F370</f>
        <v/>
      </c>
      <c r="G381" s="110" t="n">
        <v>1</v>
      </c>
      <c r="H381" s="110" t="n">
        <v>1</v>
      </c>
      <c r="I381" s="110" t="n">
        <v>1</v>
      </c>
      <c r="L381" s="110" t="n">
        <v>1</v>
      </c>
      <c r="M381" s="81" t="inlineStr">
        <is>
          <t>Bounty Wall</t>
        </is>
      </c>
      <c r="CI381" s="81" t="inlineStr">
        <is>
          <t>B</t>
        </is>
      </c>
      <c r="CJ381" s="81" t="inlineStr">
        <is>
          <t>Bones nearby charge 25% faster and count +25% for bounties</t>
        </is>
      </c>
      <c r="DN381" s="81" t="n"/>
      <c r="EG381" s="81" t="n"/>
      <c r="EH381" s="81" t="n">
        <v>1.25</v>
      </c>
      <c r="EK381" s="81" t="n">
        <v>1.25</v>
      </c>
    </row>
    <row r="382">
      <c r="A382" s="81" t="inlineStr">
        <is>
          <t>Bone Totem</t>
        </is>
      </c>
      <c r="B382" s="81" t="inlineStr">
        <is>
          <t>Bone Pile</t>
        </is>
      </c>
      <c r="C382" s="81" t="inlineStr">
        <is>
          <t>cash</t>
        </is>
      </c>
      <c r="D382" s="81" t="n">
        <v>5</v>
      </c>
      <c r="E382" s="81">
        <f>E370</f>
        <v/>
      </c>
      <c r="F382" s="81">
        <f>F370</f>
        <v/>
      </c>
      <c r="G382" s="110" t="n">
        <v>1</v>
      </c>
      <c r="H382" s="110" t="n">
        <v>1</v>
      </c>
      <c r="I382" s="110" t="n">
        <v>1</v>
      </c>
      <c r="L382" s="110" t="n">
        <v>1</v>
      </c>
      <c r="M382" s="81" t="inlineStr">
        <is>
          <t>Ancient Treasure</t>
        </is>
      </c>
      <c r="BJ382" s="81" t="n"/>
      <c r="CI382" s="81" t="inlineStr">
        <is>
          <t>C</t>
        </is>
      </c>
      <c r="CJ382" s="81" t="inlineStr">
        <is>
          <t>One big treasure chest a match</t>
        </is>
      </c>
      <c r="CK382" s="81" t="n"/>
      <c r="CL382" s="81" t="n"/>
      <c r="CM382" s="81" t="n"/>
      <c r="CN382" s="81" t="n"/>
      <c r="EF382" s="81" t="n"/>
      <c r="ET382" s="81" t="inlineStr">
        <is>
          <t>Yes</t>
        </is>
      </c>
    </row>
    <row r="383">
      <c r="A383" s="81" t="inlineStr">
        <is>
          <t>Spotter Blimp</t>
        </is>
      </c>
      <c r="B383" s="81" t="inlineStr">
        <is>
          <t>Door Gun</t>
        </is>
      </c>
      <c r="C383" s="81" t="inlineStr">
        <is>
          <t>damage</t>
        </is>
      </c>
      <c r="D383" s="81" t="n">
        <v>1</v>
      </c>
      <c r="E383" s="81">
        <f>ROUND('Towers'!$C$22*POWER('Tuning'!$B$12,D383),0)</f>
        <v/>
      </c>
      <c r="F383" s="81">
        <f>'Towers'!$C$22+E383</f>
        <v/>
      </c>
      <c r="G383" s="81" t="n">
        <v>1.5</v>
      </c>
      <c r="H383" s="81" t="n">
        <v>1.2</v>
      </c>
      <c r="I383" s="81" t="n">
        <v>1</v>
      </c>
      <c r="J383" s="81">
        <f>'Towers'!$G$22*G383*H383*I383</f>
        <v/>
      </c>
      <c r="K383" s="81">
        <f>IF(J383=0,0,F383/J383)</f>
        <v/>
      </c>
      <c r="L383" s="81" t="n">
        <v>1</v>
      </c>
      <c r="M383" s="81" t="inlineStr">
        <is>
          <t>Belt Gun</t>
        </is>
      </c>
    </row>
    <row r="384">
      <c r="A384" s="81" t="inlineStr">
        <is>
          <t>Spotter Blimp</t>
        </is>
      </c>
      <c r="B384" s="81" t="inlineStr">
        <is>
          <t>Door Gun</t>
        </is>
      </c>
      <c r="C384" s="81" t="inlineStr">
        <is>
          <t>damage</t>
        </is>
      </c>
      <c r="D384" s="81" t="n">
        <v>2</v>
      </c>
      <c r="E384" s="81">
        <f>ROUND('Towers'!$C$22*POWER('Tuning'!$B$12,D384),0)</f>
        <v/>
      </c>
      <c r="F384" s="81">
        <f>F383+E384</f>
        <v/>
      </c>
      <c r="G384" s="81" t="n">
        <v>1.5</v>
      </c>
      <c r="H384" s="81" t="n">
        <v>1.2</v>
      </c>
      <c r="I384" s="81" t="n">
        <v>1</v>
      </c>
      <c r="J384" s="81">
        <f>'Towers'!$G$22*G384*H384*I384</f>
        <v/>
      </c>
      <c r="K384" s="81">
        <f>IF(J384=0,0,F384/J384)</f>
        <v/>
      </c>
      <c r="L384" s="81" t="n">
        <v>1</v>
      </c>
      <c r="M384" s="81" t="inlineStr">
        <is>
          <t>Twin Mount</t>
        </is>
      </c>
      <c r="Q384" s="81" t="n">
        <v>2</v>
      </c>
    </row>
    <row r="385">
      <c r="A385" s="81" t="inlineStr">
        <is>
          <t>Spotter Blimp</t>
        </is>
      </c>
      <c r="B385" s="81" t="inlineStr">
        <is>
          <t>Door Gun</t>
        </is>
      </c>
      <c r="C385" s="81" t="inlineStr">
        <is>
          <t>damage</t>
        </is>
      </c>
      <c r="D385" s="81" t="n">
        <v>3</v>
      </c>
      <c r="E385" s="81">
        <f>ROUND('Towers'!$C$22*POWER('Tuning'!$B$12,D385),0)</f>
        <v/>
      </c>
      <c r="F385" s="81">
        <f>F384+E385</f>
        <v/>
      </c>
      <c r="G385" s="81" t="n">
        <v>2.6</v>
      </c>
      <c r="H385" s="81" t="n">
        <v>1.2</v>
      </c>
      <c r="I385" s="81" t="n">
        <v>1</v>
      </c>
      <c r="J385" s="81">
        <f>'Towers'!$G$22*G385*H385*I385</f>
        <v/>
      </c>
      <c r="K385" s="81">
        <f>IF(J385=0,0,F385/J385)</f>
        <v/>
      </c>
      <c r="L385" s="81" t="n">
        <v>1</v>
      </c>
      <c r="M385" s="81" t="inlineStr">
        <is>
          <t>Treetop Pass</t>
        </is>
      </c>
      <c r="Q385" s="81" t="n">
        <v>2</v>
      </c>
      <c r="R385" s="81" t="n">
        <v>3</v>
      </c>
    </row>
    <row r="386">
      <c r="A386" s="81" t="inlineStr">
        <is>
          <t>Spotter Blimp</t>
        </is>
      </c>
      <c r="B386" s="81" t="inlineStr">
        <is>
          <t>Door Gun</t>
        </is>
      </c>
      <c r="C386" s="81" t="inlineStr">
        <is>
          <t>damage</t>
        </is>
      </c>
      <c r="D386" s="81" t="n">
        <v>4</v>
      </c>
      <c r="E386" s="81">
        <f>ROUND('Towers'!$C$22*POWER('Tuning'!$B$12,D386),0)</f>
        <v/>
      </c>
      <c r="F386" s="81">
        <f>F385+E386</f>
        <v/>
      </c>
      <c r="G386" s="81" t="n">
        <v>1.7</v>
      </c>
      <c r="H386" s="81" t="n">
        <v>1</v>
      </c>
      <c r="I386" s="81" t="n">
        <v>1</v>
      </c>
      <c r="J386" s="81">
        <f>J385*G386*H386*I386</f>
        <v/>
      </c>
      <c r="K386" s="81">
        <f>IF(J386=0,0,F386/J386)</f>
        <v/>
      </c>
      <c r="L386" s="81" t="n">
        <v>1</v>
      </c>
      <c r="M386" s="81" t="inlineStr">
        <is>
          <t>Heavy Mount</t>
        </is>
      </c>
      <c r="N386" s="81" t="inlineStr">
        <is>
          <t>Yes</t>
        </is>
      </c>
      <c r="BJ386" s="81" t="n">
        <v>2</v>
      </c>
      <c r="CI386" s="81" t="inlineStr">
        <is>
          <t>A</t>
        </is>
      </c>
      <c r="CJ386" s="81" t="inlineStr">
        <is>
          <t>Shoots through armour, breaks 2</t>
        </is>
      </c>
    </row>
    <row r="387">
      <c r="A387" s="81" t="inlineStr">
        <is>
          <t>Spotter Blimp</t>
        </is>
      </c>
      <c r="B387" s="81" t="inlineStr">
        <is>
          <t>Door Gun</t>
        </is>
      </c>
      <c r="C387" s="81" t="inlineStr">
        <is>
          <t>damage</t>
        </is>
      </c>
      <c r="D387" s="81" t="n">
        <v>5</v>
      </c>
      <c r="E387" s="81">
        <f>ROUND('Towers'!$C$22*POWER('Tuning'!$B$12,D387),0)</f>
        <v/>
      </c>
      <c r="F387" s="81">
        <f>F386+E387</f>
        <v/>
      </c>
      <c r="G387" s="81" t="n">
        <v>0.78</v>
      </c>
      <c r="H387" s="81" t="n">
        <v>1</v>
      </c>
      <c r="I387" s="81" t="n">
        <v>1</v>
      </c>
      <c r="J387" s="81">
        <f>J386*G387*H387*I387</f>
        <v/>
      </c>
      <c r="K387" s="81">
        <f>IF(J387=0,0,F387/J387)</f>
        <v/>
      </c>
      <c r="L387" s="81" t="n">
        <v>1</v>
      </c>
      <c r="M387" s="81" t="inlineStr">
        <is>
          <t>Gunship</t>
        </is>
      </c>
      <c r="Q387" s="81" t="n">
        <v>4</v>
      </c>
      <c r="Z387" s="81" t="n">
        <v>2</v>
      </c>
      <c r="AA387" s="81" t="n">
        <v>1</v>
      </c>
      <c r="CI387" s="81" t="inlineStr">
        <is>
          <t>A</t>
        </is>
      </c>
      <c r="CJ387" s="81" t="inlineStr">
        <is>
          <t>Faster, four guns and rockets</t>
        </is>
      </c>
      <c r="FB387" s="81" t="n">
        <v>1.5</v>
      </c>
    </row>
    <row r="388">
      <c r="A388" s="81" t="inlineStr">
        <is>
          <t>Spotter Blimp</t>
        </is>
      </c>
      <c r="B388" s="81" t="inlineStr">
        <is>
          <t>Searchlight</t>
        </is>
      </c>
      <c r="C388" s="81" t="inlineStr">
        <is>
          <t>support</t>
        </is>
      </c>
      <c r="D388" s="81" t="n">
        <v>1</v>
      </c>
      <c r="E388" s="81">
        <f>ROUND('Towers'!$C$22*POWER('Tuning'!$B$12,D388),0)</f>
        <v/>
      </c>
      <c r="F388" s="81">
        <f>'Towers'!$C$22+E388</f>
        <v/>
      </c>
      <c r="G388" s="81" t="n">
        <v>1</v>
      </c>
      <c r="H388" s="81" t="n">
        <v>1</v>
      </c>
      <c r="I388" s="81" t="n">
        <v>1</v>
      </c>
      <c r="J388" s="81">
        <f>'Towers'!$G$22*G388*H388*I388</f>
        <v/>
      </c>
      <c r="K388" s="81">
        <f>IF(J388=0,0,F388/J388)</f>
        <v/>
      </c>
      <c r="L388" s="81" t="n">
        <v>1</v>
      </c>
      <c r="M388" s="81" t="inlineStr">
        <is>
          <t>Spotlight</t>
        </is>
      </c>
      <c r="AL388" s="81" t="n">
        <v>10</v>
      </c>
    </row>
    <row r="389">
      <c r="A389" s="81" t="inlineStr">
        <is>
          <t>Spotter Blimp</t>
        </is>
      </c>
      <c r="B389" s="81" t="inlineStr">
        <is>
          <t>Searchlight</t>
        </is>
      </c>
      <c r="C389" s="81" t="inlineStr">
        <is>
          <t>support</t>
        </is>
      </c>
      <c r="D389" s="81" t="n">
        <v>2</v>
      </c>
      <c r="E389" s="81">
        <f>ROUND('Towers'!$C$22*POWER('Tuning'!$B$12,D389),0)</f>
        <v/>
      </c>
      <c r="F389" s="81">
        <f>F388+E389</f>
        <v/>
      </c>
      <c r="G389" s="81" t="n">
        <v>1</v>
      </c>
      <c r="H389" s="81" t="n">
        <v>1</v>
      </c>
      <c r="I389" s="81" t="n">
        <v>1</v>
      </c>
      <c r="J389" s="81">
        <f>'Towers'!$G$22*G389*H389*I389</f>
        <v/>
      </c>
      <c r="K389" s="81">
        <f>IF(J389=0,0,F389/J389)</f>
        <v/>
      </c>
      <c r="L389" s="81" t="n">
        <v>1.3</v>
      </c>
      <c r="M389" s="81" t="inlineStr">
        <is>
          <t>Wide Beam</t>
        </is>
      </c>
      <c r="AL389" s="81" t="n">
        <v>10</v>
      </c>
    </row>
    <row r="390">
      <c r="A390" s="81" t="inlineStr">
        <is>
          <t>Spotter Blimp</t>
        </is>
      </c>
      <c r="B390" s="81" t="inlineStr">
        <is>
          <t>Searchlight</t>
        </is>
      </c>
      <c r="C390" s="81" t="inlineStr">
        <is>
          <t>support</t>
        </is>
      </c>
      <c r="D390" s="81" t="n">
        <v>3</v>
      </c>
      <c r="E390" s="81">
        <f>ROUND('Towers'!$C$22*POWER('Tuning'!$B$12,D390),0)</f>
        <v/>
      </c>
      <c r="F390" s="81">
        <f>F389+E390</f>
        <v/>
      </c>
      <c r="G390" s="81" t="n">
        <v>1</v>
      </c>
      <c r="H390" s="81" t="n">
        <v>1</v>
      </c>
      <c r="I390" s="81" t="n">
        <v>1</v>
      </c>
      <c r="J390" s="81">
        <f>'Towers'!$G$22*G390*H390*I390</f>
        <v/>
      </c>
      <c r="K390" s="81">
        <f>IF(J390=0,0,F390/J390)</f>
        <v/>
      </c>
      <c r="L390" s="81" t="n">
        <v>1.3</v>
      </c>
      <c r="M390" s="81" t="inlineStr">
        <is>
          <t>Night Hunt</t>
        </is>
      </c>
      <c r="AL390" s="81" t="n">
        <v>10</v>
      </c>
      <c r="FA390" s="81" t="n">
        <v>15</v>
      </c>
    </row>
    <row r="391">
      <c r="A391" s="81" t="inlineStr">
        <is>
          <t>Spotter Blimp</t>
        </is>
      </c>
      <c r="B391" s="81" t="inlineStr">
        <is>
          <t>Searchlight</t>
        </is>
      </c>
      <c r="C391" s="81" t="inlineStr">
        <is>
          <t>support</t>
        </is>
      </c>
      <c r="D391" s="81" t="n">
        <v>4</v>
      </c>
      <c r="E391" s="81">
        <f>ROUND('Towers'!$C$22*POWER('Tuning'!$B$12,D391),0)</f>
        <v/>
      </c>
      <c r="F391" s="81">
        <f>F390+E391</f>
        <v/>
      </c>
      <c r="G391" s="81" t="n">
        <v>1</v>
      </c>
      <c r="H391" s="81" t="n">
        <v>1</v>
      </c>
      <c r="I391" s="81" t="n">
        <v>1</v>
      </c>
      <c r="J391" s="81">
        <f>J390*G391*H391*I391</f>
        <v/>
      </c>
      <c r="K391" s="81">
        <f>IF(J391=0,0,F391/J391)</f>
        <v/>
      </c>
      <c r="L391" s="81" t="n">
        <v>1.6</v>
      </c>
      <c r="M391" s="81" t="inlineStr">
        <is>
          <t>Floodlights</t>
        </is>
      </c>
      <c r="CI391" s="81" t="inlineStr">
        <is>
          <t>A</t>
        </is>
      </c>
      <c r="CJ391" s="81" t="inlineStr">
        <is>
          <t>Lights a much wider circle</t>
        </is>
      </c>
    </row>
    <row r="392">
      <c r="A392" s="81" t="inlineStr">
        <is>
          <t>Spotter Blimp</t>
        </is>
      </c>
      <c r="B392" s="81" t="inlineStr">
        <is>
          <t>Searchlight</t>
        </is>
      </c>
      <c r="C392" s="81" t="inlineStr">
        <is>
          <t>support</t>
        </is>
      </c>
      <c r="D392" s="81" t="n">
        <v>5</v>
      </c>
      <c r="E392" s="81">
        <f>ROUND('Towers'!$C$22*POWER('Tuning'!$B$12,D392),0)</f>
        <v/>
      </c>
      <c r="F392" s="81">
        <f>F391+E392</f>
        <v/>
      </c>
      <c r="G392" s="81" t="n">
        <v>1</v>
      </c>
      <c r="H392" s="81" t="n">
        <v>1</v>
      </c>
      <c r="I392" s="81" t="n">
        <v>1</v>
      </c>
      <c r="J392" s="81">
        <f>J391*G392*H392*I392</f>
        <v/>
      </c>
      <c r="K392" s="81">
        <f>IF(J392=0,0,F392/J392)</f>
        <v/>
      </c>
      <c r="L392" s="81" t="n">
        <v>1</v>
      </c>
      <c r="M392" s="81" t="inlineStr">
        <is>
          <t>All-Seeing Eye</t>
        </is>
      </c>
      <c r="AL392" s="81" t="n">
        <v>25</v>
      </c>
      <c r="CI392" s="81" t="inlineStr">
        <is>
          <t>A</t>
        </is>
      </c>
      <c r="CJ392" s="81" t="inlineStr">
        <is>
          <t>Every dino under the blimp marked +25%</t>
        </is>
      </c>
    </row>
    <row r="393">
      <c r="A393" s="81" t="inlineStr">
        <is>
          <t>Spotter Blimp</t>
        </is>
      </c>
      <c r="B393" s="81" t="inlineStr">
        <is>
          <t>Cargo</t>
        </is>
      </c>
      <c r="C393" s="81" t="inlineStr">
        <is>
          <t>cash</t>
        </is>
      </c>
      <c r="D393" s="81" t="n">
        <v>1</v>
      </c>
      <c r="E393" s="81">
        <f>ROUND('Towers'!$C$22*POWER('Tuning'!$B$12,D393),0)</f>
        <v/>
      </c>
      <c r="F393" s="81">
        <f>'Towers'!$C$22+E393</f>
        <v/>
      </c>
      <c r="G393" s="81" t="n">
        <v>1</v>
      </c>
      <c r="H393" s="81" t="n">
        <v>1</v>
      </c>
      <c r="I393" s="81" t="n">
        <v>1</v>
      </c>
      <c r="J393" s="81">
        <f>'Towers'!$G$22*G393*H393*I393</f>
        <v/>
      </c>
      <c r="K393" s="81">
        <f>IF(J393=0,0,F393/J393)</f>
        <v/>
      </c>
      <c r="L393" s="81" t="n">
        <v>1</v>
      </c>
      <c r="M393" s="81" t="inlineStr">
        <is>
          <t>Supply Crates</t>
        </is>
      </c>
      <c r="AQ393" s="81" t="n">
        <v>1</v>
      </c>
      <c r="AR393" s="81" t="n">
        <v>200</v>
      </c>
    </row>
    <row r="394">
      <c r="A394" s="81" t="inlineStr">
        <is>
          <t>Spotter Blimp</t>
        </is>
      </c>
      <c r="B394" s="81" t="inlineStr">
        <is>
          <t>Cargo</t>
        </is>
      </c>
      <c r="C394" s="81" t="inlineStr">
        <is>
          <t>cash</t>
        </is>
      </c>
      <c r="D394" s="81" t="n">
        <v>2</v>
      </c>
      <c r="E394" s="81">
        <f>ROUND('Towers'!$C$22*POWER('Tuning'!$B$12,D394),0)</f>
        <v/>
      </c>
      <c r="F394" s="81">
        <f>F393+E394</f>
        <v/>
      </c>
      <c r="G394" s="81" t="n">
        <v>1</v>
      </c>
      <c r="H394" s="81" t="n">
        <v>1</v>
      </c>
      <c r="I394" s="81" t="n">
        <v>1</v>
      </c>
      <c r="J394" s="81">
        <f>'Towers'!$G$22*G394*H394*I394</f>
        <v/>
      </c>
      <c r="K394" s="81">
        <f>IF(J394=0,0,F394/J394)</f>
        <v/>
      </c>
      <c r="L394" s="81" t="n">
        <v>1</v>
      </c>
      <c r="M394" s="81" t="inlineStr">
        <is>
          <t>Ammo Drop</t>
        </is>
      </c>
      <c r="AQ394" s="81" t="n">
        <v>1</v>
      </c>
      <c r="AR394" s="81" t="n">
        <v>550</v>
      </c>
      <c r="AY394" s="81" t="n">
        <v>0.8</v>
      </c>
    </row>
    <row r="395">
      <c r="A395" s="81" t="inlineStr">
        <is>
          <t>Spotter Blimp</t>
        </is>
      </c>
      <c r="B395" s="81" t="inlineStr">
        <is>
          <t>Cargo</t>
        </is>
      </c>
      <c r="C395" s="81" t="inlineStr">
        <is>
          <t>cash</t>
        </is>
      </c>
      <c r="D395" s="81" t="n">
        <v>3</v>
      </c>
      <c r="E395" s="81">
        <f>ROUND('Towers'!$C$22*POWER('Tuning'!$B$12,D395),0)</f>
        <v/>
      </c>
      <c r="F395" s="81">
        <f>F394+E395</f>
        <v/>
      </c>
      <c r="G395" s="81" t="n">
        <v>1</v>
      </c>
      <c r="H395" s="81" t="n">
        <v>1</v>
      </c>
      <c r="I395" s="81" t="n">
        <v>1</v>
      </c>
      <c r="J395" s="81">
        <f>'Towers'!$G$22*G395*H395*I395</f>
        <v/>
      </c>
      <c r="K395" s="81">
        <f>IF(J395=0,0,F395/J395)</f>
        <v/>
      </c>
      <c r="L395" s="81" t="n">
        <v>1</v>
      </c>
      <c r="M395" s="81" t="inlineStr">
        <is>
          <t>Med Drop</t>
        </is>
      </c>
      <c r="AQ395" s="81" t="n">
        <v>1</v>
      </c>
      <c r="AR395" s="81" t="n">
        <v>1550</v>
      </c>
      <c r="AY395" s="81" t="n">
        <v>0.8</v>
      </c>
      <c r="BE395" s="81" t="n">
        <v>1</v>
      </c>
      <c r="BF395" s="81" t="n">
        <v>40</v>
      </c>
    </row>
    <row r="396">
      <c r="A396" s="81" t="inlineStr">
        <is>
          <t>Spotter Blimp</t>
        </is>
      </c>
      <c r="B396" s="81" t="inlineStr">
        <is>
          <t>Cargo</t>
        </is>
      </c>
      <c r="C396" s="81" t="inlineStr">
        <is>
          <t>cash</t>
        </is>
      </c>
      <c r="D396" s="81" t="n">
        <v>4</v>
      </c>
      <c r="E396" s="81">
        <f>ROUND('Towers'!$C$22*POWER('Tuning'!$B$12,D396),0)</f>
        <v/>
      </c>
      <c r="F396" s="81">
        <f>F395+E396</f>
        <v/>
      </c>
      <c r="G396" s="81" t="n">
        <v>1</v>
      </c>
      <c r="H396" s="81" t="n">
        <v>1</v>
      </c>
      <c r="I396" s="81" t="n">
        <v>1</v>
      </c>
      <c r="J396" s="81">
        <f>J395*G396*H396*I396</f>
        <v/>
      </c>
      <c r="K396" s="81">
        <f>IF(J396=0,0,F396/J396)</f>
        <v/>
      </c>
      <c r="L396" s="81" t="n">
        <v>1</v>
      </c>
      <c r="M396" s="81" t="inlineStr">
        <is>
          <t>Heavy Cargo</t>
        </is>
      </c>
      <c r="AR396" s="81" t="n">
        <v>2000</v>
      </c>
      <c r="CI396" s="81" t="inlineStr">
        <is>
          <t>A</t>
        </is>
      </c>
      <c r="CJ396" s="81" t="inlineStr">
        <is>
          <t>Bigger crates</t>
        </is>
      </c>
    </row>
    <row r="397">
      <c r="A397" s="81" t="inlineStr">
        <is>
          <t>Spotter Blimp</t>
        </is>
      </c>
      <c r="B397" s="81" t="inlineStr">
        <is>
          <t>Cargo</t>
        </is>
      </c>
      <c r="C397" s="81" t="inlineStr">
        <is>
          <t>cash</t>
        </is>
      </c>
      <c r="D397" s="81" t="n">
        <v>5</v>
      </c>
      <c r="E397" s="81">
        <f>ROUND('Towers'!$C$22*POWER('Tuning'!$B$12,D397),0)</f>
        <v/>
      </c>
      <c r="F397" s="81">
        <f>F396+E397</f>
        <v/>
      </c>
      <c r="G397" s="81" t="n">
        <v>1</v>
      </c>
      <c r="H397" s="81" t="n">
        <v>1</v>
      </c>
      <c r="I397" s="81" t="n">
        <v>1</v>
      </c>
      <c r="J397" s="81">
        <f>J396*G397*H397*I397</f>
        <v/>
      </c>
      <c r="K397" s="81">
        <f>IF(J397=0,0,F397/J397)</f>
        <v/>
      </c>
      <c r="L397" s="81" t="n">
        <v>1</v>
      </c>
      <c r="M397" s="81" t="inlineStr">
        <is>
          <t>Cargo Run</t>
        </is>
      </c>
      <c r="CI397" s="81" t="inlineStr">
        <is>
          <t>A</t>
        </is>
      </c>
      <c r="CJ397" s="81" t="inlineStr">
        <is>
          <t>A big crate every lap</t>
        </is>
      </c>
      <c r="FC397" s="81" t="inlineStr">
        <is>
          <t>Yes</t>
        </is>
      </c>
    </row>
    <row r="398">
      <c r="A398" s="81" t="inlineStr">
        <is>
          <t>Spotter Blimp</t>
        </is>
      </c>
      <c r="B398" s="81" t="inlineStr">
        <is>
          <t>Door Gun</t>
        </is>
      </c>
      <c r="C398" s="81" t="inlineStr">
        <is>
          <t>damage</t>
        </is>
      </c>
      <c r="D398" s="81" t="n">
        <v>4</v>
      </c>
      <c r="E398" s="81">
        <f>E386</f>
        <v/>
      </c>
      <c r="F398" s="81">
        <f>F386</f>
        <v/>
      </c>
      <c r="G398" s="81" t="n">
        <v>1.4</v>
      </c>
      <c r="H398" s="81" t="n">
        <v>1</v>
      </c>
      <c r="I398" s="81" t="n">
        <v>1</v>
      </c>
      <c r="L398" s="81" t="n">
        <v>1</v>
      </c>
      <c r="M398" s="81" t="inlineStr">
        <is>
          <t>Rocket Pods</t>
        </is>
      </c>
      <c r="Z398" s="81" t="n">
        <v>3</v>
      </c>
      <c r="AA398" s="81" t="n">
        <v>1</v>
      </c>
      <c r="CI398" s="81" t="inlineStr">
        <is>
          <t>B</t>
        </is>
      </c>
      <c r="CJ398" s="81" t="inlineStr">
        <is>
          <t>Rockets that splash</t>
        </is>
      </c>
    </row>
    <row r="399">
      <c r="A399" s="81" t="inlineStr">
        <is>
          <t>Spotter Blimp</t>
        </is>
      </c>
      <c r="B399" s="81" t="inlineStr">
        <is>
          <t>Door Gun</t>
        </is>
      </c>
      <c r="C399" s="81" t="inlineStr">
        <is>
          <t>damage</t>
        </is>
      </c>
      <c r="D399" s="81" t="n">
        <v>4</v>
      </c>
      <c r="E399" s="81">
        <f>E386</f>
        <v/>
      </c>
      <c r="F399" s="81">
        <f>F386</f>
        <v/>
      </c>
      <c r="G399" s="81" t="n">
        <v>1.75</v>
      </c>
      <c r="H399" s="81" t="n">
        <v>1</v>
      </c>
      <c r="I399" s="81" t="n">
        <v>1</v>
      </c>
      <c r="L399" s="81" t="n">
        <v>1</v>
      </c>
      <c r="M399" s="81" t="inlineStr">
        <is>
          <t>Tracer Belt</t>
        </is>
      </c>
      <c r="T399" s="81" t="n">
        <v>15</v>
      </c>
      <c r="CI399" s="81" t="inlineStr">
        <is>
          <t>C</t>
        </is>
      </c>
      <c r="CJ399" s="81" t="inlineStr">
        <is>
          <t>Hit dinos are marked +15%</t>
        </is>
      </c>
    </row>
    <row r="400">
      <c r="A400" s="81" t="inlineStr">
        <is>
          <t>Spotter Blimp</t>
        </is>
      </c>
      <c r="B400" s="81" t="inlineStr">
        <is>
          <t>Door Gun</t>
        </is>
      </c>
      <c r="C400" s="81" t="inlineStr">
        <is>
          <t>damage</t>
        </is>
      </c>
      <c r="D400" s="81" t="n">
        <v>5</v>
      </c>
      <c r="E400" s="81">
        <f>E387</f>
        <v/>
      </c>
      <c r="F400" s="81">
        <f>F387</f>
        <v/>
      </c>
      <c r="G400" s="81" t="n">
        <v>1.6</v>
      </c>
      <c r="H400" s="81" t="n">
        <v>1</v>
      </c>
      <c r="I400" s="81" t="n">
        <v>1</v>
      </c>
      <c r="L400" s="81" t="n">
        <v>1</v>
      </c>
      <c r="M400" s="81" t="inlineStr">
        <is>
          <t>Bombing Run</t>
        </is>
      </c>
      <c r="CI400" s="81" t="inlineStr">
        <is>
          <t>B</t>
        </is>
      </c>
      <c r="CJ400" s="81" t="inlineStr">
        <is>
          <t>Bombs the whole track once a round</t>
        </is>
      </c>
      <c r="CS400" s="81" t="n">
        <v>12</v>
      </c>
      <c r="FK400" s="81" t="inlineStr">
        <is>
          <t>Yes</t>
        </is>
      </c>
    </row>
    <row r="401">
      <c r="A401" s="81" t="inlineStr">
        <is>
          <t>Spotter Blimp</t>
        </is>
      </c>
      <c r="B401" s="81" t="inlineStr">
        <is>
          <t>Door Gun</t>
        </is>
      </c>
      <c r="C401" s="81" t="inlineStr">
        <is>
          <t>damage</t>
        </is>
      </c>
      <c r="D401" s="81" t="n">
        <v>5</v>
      </c>
      <c r="E401" s="81">
        <f>E387</f>
        <v/>
      </c>
      <c r="F401" s="81">
        <f>F387</f>
        <v/>
      </c>
      <c r="G401" s="81" t="n">
        <v>1.75</v>
      </c>
      <c r="H401" s="81" t="n">
        <v>1</v>
      </c>
      <c r="I401" s="81" t="n">
        <v>1</v>
      </c>
      <c r="L401" s="81" t="n">
        <v>1</v>
      </c>
      <c r="M401" s="81" t="inlineStr">
        <is>
          <t>Sky Hook</t>
        </is>
      </c>
      <c r="CI401" s="81" t="inlineStr">
        <is>
          <t>C</t>
        </is>
      </c>
      <c r="CJ401" s="81" t="inlineStr">
        <is>
          <t>Snatches the smallest dino every 5 s</t>
        </is>
      </c>
      <c r="FL401" s="81" t="n">
        <v>5</v>
      </c>
    </row>
    <row r="402">
      <c r="A402" s="81" t="inlineStr">
        <is>
          <t>Spotter Blimp</t>
        </is>
      </c>
      <c r="B402" s="81" t="inlineStr">
        <is>
          <t>Searchlight</t>
        </is>
      </c>
      <c r="C402" s="81" t="inlineStr">
        <is>
          <t>support</t>
        </is>
      </c>
      <c r="D402" s="81" t="n">
        <v>4</v>
      </c>
      <c r="E402" s="81">
        <f>E391</f>
        <v/>
      </c>
      <c r="F402" s="81">
        <f>F391</f>
        <v/>
      </c>
      <c r="G402" s="81" t="n">
        <v>1</v>
      </c>
      <c r="H402" s="81" t="n">
        <v>1</v>
      </c>
      <c r="I402" s="81" t="n">
        <v>1</v>
      </c>
      <c r="L402" s="81" t="n">
        <v>1</v>
      </c>
      <c r="M402" s="81" t="inlineStr">
        <is>
          <t>Tracking Beam</t>
        </is>
      </c>
      <c r="AL402" s="81" t="n">
        <v>14</v>
      </c>
      <c r="CI402" s="81" t="inlineStr">
        <is>
          <t>B</t>
        </is>
      </c>
      <c r="CJ402" s="81" t="inlineStr">
        <is>
          <t>The light follows the biggest dino</t>
        </is>
      </c>
      <c r="CU402" s="81" t="inlineStr">
        <is>
          <t>Yes</t>
        </is>
      </c>
    </row>
    <row r="403">
      <c r="A403" s="81" t="inlineStr">
        <is>
          <t>Spotter Blimp</t>
        </is>
      </c>
      <c r="B403" s="81" t="inlineStr">
        <is>
          <t>Searchlight</t>
        </is>
      </c>
      <c r="C403" s="81" t="inlineStr">
        <is>
          <t>support</t>
        </is>
      </c>
      <c r="D403" s="81" t="n">
        <v>4</v>
      </c>
      <c r="E403" s="81">
        <f>E391</f>
        <v/>
      </c>
      <c r="F403" s="81">
        <f>F391</f>
        <v/>
      </c>
      <c r="G403" s="81" t="n">
        <v>1</v>
      </c>
      <c r="H403" s="81" t="n">
        <v>1</v>
      </c>
      <c r="I403" s="81" t="n">
        <v>1</v>
      </c>
      <c r="L403" s="81" t="n">
        <v>1</v>
      </c>
      <c r="M403" s="81" t="inlineStr">
        <is>
          <t>Blinding Glare</t>
        </is>
      </c>
      <c r="AL403" s="81" t="n">
        <v>15</v>
      </c>
      <c r="CI403" s="81" t="inlineStr">
        <is>
          <t>C</t>
        </is>
      </c>
      <c r="CJ403" s="81" t="inlineStr">
        <is>
          <t>Dinos in the light miss throws</t>
        </is>
      </c>
      <c r="FH403" s="81" t="n">
        <v>25</v>
      </c>
    </row>
    <row r="404">
      <c r="A404" s="81" t="inlineStr">
        <is>
          <t>Spotter Blimp</t>
        </is>
      </c>
      <c r="B404" s="81" t="inlineStr">
        <is>
          <t>Searchlight</t>
        </is>
      </c>
      <c r="C404" s="81" t="inlineStr">
        <is>
          <t>support</t>
        </is>
      </c>
      <c r="D404" s="81" t="n">
        <v>5</v>
      </c>
      <c r="E404" s="81">
        <f>E392</f>
        <v/>
      </c>
      <c r="F404" s="81">
        <f>F392</f>
        <v/>
      </c>
      <c r="G404" s="81" t="n">
        <v>1</v>
      </c>
      <c r="H404" s="81" t="n">
        <v>1</v>
      </c>
      <c r="I404" s="81" t="n">
        <v>1</v>
      </c>
      <c r="L404" s="81" t="n">
        <v>1</v>
      </c>
      <c r="M404" s="81" t="inlineStr">
        <is>
          <t>Lighthouse</t>
        </is>
      </c>
      <c r="AC404" s="81" t="n">
        <v>10</v>
      </c>
      <c r="CI404" s="81" t="inlineStr">
        <is>
          <t>B</t>
        </is>
      </c>
      <c r="CJ404" s="81" t="inlineStr">
        <is>
          <t>Towers near its path +10% damage</t>
        </is>
      </c>
      <c r="FI404" s="81" t="n">
        <v>1.5</v>
      </c>
    </row>
    <row r="405">
      <c r="A405" s="81" t="inlineStr">
        <is>
          <t>Spotter Blimp</t>
        </is>
      </c>
      <c r="B405" s="81" t="inlineStr">
        <is>
          <t>Searchlight</t>
        </is>
      </c>
      <c r="C405" s="81" t="inlineStr">
        <is>
          <t>support</t>
        </is>
      </c>
      <c r="D405" s="81" t="n">
        <v>5</v>
      </c>
      <c r="E405" s="81">
        <f>E392</f>
        <v/>
      </c>
      <c r="F405" s="81">
        <f>F392</f>
        <v/>
      </c>
      <c r="G405" s="81" t="n">
        <v>1</v>
      </c>
      <c r="H405" s="81" t="n">
        <v>1</v>
      </c>
      <c r="I405" s="81" t="n">
        <v>1</v>
      </c>
      <c r="L405" s="81" t="n">
        <v>1</v>
      </c>
      <c r="M405" s="81" t="inlineStr">
        <is>
          <t>Spotter's Map</t>
        </is>
      </c>
      <c r="AL405" s="81" t="n">
        <v>22</v>
      </c>
      <c r="CI405" s="81" t="inlineStr">
        <is>
          <t>C</t>
        </is>
      </c>
      <c r="CJ405" s="81" t="inlineStr">
        <is>
          <t>See every dino through walls</t>
        </is>
      </c>
      <c r="FJ405" s="81" t="inlineStr">
        <is>
          <t>Yes</t>
        </is>
      </c>
    </row>
    <row r="406">
      <c r="A406" s="81" t="inlineStr">
        <is>
          <t>Spotter Blimp</t>
        </is>
      </c>
      <c r="B406" s="81" t="inlineStr">
        <is>
          <t>Cargo</t>
        </is>
      </c>
      <c r="C406" s="81" t="inlineStr">
        <is>
          <t>cash</t>
        </is>
      </c>
      <c r="D406" s="81" t="n">
        <v>4</v>
      </c>
      <c r="E406" s="81">
        <f>E396</f>
        <v/>
      </c>
      <c r="F406" s="81">
        <f>F396</f>
        <v/>
      </c>
      <c r="G406" s="81" t="n">
        <v>1</v>
      </c>
      <c r="H406" s="81" t="n">
        <v>1</v>
      </c>
      <c r="I406" s="81" t="n">
        <v>1</v>
      </c>
      <c r="L406" s="81" t="n">
        <v>1</v>
      </c>
      <c r="M406" s="81" t="inlineStr">
        <is>
          <t>Rebuild Kits</t>
        </is>
      </c>
      <c r="CI406" s="81" t="inlineStr">
        <is>
          <t>B</t>
        </is>
      </c>
      <c r="CJ406" s="81" t="inlineStr">
        <is>
          <t>Fixes a Trampled tower each lap</t>
        </is>
      </c>
      <c r="FD406" s="81" t="n">
        <v>1</v>
      </c>
    </row>
    <row r="407">
      <c r="A407" s="81" t="inlineStr">
        <is>
          <t>Spotter Blimp</t>
        </is>
      </c>
      <c r="B407" s="81" t="inlineStr">
        <is>
          <t>Cargo</t>
        </is>
      </c>
      <c r="C407" s="81" t="inlineStr">
        <is>
          <t>cash</t>
        </is>
      </c>
      <c r="D407" s="81" t="n">
        <v>4</v>
      </c>
      <c r="E407" s="81">
        <f>E396</f>
        <v/>
      </c>
      <c r="F407" s="81">
        <f>F396</f>
        <v/>
      </c>
      <c r="G407" s="81" t="n">
        <v>1</v>
      </c>
      <c r="H407" s="81" t="n">
        <v>1</v>
      </c>
      <c r="I407" s="81" t="n">
        <v>1</v>
      </c>
      <c r="L407" s="81" t="n">
        <v>1</v>
      </c>
      <c r="M407" s="81" t="inlineStr">
        <is>
          <t>Spare Parts</t>
        </is>
      </c>
      <c r="AR407" s="81" t="n">
        <v>1900</v>
      </c>
      <c r="CI407" s="81" t="inlineStr">
        <is>
          <t>C</t>
        </is>
      </c>
      <c r="CJ407" s="81" t="inlineStr">
        <is>
          <t>A crate heals the closest tower</t>
        </is>
      </c>
      <c r="FE407" s="81" t="n">
        <v>20</v>
      </c>
    </row>
    <row r="408">
      <c r="A408" s="81" t="inlineStr">
        <is>
          <t>Spotter Blimp</t>
        </is>
      </c>
      <c r="B408" s="81" t="inlineStr">
        <is>
          <t>Cargo</t>
        </is>
      </c>
      <c r="C408" s="81" t="inlineStr">
        <is>
          <t>cash</t>
        </is>
      </c>
      <c r="D408" s="81" t="n">
        <v>5</v>
      </c>
      <c r="E408" s="81">
        <f>E397</f>
        <v/>
      </c>
      <c r="F408" s="81">
        <f>F397</f>
        <v/>
      </c>
      <c r="G408" s="81" t="n">
        <v>1</v>
      </c>
      <c r="H408" s="81" t="n">
        <v>1</v>
      </c>
      <c r="I408" s="81" t="n">
        <v>1</v>
      </c>
      <c r="L408" s="81" t="n">
        <v>1</v>
      </c>
      <c r="M408" s="81" t="inlineStr">
        <is>
          <t>Paratroopers</t>
        </is>
      </c>
      <c r="CI408" s="81" t="inlineStr">
        <is>
          <t>B</t>
        </is>
      </c>
      <c r="CJ408" s="81" t="inlineStr">
        <is>
          <t>Drops 2 rangers a round</t>
        </is>
      </c>
      <c r="FF408" s="81" t="n">
        <v>2</v>
      </c>
    </row>
    <row r="409">
      <c r="A409" s="81" t="inlineStr">
        <is>
          <t>Spotter Blimp</t>
        </is>
      </c>
      <c r="B409" s="81" t="inlineStr">
        <is>
          <t>Cargo</t>
        </is>
      </c>
      <c r="C409" s="81" t="inlineStr">
        <is>
          <t>cash</t>
        </is>
      </c>
      <c r="D409" s="81" t="n">
        <v>5</v>
      </c>
      <c r="E409" s="81">
        <f>E397</f>
        <v/>
      </c>
      <c r="F409" s="81">
        <f>F397</f>
        <v/>
      </c>
      <c r="G409" s="81" t="n">
        <v>1</v>
      </c>
      <c r="H409" s="81" t="n">
        <v>1</v>
      </c>
      <c r="I409" s="81" t="n">
        <v>1</v>
      </c>
      <c r="L409" s="81" t="n">
        <v>1</v>
      </c>
      <c r="M409" s="81" t="inlineStr">
        <is>
          <t>Airlift</t>
        </is>
      </c>
      <c r="AR409" s="81" t="n">
        <v>2700</v>
      </c>
      <c r="CI409" s="81" t="inlineStr">
        <is>
          <t>C</t>
        </is>
      </c>
      <c r="CJ409" s="81" t="inlineStr">
        <is>
          <t>Fixes the first Trampled tower each round</t>
        </is>
      </c>
      <c r="FG409" s="81" t="inlineStr">
        <is>
          <t>Yes</t>
        </is>
      </c>
    </row>
    <row r="410">
      <c r="A410" s="81" t="inlineStr">
        <is>
          <t>Meteor Beacon</t>
        </is>
      </c>
      <c r="B410" s="81" t="inlineStr">
        <is>
          <t>Impact</t>
        </is>
      </c>
      <c r="C410" s="81" t="inlineStr">
        <is>
          <t>damage</t>
        </is>
      </c>
      <c r="D410" s="81" t="n">
        <v>1</v>
      </c>
      <c r="E410" s="81">
        <f>ROUND('Towers'!$C$23*POWER('Tuning'!$B$12,D410),0)</f>
        <v/>
      </c>
      <c r="F410" s="81">
        <f>'Towers'!$C$23+E410</f>
        <v/>
      </c>
      <c r="G410" s="81" t="n">
        <v>1.7</v>
      </c>
      <c r="H410" s="81" t="n">
        <v>1</v>
      </c>
      <c r="I410" s="81" t="n">
        <v>1</v>
      </c>
      <c r="J410" s="81">
        <f>'Towers'!$G$23*G410*H410*I410</f>
        <v/>
      </c>
      <c r="K410" s="81">
        <f>IF(J410=0,0,F410/J410)</f>
        <v/>
      </c>
      <c r="L410" s="81" t="n">
        <v>1</v>
      </c>
      <c r="M410" s="81" t="inlineStr">
        <is>
          <t>Heavier Rock</t>
        </is>
      </c>
    </row>
    <row r="411">
      <c r="A411" s="81" t="inlineStr">
        <is>
          <t>Meteor Beacon</t>
        </is>
      </c>
      <c r="B411" s="81" t="inlineStr">
        <is>
          <t>Impact</t>
        </is>
      </c>
      <c r="C411" s="81" t="inlineStr">
        <is>
          <t>damage</t>
        </is>
      </c>
      <c r="D411" s="81" t="n">
        <v>2</v>
      </c>
      <c r="E411" s="81">
        <f>ROUND('Towers'!$C$23*POWER('Tuning'!$B$12,D411),0)</f>
        <v/>
      </c>
      <c r="F411" s="81">
        <f>F410+E411</f>
        <v/>
      </c>
      <c r="G411" s="81" t="n">
        <v>3.3</v>
      </c>
      <c r="H411" s="81" t="n">
        <v>1</v>
      </c>
      <c r="I411" s="81" t="n">
        <v>1</v>
      </c>
      <c r="J411" s="81">
        <f>'Towers'!$G$23*G411*H411*I411</f>
        <v/>
      </c>
      <c r="K411" s="81">
        <f>IF(J411=0,0,F411/J411)</f>
        <v/>
      </c>
      <c r="L411" s="81" t="n">
        <v>1</v>
      </c>
      <c r="M411" s="81" t="inlineStr">
        <is>
          <t>Iron Core</t>
        </is>
      </c>
    </row>
    <row r="412">
      <c r="A412" s="81" t="inlineStr">
        <is>
          <t>Meteor Beacon</t>
        </is>
      </c>
      <c r="B412" s="81" t="inlineStr">
        <is>
          <t>Impact</t>
        </is>
      </c>
      <c r="C412" s="81" t="inlineStr">
        <is>
          <t>damage</t>
        </is>
      </c>
      <c r="D412" s="81" t="n">
        <v>3</v>
      </c>
      <c r="E412" s="81">
        <f>ROUND('Towers'!$C$23*POWER('Tuning'!$B$12,D412),0)</f>
        <v/>
      </c>
      <c r="F412" s="81">
        <f>F411+E412</f>
        <v/>
      </c>
      <c r="G412" s="81" t="n">
        <v>6</v>
      </c>
      <c r="H412" s="81" t="n">
        <v>1</v>
      </c>
      <c r="I412" s="81" t="n">
        <v>1</v>
      </c>
      <c r="J412" s="81">
        <f>'Towers'!$G$23*G412*H412*I412</f>
        <v/>
      </c>
      <c r="K412" s="81">
        <f>IF(J412=0,0,F412/J412)</f>
        <v/>
      </c>
      <c r="L412" s="81" t="n">
        <v>1</v>
      </c>
      <c r="M412" s="81" t="inlineStr">
        <is>
          <t>Ground Zero</t>
        </is>
      </c>
      <c r="BJ412" s="81" t="n">
        <v>2</v>
      </c>
    </row>
    <row r="413">
      <c r="A413" s="81" t="inlineStr">
        <is>
          <t>Meteor Beacon</t>
        </is>
      </c>
      <c r="B413" s="81" t="inlineStr">
        <is>
          <t>Impact</t>
        </is>
      </c>
      <c r="C413" s="81" t="inlineStr">
        <is>
          <t>damage</t>
        </is>
      </c>
      <c r="D413" s="81" t="n">
        <v>4</v>
      </c>
      <c r="E413" s="81">
        <f>ROUND('Towers'!$C$23*POWER('Tuning'!$B$12,D413),0)</f>
        <v/>
      </c>
      <c r="F413" s="81">
        <f>F412+E413</f>
        <v/>
      </c>
      <c r="G413" s="81" t="n">
        <v>1.3</v>
      </c>
      <c r="H413" s="81" t="n">
        <v>1</v>
      </c>
      <c r="I413" s="81" t="n">
        <v>1</v>
      </c>
      <c r="J413" s="81">
        <f>J412*G413*H413*I413</f>
        <v/>
      </c>
      <c r="K413" s="81">
        <f>IF(J413=0,0,F413/J413)</f>
        <v/>
      </c>
      <c r="L413" s="81" t="n">
        <v>1</v>
      </c>
      <c r="M413" s="81" t="inlineStr">
        <is>
          <t>Planet Killer</t>
        </is>
      </c>
      <c r="P413" s="81" t="n">
        <v>2</v>
      </c>
      <c r="BJ413" s="81" t="n">
        <v>3</v>
      </c>
      <c r="CI413" s="81" t="inlineStr">
        <is>
          <t>A</t>
        </is>
      </c>
      <c r="CJ413" s="81" t="inlineStr">
        <is>
          <t>Breaks 3, ×2 on bosses</t>
        </is>
      </c>
    </row>
    <row r="414">
      <c r="A414" s="81" t="inlineStr">
        <is>
          <t>Meteor Beacon</t>
        </is>
      </c>
      <c r="B414" s="81" t="inlineStr">
        <is>
          <t>Impact</t>
        </is>
      </c>
      <c r="C414" s="81" t="inlineStr">
        <is>
          <t>damage</t>
        </is>
      </c>
      <c r="D414" s="81" t="n">
        <v>5</v>
      </c>
      <c r="E414" s="81">
        <f>ROUND('Towers'!$C$23*POWER('Tuning'!$B$12,D414),0)</f>
        <v/>
      </c>
      <c r="F414" s="81">
        <f>F413+E414</f>
        <v/>
      </c>
      <c r="G414" s="81" t="n">
        <v>1.4</v>
      </c>
      <c r="H414" s="81" t="n">
        <v>1</v>
      </c>
      <c r="I414" s="81" t="n">
        <v>1</v>
      </c>
      <c r="J414" s="81">
        <f>J413*G414*H414*I414</f>
        <v/>
      </c>
      <c r="K414" s="81">
        <f>IF(J414=0,0,F414/J414)</f>
        <v/>
      </c>
      <c r="L414" s="81" t="n">
        <v>1</v>
      </c>
      <c r="M414" s="81" t="inlineStr">
        <is>
          <t>Extinction Event</t>
        </is>
      </c>
      <c r="CI414" s="81" t="inlineStr">
        <is>
          <t>A</t>
        </is>
      </c>
      <c r="CJ414" s="81" t="inlineStr">
        <is>
          <t>One giant meteor a round, fires itself</t>
        </is>
      </c>
      <c r="FW414" s="81" t="inlineStr">
        <is>
          <t>Yes</t>
        </is>
      </c>
    </row>
    <row r="415">
      <c r="A415" s="81" t="inlineStr">
        <is>
          <t>Meteor Beacon</t>
        </is>
      </c>
      <c r="B415" s="81" t="inlineStr">
        <is>
          <t>Sky Rocks</t>
        </is>
      </c>
      <c r="C415" s="81" t="inlineStr">
        <is>
          <t>damage</t>
        </is>
      </c>
      <c r="D415" s="81" t="n">
        <v>1</v>
      </c>
      <c r="E415" s="81">
        <f>ROUND('Towers'!$C$23*POWER('Tuning'!$B$12,D415),0)</f>
        <v/>
      </c>
      <c r="F415" s="81">
        <f>'Towers'!$C$23+E415</f>
        <v/>
      </c>
      <c r="G415" s="81" t="n">
        <v>1.4</v>
      </c>
      <c r="H415" s="81" t="n">
        <v>1</v>
      </c>
      <c r="I415" s="81" t="n">
        <v>1</v>
      </c>
      <c r="J415" s="81">
        <f>'Towers'!$G$23*G415*H415*I415</f>
        <v/>
      </c>
      <c r="K415" s="81">
        <f>IF(J415=0,0,F415/J415)</f>
        <v/>
      </c>
      <c r="L415" s="81" t="n">
        <v>1</v>
      </c>
      <c r="M415" s="81" t="inlineStr">
        <is>
          <t>Rock Chunks</t>
        </is>
      </c>
      <c r="FM415" s="81" t="n">
        <v>2</v>
      </c>
    </row>
    <row r="416">
      <c r="A416" s="81" t="inlineStr">
        <is>
          <t>Meteor Beacon</t>
        </is>
      </c>
      <c r="B416" s="81" t="inlineStr">
        <is>
          <t>Sky Rocks</t>
        </is>
      </c>
      <c r="C416" s="81" t="inlineStr">
        <is>
          <t>damage</t>
        </is>
      </c>
      <c r="D416" s="81" t="n">
        <v>2</v>
      </c>
      <c r="E416" s="81">
        <f>ROUND('Towers'!$C$23*POWER('Tuning'!$B$12,D416),0)</f>
        <v/>
      </c>
      <c r="F416" s="81">
        <f>F415+E416</f>
        <v/>
      </c>
      <c r="G416" s="81" t="n">
        <v>2.1</v>
      </c>
      <c r="H416" s="81" t="n">
        <v>1</v>
      </c>
      <c r="I416" s="81" t="n">
        <v>1</v>
      </c>
      <c r="J416" s="81">
        <f>'Towers'!$G$23*G416*H416*I416</f>
        <v/>
      </c>
      <c r="K416" s="81">
        <f>IF(J416=0,0,F416/J416)</f>
        <v/>
      </c>
      <c r="L416" s="81" t="n">
        <v>1</v>
      </c>
      <c r="M416" s="81" t="inlineStr">
        <is>
          <t>Twin Fall</t>
        </is>
      </c>
      <c r="FM416" s="81" t="n">
        <v>3</v>
      </c>
    </row>
    <row r="417">
      <c r="A417" s="81" t="inlineStr">
        <is>
          <t>Meteor Beacon</t>
        </is>
      </c>
      <c r="B417" s="81" t="inlineStr">
        <is>
          <t>Sky Rocks</t>
        </is>
      </c>
      <c r="C417" s="81" t="inlineStr">
        <is>
          <t>damage</t>
        </is>
      </c>
      <c r="D417" s="81" t="n">
        <v>3</v>
      </c>
      <c r="E417" s="81">
        <f>ROUND('Towers'!$C$23*POWER('Tuning'!$B$12,D417),0)</f>
        <v/>
      </c>
      <c r="F417" s="81">
        <f>F416+E417</f>
        <v/>
      </c>
      <c r="G417" s="81" t="n">
        <v>2.6</v>
      </c>
      <c r="H417" s="81" t="n">
        <v>1</v>
      </c>
      <c r="I417" s="81" t="n">
        <v>1</v>
      </c>
      <c r="J417" s="81">
        <f>'Towers'!$G$23*G417*H417*I417</f>
        <v/>
      </c>
      <c r="K417" s="81">
        <f>IF(J417=0,0,F417/J417)</f>
        <v/>
      </c>
      <c r="L417" s="81" t="n">
        <v>1</v>
      </c>
      <c r="M417" s="81" t="inlineStr">
        <is>
          <t>Fireball Flurry</t>
        </is>
      </c>
      <c r="FM417" s="81" t="n">
        <v>5</v>
      </c>
    </row>
    <row r="418">
      <c r="A418" s="81" t="inlineStr">
        <is>
          <t>Meteor Beacon</t>
        </is>
      </c>
      <c r="B418" s="81" t="inlineStr">
        <is>
          <t>Sky Rocks</t>
        </is>
      </c>
      <c r="C418" s="81" t="inlineStr">
        <is>
          <t>damage</t>
        </is>
      </c>
      <c r="D418" s="81" t="n">
        <v>4</v>
      </c>
      <c r="E418" s="81">
        <f>ROUND('Towers'!$C$23*POWER('Tuning'!$B$12,D418),0)</f>
        <v/>
      </c>
      <c r="F418" s="81">
        <f>F417+E418</f>
        <v/>
      </c>
      <c r="G418" s="81" t="n">
        <v>1.25</v>
      </c>
      <c r="H418" s="81" t="n">
        <v>1</v>
      </c>
      <c r="I418" s="81" t="n">
        <v>1</v>
      </c>
      <c r="J418" s="81">
        <f>J417*G418*H418*I418</f>
        <v/>
      </c>
      <c r="K418" s="81">
        <f>IF(J418=0,0,F418/J418)</f>
        <v/>
      </c>
      <c r="L418" s="81" t="n">
        <v>1</v>
      </c>
      <c r="M418" s="81" t="inlineStr">
        <is>
          <t>Endless Rain</t>
        </is>
      </c>
      <c r="CI418" s="81" t="inlineStr">
        <is>
          <t>A</t>
        </is>
      </c>
      <c r="CJ418" s="81" t="inlineStr">
        <is>
          <t>A small meteor every 4 s</t>
        </is>
      </c>
      <c r="FO418" s="81" t="n">
        <v>4</v>
      </c>
    </row>
    <row r="419">
      <c r="A419" s="81" t="inlineStr">
        <is>
          <t>Meteor Beacon</t>
        </is>
      </c>
      <c r="B419" s="81" t="inlineStr">
        <is>
          <t>Sky Rocks</t>
        </is>
      </c>
      <c r="C419" s="81" t="inlineStr">
        <is>
          <t>damage</t>
        </is>
      </c>
      <c r="D419" s="81" t="n">
        <v>5</v>
      </c>
      <c r="E419" s="81">
        <f>ROUND('Towers'!$C$23*POWER('Tuning'!$B$12,D419),0)</f>
        <v/>
      </c>
      <c r="F419" s="81">
        <f>F418+E419</f>
        <v/>
      </c>
      <c r="G419" s="81" t="n">
        <v>3.388</v>
      </c>
      <c r="H419" s="81" t="n">
        <v>1</v>
      </c>
      <c r="I419" s="81" t="n">
        <v>1</v>
      </c>
      <c r="J419" s="81">
        <f>J418*G419*H419*I419</f>
        <v/>
      </c>
      <c r="K419" s="81">
        <f>IF(J419=0,0,F419/J419)</f>
        <v/>
      </c>
      <c r="L419" s="81" t="n">
        <v>1</v>
      </c>
      <c r="M419" s="81" t="inlineStr">
        <is>
          <t>Starfall</t>
        </is>
      </c>
      <c r="CI419" s="81" t="inlineStr">
        <is>
          <t>A</t>
        </is>
      </c>
      <c r="CJ419" s="81" t="inlineStr">
        <is>
          <t>20 meteors across your side every 15 s</t>
        </is>
      </c>
      <c r="FP419" s="81" t="n">
        <v>15</v>
      </c>
    </row>
    <row r="420">
      <c r="A420" s="81" t="inlineStr">
        <is>
          <t>Meteor Beacon</t>
        </is>
      </c>
      <c r="B420" s="81" t="inlineStr">
        <is>
          <t>Aftermath</t>
        </is>
      </c>
      <c r="C420" s="81" t="inlineStr">
        <is>
          <t>control</t>
        </is>
      </c>
      <c r="D420" s="81" t="n">
        <v>1</v>
      </c>
      <c r="E420" s="81">
        <f>ROUND('Towers'!$C$23*POWER('Tuning'!$B$12,D420),0)</f>
        <v/>
      </c>
      <c r="F420" s="81">
        <f>'Towers'!$C$23+E420</f>
        <v/>
      </c>
      <c r="G420" s="81" t="n">
        <v>1.3</v>
      </c>
      <c r="H420" s="81" t="n">
        <v>1</v>
      </c>
      <c r="I420" s="81" t="n">
        <v>1</v>
      </c>
      <c r="J420" s="81">
        <f>'Towers'!$G$23*G420*H420*I420</f>
        <v/>
      </c>
      <c r="K420" s="81">
        <f>IF(J420=0,0,F420/J420)</f>
        <v/>
      </c>
      <c r="L420" s="81" t="n">
        <v>1</v>
      </c>
      <c r="M420" s="81" t="inlineStr">
        <is>
          <t>Hot Crater</t>
        </is>
      </c>
      <c r="X420" s="81" t="n">
        <v>20</v>
      </c>
    </row>
    <row r="421">
      <c r="A421" s="81" t="inlineStr">
        <is>
          <t>Meteor Beacon</t>
        </is>
      </c>
      <c r="B421" s="81" t="inlineStr">
        <is>
          <t>Aftermath</t>
        </is>
      </c>
      <c r="C421" s="81" t="inlineStr">
        <is>
          <t>control</t>
        </is>
      </c>
      <c r="D421" s="81" t="n">
        <v>2</v>
      </c>
      <c r="E421" s="81">
        <f>ROUND('Towers'!$C$23*POWER('Tuning'!$B$12,D421),0)</f>
        <v/>
      </c>
      <c r="F421" s="81">
        <f>F420+E421</f>
        <v/>
      </c>
      <c r="G421" s="81" t="n">
        <v>1.6</v>
      </c>
      <c r="H421" s="81" t="n">
        <v>1</v>
      </c>
      <c r="I421" s="81" t="n">
        <v>1</v>
      </c>
      <c r="J421" s="81">
        <f>'Towers'!$G$23*G421*H421*I421</f>
        <v/>
      </c>
      <c r="K421" s="81">
        <f>IF(J421=0,0,F421/J421)</f>
        <v/>
      </c>
      <c r="L421" s="81" t="n">
        <v>1</v>
      </c>
      <c r="M421" s="81" t="inlineStr">
        <is>
          <t>Ash Cloud</t>
        </is>
      </c>
      <c r="X421" s="81" t="n">
        <v>20</v>
      </c>
      <c r="FH421" s="81" t="n">
        <v>30</v>
      </c>
      <c r="FS421" s="81" t="n">
        <v>30</v>
      </c>
    </row>
    <row r="422">
      <c r="A422" s="81" t="inlineStr">
        <is>
          <t>Meteor Beacon</t>
        </is>
      </c>
      <c r="B422" s="81" t="inlineStr">
        <is>
          <t>Aftermath</t>
        </is>
      </c>
      <c r="C422" s="81" t="inlineStr">
        <is>
          <t>control</t>
        </is>
      </c>
      <c r="D422" s="81" t="n">
        <v>3</v>
      </c>
      <c r="E422" s="81">
        <f>ROUND('Towers'!$C$23*POWER('Tuning'!$B$12,D422),0)</f>
        <v/>
      </c>
      <c r="F422" s="81">
        <f>F421+E422</f>
        <v/>
      </c>
      <c r="G422" s="81" t="n">
        <v>2.4</v>
      </c>
      <c r="H422" s="81" t="n">
        <v>1</v>
      </c>
      <c r="I422" s="81" t="n">
        <v>1</v>
      </c>
      <c r="J422" s="81">
        <f>'Towers'!$G$23*G422*H422*I422</f>
        <v/>
      </c>
      <c r="K422" s="81">
        <f>IF(J422=0,0,F422/J422)</f>
        <v/>
      </c>
      <c r="L422" s="81" t="n">
        <v>1</v>
      </c>
      <c r="M422" s="81" t="inlineStr">
        <is>
          <t>Shockwave Ring</t>
        </is>
      </c>
      <c r="W422" s="81" t="n">
        <v>6</v>
      </c>
      <c r="X422" s="81" t="n">
        <v>30</v>
      </c>
      <c r="FH422" s="81" t="n">
        <v>30</v>
      </c>
      <c r="FS422" s="81" t="n">
        <v>30</v>
      </c>
    </row>
    <row r="423">
      <c r="A423" s="81" t="inlineStr">
        <is>
          <t>Meteor Beacon</t>
        </is>
      </c>
      <c r="B423" s="81" t="inlineStr">
        <is>
          <t>Aftermath</t>
        </is>
      </c>
      <c r="C423" s="81" t="inlineStr">
        <is>
          <t>control</t>
        </is>
      </c>
      <c r="D423" s="81" t="n">
        <v>4</v>
      </c>
      <c r="E423" s="81">
        <f>ROUND('Towers'!$C$23*POWER('Tuning'!$B$12,D423),0)</f>
        <v/>
      </c>
      <c r="F423" s="81">
        <f>F422+E423</f>
        <v/>
      </c>
      <c r="G423" s="81" t="n">
        <v>1</v>
      </c>
      <c r="H423" s="81" t="n">
        <v>1</v>
      </c>
      <c r="I423" s="81" t="n">
        <v>1</v>
      </c>
      <c r="J423" s="81">
        <f>J422*G423*H423*I423</f>
        <v/>
      </c>
      <c r="K423" s="81">
        <f>IF(J423=0,0,F423/J423)</f>
        <v/>
      </c>
      <c r="L423" s="81" t="n">
        <v>1</v>
      </c>
      <c r="M423" s="81" t="inlineStr">
        <is>
          <t>Long Burn</t>
        </is>
      </c>
      <c r="X423" s="81" t="n">
        <v>45</v>
      </c>
      <c r="CI423" s="81" t="inlineStr">
        <is>
          <t>A</t>
        </is>
      </c>
      <c r="CJ423" s="81" t="inlineStr">
        <is>
          <t>Craters last 8 s, hotter</t>
        </is>
      </c>
      <c r="FQ423" s="81" t="n">
        <v>8</v>
      </c>
    </row>
    <row r="424">
      <c r="A424" s="81" t="inlineStr">
        <is>
          <t>Meteor Beacon</t>
        </is>
      </c>
      <c r="B424" s="81" t="inlineStr">
        <is>
          <t>Aftermath</t>
        </is>
      </c>
      <c r="C424" s="81" t="inlineStr">
        <is>
          <t>control</t>
        </is>
      </c>
      <c r="D424" s="81" t="n">
        <v>5</v>
      </c>
      <c r="E424" s="81">
        <f>ROUND('Towers'!$C$23*POWER('Tuning'!$B$12,D424),0)</f>
        <v/>
      </c>
      <c r="F424" s="81">
        <f>F423+E424</f>
        <v/>
      </c>
      <c r="G424" s="81" t="n">
        <v>1</v>
      </c>
      <c r="H424" s="81" t="n">
        <v>1</v>
      </c>
      <c r="I424" s="81" t="n">
        <v>1</v>
      </c>
      <c r="J424" s="81">
        <f>J423*G424*H424*I424</f>
        <v/>
      </c>
      <c r="K424" s="81">
        <f>IF(J424=0,0,F424/J424)</f>
        <v/>
      </c>
      <c r="L424" s="81" t="n">
        <v>1</v>
      </c>
      <c r="M424" s="81" t="inlineStr">
        <is>
          <t>Fire Line</t>
        </is>
      </c>
      <c r="X424" s="81" t="n">
        <v>54</v>
      </c>
      <c r="CI424" s="81" t="inlineStr">
        <is>
          <t>A</t>
        </is>
      </c>
      <c r="CJ424" s="81" t="inlineStr">
        <is>
          <t>Craters join into one burning strip</t>
        </is>
      </c>
      <c r="FU424" s="81" t="inlineStr">
        <is>
          <t>Yes</t>
        </is>
      </c>
    </row>
    <row r="425">
      <c r="A425" s="81" t="inlineStr">
        <is>
          <t>Meteor Beacon</t>
        </is>
      </c>
      <c r="B425" s="81" t="inlineStr">
        <is>
          <t>Impact</t>
        </is>
      </c>
      <c r="C425" s="81" t="inlineStr">
        <is>
          <t>damage</t>
        </is>
      </c>
      <c r="D425" s="81" t="n">
        <v>4</v>
      </c>
      <c r="E425" s="81">
        <f>E413</f>
        <v/>
      </c>
      <c r="F425" s="81">
        <f>F413</f>
        <v/>
      </c>
      <c r="G425" s="81" t="n">
        <v>1.8</v>
      </c>
      <c r="H425" s="81" t="n">
        <v>1</v>
      </c>
      <c r="I425" s="81" t="n">
        <v>1</v>
      </c>
      <c r="L425" s="81" t="n">
        <v>1</v>
      </c>
      <c r="M425" s="81" t="inlineStr">
        <is>
          <t>Plate Cracker</t>
        </is>
      </c>
      <c r="N425" s="81" t="inlineStr">
        <is>
          <t>Yes</t>
        </is>
      </c>
      <c r="CI425" s="81" t="inlineStr">
        <is>
          <t>B</t>
        </is>
      </c>
      <c r="CJ425" s="81" t="inlineStr">
        <is>
          <t>Meteors cut through armour</t>
        </is>
      </c>
    </row>
    <row r="426">
      <c r="A426" s="81" t="inlineStr">
        <is>
          <t>Meteor Beacon</t>
        </is>
      </c>
      <c r="B426" s="81" t="inlineStr">
        <is>
          <t>Impact</t>
        </is>
      </c>
      <c r="C426" s="81" t="inlineStr">
        <is>
          <t>damage</t>
        </is>
      </c>
      <c r="D426" s="81" t="n">
        <v>4</v>
      </c>
      <c r="E426" s="81">
        <f>E413</f>
        <v/>
      </c>
      <c r="F426" s="81">
        <f>F413</f>
        <v/>
      </c>
      <c r="G426" s="81" t="n">
        <v>1.25</v>
      </c>
      <c r="H426" s="81" t="n">
        <v>1.5</v>
      </c>
      <c r="I426" s="81" t="n">
        <v>1</v>
      </c>
      <c r="L426" s="81" t="n">
        <v>1</v>
      </c>
      <c r="M426" s="81" t="inlineStr">
        <is>
          <t>Quick Call</t>
        </is>
      </c>
      <c r="CI426" s="81" t="inlineStr">
        <is>
          <t>C</t>
        </is>
      </c>
      <c r="CJ426" s="81" t="inlineStr">
        <is>
          <t>Meteors fall 50% more often</t>
        </is>
      </c>
    </row>
    <row r="427">
      <c r="A427" s="81" t="inlineStr">
        <is>
          <t>Meteor Beacon</t>
        </is>
      </c>
      <c r="B427" s="81" t="inlineStr">
        <is>
          <t>Impact</t>
        </is>
      </c>
      <c r="C427" s="81" t="inlineStr">
        <is>
          <t>damage</t>
        </is>
      </c>
      <c r="D427" s="81" t="n">
        <v>5</v>
      </c>
      <c r="E427" s="81">
        <f>E414</f>
        <v/>
      </c>
      <c r="F427" s="81">
        <f>F414</f>
        <v/>
      </c>
      <c r="G427" s="81" t="n">
        <v>1.9</v>
      </c>
      <c r="H427" s="81" t="n">
        <v>1</v>
      </c>
      <c r="I427" s="81" t="n">
        <v>1</v>
      </c>
      <c r="L427" s="81" t="n">
        <v>1</v>
      </c>
      <c r="M427" s="81" t="inlineStr">
        <is>
          <t>Dino Killer</t>
        </is>
      </c>
      <c r="CI427" s="81" t="inlineStr">
        <is>
          <t>B</t>
        </is>
      </c>
      <c r="CJ427" s="81" t="inlineStr">
        <is>
          <t>Breaks the biggest dino it hits 2 extra sizes</t>
        </is>
      </c>
      <c r="FZ427" s="81" t="n">
        <v>2</v>
      </c>
    </row>
    <row r="428">
      <c r="A428" s="81" t="inlineStr">
        <is>
          <t>Meteor Beacon</t>
        </is>
      </c>
      <c r="B428" s="81" t="inlineStr">
        <is>
          <t>Impact</t>
        </is>
      </c>
      <c r="C428" s="81" t="inlineStr">
        <is>
          <t>damage</t>
        </is>
      </c>
      <c r="D428" s="81" t="n">
        <v>5</v>
      </c>
      <c r="E428" s="81">
        <f>E414</f>
        <v/>
      </c>
      <c r="F428" s="81">
        <f>F414</f>
        <v/>
      </c>
      <c r="G428" s="81" t="n">
        <v>1.9</v>
      </c>
      <c r="H428" s="81" t="n">
        <v>1</v>
      </c>
      <c r="I428" s="81" t="n">
        <v>1</v>
      </c>
      <c r="L428" s="81" t="n">
        <v>1</v>
      </c>
      <c r="M428" s="81" t="inlineStr">
        <is>
          <t>Impact Winter</t>
        </is>
      </c>
      <c r="CI428" s="81" t="inlineStr">
        <is>
          <t>C</t>
        </is>
      </c>
      <c r="CJ428" s="81" t="inlineStr">
        <is>
          <t>Every dino on your side slowed after each hit</t>
        </is>
      </c>
      <c r="FX428" s="81" t="n">
        <v>30</v>
      </c>
      <c r="FY428" s="81" t="n">
        <v>3</v>
      </c>
    </row>
    <row r="429">
      <c r="A429" s="81" t="inlineStr">
        <is>
          <t>Meteor Beacon</t>
        </is>
      </c>
      <c r="B429" s="81" t="inlineStr">
        <is>
          <t>Sky Rocks</t>
        </is>
      </c>
      <c r="C429" s="81" t="inlineStr">
        <is>
          <t>damage</t>
        </is>
      </c>
      <c r="D429" s="81" t="n">
        <v>4</v>
      </c>
      <c r="E429" s="81">
        <f>E418</f>
        <v/>
      </c>
      <c r="F429" s="81">
        <f>F418</f>
        <v/>
      </c>
      <c r="G429" s="81" t="n">
        <v>1.75</v>
      </c>
      <c r="H429" s="81" t="n">
        <v>1</v>
      </c>
      <c r="I429" s="81" t="n">
        <v>1</v>
      </c>
      <c r="L429" s="81" t="n">
        <v>1</v>
      </c>
      <c r="M429" s="81" t="inlineStr">
        <is>
          <t>Scatter Field</t>
        </is>
      </c>
      <c r="CI429" s="81" t="inlineStr">
        <is>
          <t>B</t>
        </is>
      </c>
      <c r="CJ429" s="81" t="inlineStr">
        <is>
          <t>Meteors land all along the track</t>
        </is>
      </c>
      <c r="FN429" s="81" t="inlineStr">
        <is>
          <t>Yes</t>
        </is>
      </c>
    </row>
    <row r="430">
      <c r="A430" s="81" t="inlineStr">
        <is>
          <t>Meteor Beacon</t>
        </is>
      </c>
      <c r="B430" s="81" t="inlineStr">
        <is>
          <t>Sky Rocks</t>
        </is>
      </c>
      <c r="C430" s="81" t="inlineStr">
        <is>
          <t>damage</t>
        </is>
      </c>
      <c r="D430" s="81" t="n">
        <v>4</v>
      </c>
      <c r="E430" s="81">
        <f>E418</f>
        <v/>
      </c>
      <c r="F430" s="81">
        <f>F418</f>
        <v/>
      </c>
      <c r="G430" s="81" t="n">
        <v>1.6</v>
      </c>
      <c r="H430" s="81" t="n">
        <v>1</v>
      </c>
      <c r="I430" s="81" t="n">
        <v>1</v>
      </c>
      <c r="L430" s="81" t="n">
        <v>1</v>
      </c>
      <c r="M430" s="81" t="inlineStr">
        <is>
          <t>Cinder Trail</t>
        </is>
      </c>
      <c r="X430" s="81" t="n">
        <v>20</v>
      </c>
      <c r="CI430" s="81" t="inlineStr">
        <is>
          <t>C</t>
        </is>
      </c>
      <c r="CJ430" s="81" t="inlineStr">
        <is>
          <t>Small meteors leave a burning streak</t>
        </is>
      </c>
      <c r="FV430" s="81" t="inlineStr">
        <is>
          <t>Yes</t>
        </is>
      </c>
    </row>
    <row r="431">
      <c r="A431" s="81" t="inlineStr">
        <is>
          <t>Meteor Beacon</t>
        </is>
      </c>
      <c r="B431" s="81" t="inlineStr">
        <is>
          <t>Sky Rocks</t>
        </is>
      </c>
      <c r="C431" s="81" t="inlineStr">
        <is>
          <t>damage</t>
        </is>
      </c>
      <c r="D431" s="81" t="n">
        <v>5</v>
      </c>
      <c r="E431" s="81">
        <f>E419</f>
        <v/>
      </c>
      <c r="F431" s="81">
        <f>F419</f>
        <v/>
      </c>
      <c r="G431" s="81" t="n">
        <v>1.7</v>
      </c>
      <c r="H431" s="81" t="n">
        <v>1</v>
      </c>
      <c r="I431" s="81" t="n">
        <v>1</v>
      </c>
      <c r="L431" s="81" t="n">
        <v>1</v>
      </c>
      <c r="M431" s="81" t="inlineStr">
        <is>
          <t>Comet Tail</t>
        </is>
      </c>
      <c r="CI431" s="81" t="inlineStr">
        <is>
          <t>B</t>
        </is>
      </c>
      <c r="CJ431" s="81" t="inlineStr">
        <is>
          <t>A comet sweeps the whole track once a round</t>
        </is>
      </c>
      <c r="CS431" s="81" t="n">
        <v>6</v>
      </c>
      <c r="FK431" s="81" t="inlineStr">
        <is>
          <t>Yes</t>
        </is>
      </c>
    </row>
    <row r="432">
      <c r="A432" s="81" t="inlineStr">
        <is>
          <t>Meteor Beacon</t>
        </is>
      </c>
      <c r="B432" s="81" t="inlineStr">
        <is>
          <t>Sky Rocks</t>
        </is>
      </c>
      <c r="C432" s="81" t="inlineStr">
        <is>
          <t>damage</t>
        </is>
      </c>
      <c r="D432" s="81" t="n">
        <v>5</v>
      </c>
      <c r="E432" s="81">
        <f>E419</f>
        <v/>
      </c>
      <c r="F432" s="81">
        <f>F419</f>
        <v/>
      </c>
      <c r="G432" s="81" t="n">
        <v>1.95</v>
      </c>
      <c r="H432" s="81" t="n">
        <v>1</v>
      </c>
      <c r="I432" s="81" t="n">
        <v>1</v>
      </c>
      <c r="L432" s="81" t="n">
        <v>1</v>
      </c>
      <c r="M432" s="81" t="inlineStr">
        <is>
          <t>Shooting Stars</t>
        </is>
      </c>
      <c r="CI432" s="81" t="inlineStr">
        <is>
          <t>C</t>
        </is>
      </c>
      <c r="CJ432" s="81" t="inlineStr">
        <is>
          <t>Meteors can hit flyers</t>
        </is>
      </c>
      <c r="DW432" s="81" t="inlineStr">
        <is>
          <t>Yes</t>
        </is>
      </c>
    </row>
    <row r="433">
      <c r="A433" s="81" t="inlineStr">
        <is>
          <t>Meteor Beacon</t>
        </is>
      </c>
      <c r="B433" s="81" t="inlineStr">
        <is>
          <t>Aftermath</t>
        </is>
      </c>
      <c r="C433" s="81" t="inlineStr">
        <is>
          <t>control</t>
        </is>
      </c>
      <c r="D433" s="81" t="n">
        <v>4</v>
      </c>
      <c r="E433" s="81">
        <f>E423</f>
        <v/>
      </c>
      <c r="F433" s="81">
        <f>F423</f>
        <v/>
      </c>
      <c r="G433" s="81" t="n">
        <v>1</v>
      </c>
      <c r="H433" s="81" t="n">
        <v>1</v>
      </c>
      <c r="I433" s="81" t="n">
        <v>1</v>
      </c>
      <c r="L433" s="81" t="n">
        <v>1</v>
      </c>
      <c r="M433" s="81" t="inlineStr">
        <is>
          <t>Glass Crater</t>
        </is>
      </c>
      <c r="X433" s="81" t="n">
        <v>40</v>
      </c>
      <c r="AM433" s="81" t="inlineStr">
        <is>
          <t>Yes</t>
        </is>
      </c>
      <c r="CI433" s="81" t="inlineStr">
        <is>
          <t>B</t>
        </is>
      </c>
      <c r="CJ433" s="81" t="inlineStr">
        <is>
          <t>Craters strip armour</t>
        </is>
      </c>
    </row>
    <row r="434">
      <c r="A434" s="81" t="inlineStr">
        <is>
          <t>Meteor Beacon</t>
        </is>
      </c>
      <c r="B434" s="81" t="inlineStr">
        <is>
          <t>Aftermath</t>
        </is>
      </c>
      <c r="C434" s="81" t="inlineStr">
        <is>
          <t>control</t>
        </is>
      </c>
      <c r="D434" s="81" t="n">
        <v>4</v>
      </c>
      <c r="E434" s="81">
        <f>E423</f>
        <v/>
      </c>
      <c r="F434" s="81">
        <f>F423</f>
        <v/>
      </c>
      <c r="G434" s="81" t="n">
        <v>1</v>
      </c>
      <c r="H434" s="81" t="n">
        <v>1</v>
      </c>
      <c r="I434" s="81" t="n">
        <v>1</v>
      </c>
      <c r="L434" s="81" t="n">
        <v>1</v>
      </c>
      <c r="M434" s="81" t="inlineStr">
        <is>
          <t>Scorch Marks</t>
        </is>
      </c>
      <c r="X434" s="81" t="n">
        <v>40</v>
      </c>
      <c r="CI434" s="81" t="inlineStr">
        <is>
          <t>C</t>
        </is>
      </c>
      <c r="CJ434" s="81" t="inlineStr">
        <is>
          <t>Dinos crossing a crater take +15%</t>
        </is>
      </c>
      <c r="FR434" s="81" t="n">
        <v>15</v>
      </c>
    </row>
    <row r="435">
      <c r="A435" s="81" t="inlineStr">
        <is>
          <t>Meteor Beacon</t>
        </is>
      </c>
      <c r="B435" s="81" t="inlineStr">
        <is>
          <t>Aftermath</t>
        </is>
      </c>
      <c r="C435" s="81" t="inlineStr">
        <is>
          <t>control</t>
        </is>
      </c>
      <c r="D435" s="81" t="n">
        <v>5</v>
      </c>
      <c r="E435" s="81">
        <f>E424</f>
        <v/>
      </c>
      <c r="F435" s="81">
        <f>F424</f>
        <v/>
      </c>
      <c r="G435" s="81" t="n">
        <v>1</v>
      </c>
      <c r="H435" s="81" t="n">
        <v>1</v>
      </c>
      <c r="I435" s="81" t="n">
        <v>1</v>
      </c>
      <c r="L435" s="81" t="n">
        <v>1</v>
      </c>
      <c r="M435" s="81" t="inlineStr">
        <is>
          <t>Blinding Dust</t>
        </is>
      </c>
      <c r="X435" s="81" t="n">
        <v>55</v>
      </c>
      <c r="CI435" s="81" t="inlineStr">
        <is>
          <t>B</t>
        </is>
      </c>
      <c r="CJ435" s="81" t="inlineStr">
        <is>
          <t>Dinos in the ash can't bite or throw</t>
        </is>
      </c>
      <c r="FH435" s="81" t="n">
        <v>100</v>
      </c>
      <c r="FS435" s="81" t="n">
        <v>100</v>
      </c>
    </row>
    <row r="436">
      <c r="A436" s="81" t="inlineStr">
        <is>
          <t>Meteor Beacon</t>
        </is>
      </c>
      <c r="B436" s="81" t="inlineStr">
        <is>
          <t>Aftermath</t>
        </is>
      </c>
      <c r="C436" s="81" t="inlineStr">
        <is>
          <t>control</t>
        </is>
      </c>
      <c r="D436" s="81" t="n">
        <v>5</v>
      </c>
      <c r="E436" s="81">
        <f>E424</f>
        <v/>
      </c>
      <c r="F436" s="81">
        <f>F424</f>
        <v/>
      </c>
      <c r="G436" s="81" t="n">
        <v>1.6</v>
      </c>
      <c r="H436" s="81" t="n">
        <v>1</v>
      </c>
      <c r="I436" s="81" t="n">
        <v>1</v>
      </c>
      <c r="L436" s="81" t="n">
        <v>1</v>
      </c>
      <c r="M436" s="81" t="inlineStr">
        <is>
          <t>New Ice Age</t>
        </is>
      </c>
      <c r="CI436" s="81" t="inlineStr">
        <is>
          <t>C</t>
        </is>
      </c>
      <c r="CJ436" s="81" t="inlineStr">
        <is>
          <t>Craters freeze dinos solid for 2 s</t>
        </is>
      </c>
      <c r="FT436" s="81" t="n">
        <v>2</v>
      </c>
    </row>
    <row r="437">
      <c r="A437" s="81" t="inlineStr">
        <is>
          <t>Volcano Vent</t>
        </is>
      </c>
      <c r="B437" s="81" t="inlineStr">
        <is>
          <t>Magma</t>
        </is>
      </c>
      <c r="C437" s="81" t="inlineStr">
        <is>
          <t>damage</t>
        </is>
      </c>
      <c r="D437" s="81" t="n">
        <v>1</v>
      </c>
      <c r="E437" s="81">
        <f>ROUND('Towers'!$C$24*POWER('Tuning'!$B$12,D437),0)</f>
        <v/>
      </c>
      <c r="F437" s="81">
        <f>'Towers'!$C$24+E437</f>
        <v/>
      </c>
      <c r="G437" s="81" t="n">
        <v>1.6</v>
      </c>
      <c r="H437" s="81" t="n">
        <v>1</v>
      </c>
      <c r="I437" s="81" t="n">
        <v>1</v>
      </c>
      <c r="J437" s="81">
        <f>'Towers'!$G$24*G437*H437*I437</f>
        <v/>
      </c>
      <c r="K437" s="81">
        <f>IF(J437=0,0,F437/J437)</f>
        <v/>
      </c>
      <c r="L437" s="81" t="n">
        <v>1</v>
      </c>
      <c r="M437" s="81" t="inlineStr">
        <is>
          <t>Hot Rock</t>
        </is>
      </c>
    </row>
    <row r="438">
      <c r="A438" s="81" t="inlineStr">
        <is>
          <t>Volcano Vent</t>
        </is>
      </c>
      <c r="B438" s="81" t="inlineStr">
        <is>
          <t>Magma</t>
        </is>
      </c>
      <c r="C438" s="81" t="inlineStr">
        <is>
          <t>damage</t>
        </is>
      </c>
      <c r="D438" s="81" t="n">
        <v>2</v>
      </c>
      <c r="E438" s="81">
        <f>ROUND('Towers'!$C$24*POWER('Tuning'!$B$12,D438),0)</f>
        <v/>
      </c>
      <c r="F438" s="81">
        <f>F437+E438</f>
        <v/>
      </c>
      <c r="G438" s="81" t="n">
        <v>3</v>
      </c>
      <c r="H438" s="81" t="n">
        <v>1</v>
      </c>
      <c r="I438" s="81" t="n">
        <v>1</v>
      </c>
      <c r="J438" s="81">
        <f>'Towers'!$G$24*G438*H438*I438</f>
        <v/>
      </c>
      <c r="K438" s="81">
        <f>IF(J438=0,0,F438/J438)</f>
        <v/>
      </c>
      <c r="L438" s="81" t="n">
        <v>1</v>
      </c>
      <c r="M438" s="81" t="inlineStr">
        <is>
          <t>Searing Flow</t>
        </is>
      </c>
    </row>
    <row r="439">
      <c r="A439" s="81" t="inlineStr">
        <is>
          <t>Volcano Vent</t>
        </is>
      </c>
      <c r="B439" s="81" t="inlineStr">
        <is>
          <t>Magma</t>
        </is>
      </c>
      <c r="C439" s="81" t="inlineStr">
        <is>
          <t>damage</t>
        </is>
      </c>
      <c r="D439" s="81" t="n">
        <v>3</v>
      </c>
      <c r="E439" s="81">
        <f>ROUND('Towers'!$C$24*POWER('Tuning'!$B$12,D439),0)</f>
        <v/>
      </c>
      <c r="F439" s="81">
        <f>F438+E439</f>
        <v/>
      </c>
      <c r="G439" s="81" t="n">
        <v>5.4</v>
      </c>
      <c r="H439" s="81" t="n">
        <v>1</v>
      </c>
      <c r="I439" s="81" t="n">
        <v>1</v>
      </c>
      <c r="J439" s="81">
        <f>'Towers'!$G$24*G439*H439*I439</f>
        <v/>
      </c>
      <c r="K439" s="81">
        <f>IF(J439=0,0,F439/J439)</f>
        <v/>
      </c>
      <c r="L439" s="81" t="n">
        <v>1</v>
      </c>
      <c r="M439" s="81" t="inlineStr">
        <is>
          <t>Lava Lake</t>
        </is>
      </c>
      <c r="GA439" s="81" t="n">
        <v>10</v>
      </c>
      <c r="GC439" s="81" t="inlineStr">
        <is>
          <t>Yes</t>
        </is>
      </c>
    </row>
    <row r="440">
      <c r="A440" s="81" t="inlineStr">
        <is>
          <t>Volcano Vent</t>
        </is>
      </c>
      <c r="B440" s="81" t="inlineStr">
        <is>
          <t>Magma</t>
        </is>
      </c>
      <c r="C440" s="81" t="inlineStr">
        <is>
          <t>damage</t>
        </is>
      </c>
      <c r="D440" s="81" t="n">
        <v>4</v>
      </c>
      <c r="E440" s="81">
        <f>ROUND('Towers'!$C$24*POWER('Tuning'!$B$12,D440),0)</f>
        <v/>
      </c>
      <c r="F440" s="81">
        <f>F439+E440</f>
        <v/>
      </c>
      <c r="G440" s="81" t="n">
        <v>1.75</v>
      </c>
      <c r="H440" s="81" t="n">
        <v>1</v>
      </c>
      <c r="I440" s="81" t="n">
        <v>1</v>
      </c>
      <c r="J440" s="81">
        <f>J439*G440*H440*I440</f>
        <v/>
      </c>
      <c r="K440" s="81">
        <f>IF(J440=0,0,F440/J440)</f>
        <v/>
      </c>
      <c r="L440" s="81" t="n">
        <v>1</v>
      </c>
      <c r="M440" s="81" t="inlineStr">
        <is>
          <t>White Hot</t>
        </is>
      </c>
      <c r="N440" s="81" t="inlineStr">
        <is>
          <t>Yes</t>
        </is>
      </c>
      <c r="CI440" s="81" t="inlineStr">
        <is>
          <t>A</t>
        </is>
      </c>
      <c r="CJ440" s="81" t="inlineStr">
        <is>
          <t>Lava melts armour</t>
        </is>
      </c>
    </row>
    <row r="441">
      <c r="A441" s="81" t="inlineStr">
        <is>
          <t>Volcano Vent</t>
        </is>
      </c>
      <c r="B441" s="81" t="inlineStr">
        <is>
          <t>Magma</t>
        </is>
      </c>
      <c r="C441" s="81" t="inlineStr">
        <is>
          <t>damage</t>
        </is>
      </c>
      <c r="D441" s="81" t="n">
        <v>5</v>
      </c>
      <c r="E441" s="81">
        <f>ROUND('Towers'!$C$24*POWER('Tuning'!$B$12,D441),0)</f>
        <v/>
      </c>
      <c r="F441" s="81">
        <f>F440+E441</f>
        <v/>
      </c>
      <c r="G441" s="81" t="n">
        <v>1.5</v>
      </c>
      <c r="H441" s="81" t="n">
        <v>1</v>
      </c>
      <c r="I441" s="81" t="n">
        <v>1</v>
      </c>
      <c r="J441" s="81">
        <f>J440*G441*H441*I441</f>
        <v/>
      </c>
      <c r="K441" s="81">
        <f>IF(J441=0,0,F441/J441)</f>
        <v/>
      </c>
      <c r="L441" s="81" t="n">
        <v>1</v>
      </c>
      <c r="M441" s="81" t="inlineStr">
        <is>
          <t>Supervolcano</t>
        </is>
      </c>
      <c r="CI441" s="81" t="inlineStr">
        <is>
          <t>A</t>
        </is>
      </c>
      <c r="CJ441" s="81" t="inlineStr">
        <is>
          <t>Floods the whole track once a round</t>
        </is>
      </c>
      <c r="GI441" s="81" t="inlineStr">
        <is>
          <t>Yes</t>
        </is>
      </c>
    </row>
    <row r="442">
      <c r="A442" s="81" t="inlineStr">
        <is>
          <t>Volcano Vent</t>
        </is>
      </c>
      <c r="B442" s="81" t="inlineStr">
        <is>
          <t>Pressure</t>
        </is>
      </c>
      <c r="C442" s="81" t="inlineStr">
        <is>
          <t>damage</t>
        </is>
      </c>
      <c r="D442" s="81" t="n">
        <v>1</v>
      </c>
      <c r="E442" s="81">
        <f>ROUND('Towers'!$C$24*POWER('Tuning'!$B$12,D442),0)</f>
        <v/>
      </c>
      <c r="F442" s="81">
        <f>'Towers'!$C$24+E442</f>
        <v/>
      </c>
      <c r="G442" s="81" t="n">
        <v>1.2</v>
      </c>
      <c r="H442" s="81" t="n">
        <v>1.33</v>
      </c>
      <c r="I442" s="81" t="n">
        <v>1</v>
      </c>
      <c r="J442" s="81">
        <f>'Towers'!$G$24*G442*H442*I442</f>
        <v/>
      </c>
      <c r="K442" s="81">
        <f>IF(J442=0,0,F442/J442)</f>
        <v/>
      </c>
      <c r="L442" s="81" t="n">
        <v>1</v>
      </c>
      <c r="M442" s="81" t="inlineStr">
        <is>
          <t>Shorter Fuse</t>
        </is>
      </c>
    </row>
    <row r="443">
      <c r="A443" s="81" t="inlineStr">
        <is>
          <t>Volcano Vent</t>
        </is>
      </c>
      <c r="B443" s="81" t="inlineStr">
        <is>
          <t>Pressure</t>
        </is>
      </c>
      <c r="C443" s="81" t="inlineStr">
        <is>
          <t>damage</t>
        </is>
      </c>
      <c r="D443" s="81" t="n">
        <v>2</v>
      </c>
      <c r="E443" s="81">
        <f>ROUND('Towers'!$C$24*POWER('Tuning'!$B$12,D443),0)</f>
        <v/>
      </c>
      <c r="F443" s="81">
        <f>F442+E443</f>
        <v/>
      </c>
      <c r="G443" s="81" t="n">
        <v>1.5</v>
      </c>
      <c r="H443" s="81" t="n">
        <v>2</v>
      </c>
      <c r="I443" s="81" t="n">
        <v>1</v>
      </c>
      <c r="J443" s="81">
        <f>'Towers'!$G$24*G443*H443*I443</f>
        <v/>
      </c>
      <c r="K443" s="81">
        <f>IF(J443=0,0,F443/J443)</f>
        <v/>
      </c>
      <c r="L443" s="81" t="n">
        <v>1</v>
      </c>
      <c r="M443" s="81" t="inlineStr">
        <is>
          <t>Twin Vents</t>
        </is>
      </c>
    </row>
    <row r="444">
      <c r="A444" s="81" t="inlineStr">
        <is>
          <t>Volcano Vent</t>
        </is>
      </c>
      <c r="B444" s="81" t="inlineStr">
        <is>
          <t>Pressure</t>
        </is>
      </c>
      <c r="C444" s="81" t="inlineStr">
        <is>
          <t>damage</t>
        </is>
      </c>
      <c r="D444" s="81" t="n">
        <v>3</v>
      </c>
      <c r="E444" s="81">
        <f>ROUND('Towers'!$C$24*POWER('Tuning'!$B$12,D444),0)</f>
        <v/>
      </c>
      <c r="F444" s="81">
        <f>F443+E444</f>
        <v/>
      </c>
      <c r="G444" s="81" t="n">
        <v>2.5</v>
      </c>
      <c r="H444" s="81" t="n">
        <v>2</v>
      </c>
      <c r="I444" s="81" t="n">
        <v>1</v>
      </c>
      <c r="J444" s="81">
        <f>'Towers'!$G$24*G444*H444*I444</f>
        <v/>
      </c>
      <c r="K444" s="81">
        <f>IF(J444=0,0,F444/J444)</f>
        <v/>
      </c>
      <c r="L444" s="81" t="n">
        <v>1</v>
      </c>
      <c r="M444" s="81" t="inlineStr">
        <is>
          <t>Geyser</t>
        </is>
      </c>
      <c r="GD444" s="81" t="n">
        <v>5</v>
      </c>
    </row>
    <row r="445">
      <c r="A445" s="81" t="inlineStr">
        <is>
          <t>Volcano Vent</t>
        </is>
      </c>
      <c r="B445" s="81" t="inlineStr">
        <is>
          <t>Pressure</t>
        </is>
      </c>
      <c r="C445" s="81" t="inlineStr">
        <is>
          <t>damage</t>
        </is>
      </c>
      <c r="D445" s="81" t="n">
        <v>4</v>
      </c>
      <c r="E445" s="81">
        <f>ROUND('Towers'!$C$24*POWER('Tuning'!$B$12,D445),0)</f>
        <v/>
      </c>
      <c r="F445" s="81">
        <f>F444+E445</f>
        <v/>
      </c>
      <c r="G445" s="81" t="n">
        <v>1.75</v>
      </c>
      <c r="H445" s="81" t="n">
        <v>1</v>
      </c>
      <c r="I445" s="81" t="n">
        <v>1</v>
      </c>
      <c r="J445" s="81">
        <f>J444*G445*H445*I445</f>
        <v/>
      </c>
      <c r="K445" s="81">
        <f>IF(J445=0,0,F445/J445)</f>
        <v/>
      </c>
      <c r="L445" s="81" t="n">
        <v>1</v>
      </c>
      <c r="M445" s="81" t="inlineStr">
        <is>
          <t>Steam Burst</t>
        </is>
      </c>
      <c r="W445" s="81" t="n">
        <v>6</v>
      </c>
      <c r="CI445" s="81" t="inlineStr">
        <is>
          <t>A</t>
        </is>
      </c>
      <c r="CJ445" s="81" t="inlineStr">
        <is>
          <t>Eruptions knock small dinos back</t>
        </is>
      </c>
    </row>
    <row r="446">
      <c r="A446" s="81" t="inlineStr">
        <is>
          <t>Volcano Vent</t>
        </is>
      </c>
      <c r="B446" s="81" t="inlineStr">
        <is>
          <t>Pressure</t>
        </is>
      </c>
      <c r="C446" s="81" t="inlineStr">
        <is>
          <t>damage</t>
        </is>
      </c>
      <c r="D446" s="81" t="n">
        <v>5</v>
      </c>
      <c r="E446" s="81">
        <f>ROUND('Towers'!$C$24*POWER('Tuning'!$B$12,D446),0)</f>
        <v/>
      </c>
      <c r="F446" s="81">
        <f>F445+E446</f>
        <v/>
      </c>
      <c r="G446" s="81" t="n">
        <v>0.85</v>
      </c>
      <c r="H446" s="81" t="n">
        <v>1</v>
      </c>
      <c r="I446" s="81" t="n">
        <v>1</v>
      </c>
      <c r="J446" s="81">
        <f>J445*G446*H446*I446</f>
        <v/>
      </c>
      <c r="K446" s="81">
        <f>IF(J446=0,0,F446/J446)</f>
        <v/>
      </c>
      <c r="L446" s="81" t="n">
        <v>1</v>
      </c>
      <c r="M446" s="81" t="inlineStr">
        <is>
          <t>Ring of Fire</t>
        </is>
      </c>
      <c r="CI446" s="81" t="inlineStr">
        <is>
          <t>A</t>
        </is>
      </c>
      <c r="CJ446" s="81" t="inlineStr">
        <is>
          <t>3 small vents erupt in turn</t>
        </is>
      </c>
      <c r="GE446" s="81" t="n">
        <v>3</v>
      </c>
    </row>
    <row r="447">
      <c r="A447" s="81" t="inlineStr">
        <is>
          <t>Volcano Vent</t>
        </is>
      </c>
      <c r="B447" s="81" t="inlineStr">
        <is>
          <t>Obsidian</t>
        </is>
      </c>
      <c r="C447" s="81" t="inlineStr">
        <is>
          <t>control</t>
        </is>
      </c>
      <c r="D447" s="81" t="n">
        <v>1</v>
      </c>
      <c r="E447" s="81">
        <f>ROUND('Towers'!$C$24*POWER('Tuning'!$B$12,D447),0)</f>
        <v/>
      </c>
      <c r="F447" s="81">
        <f>'Towers'!$C$24+E447</f>
        <v/>
      </c>
      <c r="G447" s="81" t="n">
        <v>1</v>
      </c>
      <c r="H447" s="81" t="n">
        <v>1</v>
      </c>
      <c r="I447" s="81" t="n">
        <v>1</v>
      </c>
      <c r="J447" s="81">
        <f>'Towers'!$G$24*G447*H447*I447</f>
        <v/>
      </c>
      <c r="K447" s="81">
        <f>IF(J447=0,0,F447/J447)</f>
        <v/>
      </c>
      <c r="L447" s="81" t="n">
        <v>1</v>
      </c>
      <c r="M447" s="81" t="inlineStr">
        <is>
          <t>Cooling Crust</t>
        </is>
      </c>
      <c r="GJ447" s="81" t="inlineStr">
        <is>
          <t>Yes</t>
        </is>
      </c>
    </row>
    <row r="448">
      <c r="A448" s="81" t="inlineStr">
        <is>
          <t>Volcano Vent</t>
        </is>
      </c>
      <c r="B448" s="81" t="inlineStr">
        <is>
          <t>Obsidian</t>
        </is>
      </c>
      <c r="C448" s="81" t="inlineStr">
        <is>
          <t>control</t>
        </is>
      </c>
      <c r="D448" s="81" t="n">
        <v>2</v>
      </c>
      <c r="E448" s="81">
        <f>ROUND('Towers'!$C$24*POWER('Tuning'!$B$12,D448),0)</f>
        <v/>
      </c>
      <c r="F448" s="81">
        <f>F447+E448</f>
        <v/>
      </c>
      <c r="G448" s="81" t="n">
        <v>1</v>
      </c>
      <c r="H448" s="81" t="n">
        <v>1</v>
      </c>
      <c r="I448" s="81" t="n">
        <v>1</v>
      </c>
      <c r="J448" s="81">
        <f>'Towers'!$G$24*G448*H448*I448</f>
        <v/>
      </c>
      <c r="K448" s="81">
        <f>IF(J448=0,0,F448/J448)</f>
        <v/>
      </c>
      <c r="L448" s="81" t="n">
        <v>1</v>
      </c>
      <c r="M448" s="81" t="inlineStr">
        <is>
          <t>Sharp Glass</t>
        </is>
      </c>
      <c r="AM448" s="81" t="inlineStr">
        <is>
          <t>Yes</t>
        </is>
      </c>
      <c r="GJ448" s="81" t="inlineStr">
        <is>
          <t>Yes</t>
        </is>
      </c>
    </row>
    <row r="449">
      <c r="A449" s="81" t="inlineStr">
        <is>
          <t>Volcano Vent</t>
        </is>
      </c>
      <c r="B449" s="81" t="inlineStr">
        <is>
          <t>Obsidian</t>
        </is>
      </c>
      <c r="C449" s="81" t="inlineStr">
        <is>
          <t>control</t>
        </is>
      </c>
      <c r="D449" s="81" t="n">
        <v>3</v>
      </c>
      <c r="E449" s="81">
        <f>ROUND('Towers'!$C$24*POWER('Tuning'!$B$12,D449),0)</f>
        <v/>
      </c>
      <c r="F449" s="81">
        <f>F448+E449</f>
        <v/>
      </c>
      <c r="G449" s="81" t="n">
        <v>1</v>
      </c>
      <c r="H449" s="81" t="n">
        <v>1</v>
      </c>
      <c r="I449" s="81" t="n">
        <v>1</v>
      </c>
      <c r="J449" s="81">
        <f>'Towers'!$G$24*G449*H449*I449</f>
        <v/>
      </c>
      <c r="K449" s="81">
        <f>IF(J449=0,0,F449/J449)</f>
        <v/>
      </c>
      <c r="L449" s="81" t="n">
        <v>1</v>
      </c>
      <c r="M449" s="81" t="inlineStr">
        <is>
          <t>Obsidian Wall</t>
        </is>
      </c>
      <c r="AM449" s="81" t="inlineStr">
        <is>
          <t>Yes</t>
        </is>
      </c>
      <c r="DL449" s="81" t="n">
        <v>2</v>
      </c>
      <c r="GJ449" s="81" t="inlineStr">
        <is>
          <t>Yes</t>
        </is>
      </c>
    </row>
    <row r="450">
      <c r="A450" s="81" t="inlineStr">
        <is>
          <t>Volcano Vent</t>
        </is>
      </c>
      <c r="B450" s="81" t="inlineStr">
        <is>
          <t>Obsidian</t>
        </is>
      </c>
      <c r="C450" s="81" t="inlineStr">
        <is>
          <t>control</t>
        </is>
      </c>
      <c r="D450" s="81" t="n">
        <v>4</v>
      </c>
      <c r="E450" s="81">
        <f>ROUND('Towers'!$C$24*POWER('Tuning'!$B$12,D450),0)</f>
        <v/>
      </c>
      <c r="F450" s="81">
        <f>F449+E450</f>
        <v/>
      </c>
      <c r="G450" s="81" t="n">
        <v>1</v>
      </c>
      <c r="H450" s="81" t="n">
        <v>1</v>
      </c>
      <c r="I450" s="81" t="n">
        <v>1</v>
      </c>
      <c r="J450" s="81">
        <f>J449*G450*H450*I450</f>
        <v/>
      </c>
      <c r="K450" s="81">
        <f>IF(J450=0,0,F450/J450)</f>
        <v/>
      </c>
      <c r="L450" s="81" t="n">
        <v>1</v>
      </c>
      <c r="M450" s="81" t="inlineStr">
        <is>
          <t>Jagged Crust</t>
        </is>
      </c>
      <c r="CI450" s="81" t="inlineStr">
        <is>
          <t>A</t>
        </is>
      </c>
      <c r="CJ450" s="81" t="inlineStr">
        <is>
          <t>The crust cuts dinos</t>
        </is>
      </c>
      <c r="GK450" s="81" t="n">
        <v>35</v>
      </c>
    </row>
    <row r="451">
      <c r="A451" s="81" t="inlineStr">
        <is>
          <t>Volcano Vent</t>
        </is>
      </c>
      <c r="B451" s="81" t="inlineStr">
        <is>
          <t>Obsidian</t>
        </is>
      </c>
      <c r="C451" s="81" t="inlineStr">
        <is>
          <t>control</t>
        </is>
      </c>
      <c r="D451" s="81" t="n">
        <v>5</v>
      </c>
      <c r="E451" s="81">
        <f>ROUND('Towers'!$C$24*POWER('Tuning'!$B$12,D451),0)</f>
        <v/>
      </c>
      <c r="F451" s="81">
        <f>F450+E451</f>
        <v/>
      </c>
      <c r="G451" s="81" t="n">
        <v>1</v>
      </c>
      <c r="H451" s="81" t="n">
        <v>1</v>
      </c>
      <c r="I451" s="81" t="n">
        <v>1</v>
      </c>
      <c r="J451" s="81">
        <f>J450*G451*H451*I451</f>
        <v/>
      </c>
      <c r="K451" s="81">
        <f>IF(J451=0,0,F451/J451)</f>
        <v/>
      </c>
      <c r="L451" s="81" t="n">
        <v>1</v>
      </c>
      <c r="M451" s="81" t="inlineStr">
        <is>
          <t>Glass Maze</t>
        </is>
      </c>
      <c r="CI451" s="81" t="inlineStr">
        <is>
          <t>A</t>
        </is>
      </c>
      <c r="CJ451" s="81" t="inlineStr">
        <is>
          <t>The crust makes dinos walk 12 studs further</t>
        </is>
      </c>
      <c r="GL451" s="81" t="n">
        <v>12</v>
      </c>
    </row>
    <row r="452">
      <c r="A452" s="81" t="inlineStr">
        <is>
          <t>Volcano Vent</t>
        </is>
      </c>
      <c r="B452" s="81" t="inlineStr">
        <is>
          <t>Magma</t>
        </is>
      </c>
      <c r="C452" s="81" t="inlineStr">
        <is>
          <t>damage</t>
        </is>
      </c>
      <c r="D452" s="81" t="n">
        <v>4</v>
      </c>
      <c r="E452" s="81">
        <f>E440</f>
        <v/>
      </c>
      <c r="F452" s="81">
        <f>F440</f>
        <v/>
      </c>
      <c r="G452" s="81" t="n">
        <v>1.3</v>
      </c>
      <c r="H452" s="81" t="n">
        <v>1</v>
      </c>
      <c r="I452" s="81" t="n">
        <v>1</v>
      </c>
      <c r="L452" s="81" t="n">
        <v>1</v>
      </c>
      <c r="M452" s="81" t="inlineStr">
        <is>
          <t>Rivers of Fire</t>
        </is>
      </c>
      <c r="CI452" s="81" t="inlineStr">
        <is>
          <t>B</t>
        </is>
      </c>
      <c r="CJ452" s="81" t="inlineStr">
        <is>
          <t>The lava runs 20 studs further</t>
        </is>
      </c>
      <c r="GB452" s="81" t="n">
        <v>1.8</v>
      </c>
    </row>
    <row r="453">
      <c r="A453" s="81" t="inlineStr">
        <is>
          <t>Volcano Vent</t>
        </is>
      </c>
      <c r="B453" s="81" t="inlineStr">
        <is>
          <t>Magma</t>
        </is>
      </c>
      <c r="C453" s="81" t="inlineStr">
        <is>
          <t>damage</t>
        </is>
      </c>
      <c r="D453" s="81" t="n">
        <v>4</v>
      </c>
      <c r="E453" s="81">
        <f>E440</f>
        <v/>
      </c>
      <c r="F453" s="81">
        <f>F440</f>
        <v/>
      </c>
      <c r="G453" s="81" t="n">
        <v>1.85</v>
      </c>
      <c r="H453" s="81" t="n">
        <v>1</v>
      </c>
      <c r="I453" s="81" t="n">
        <v>1</v>
      </c>
      <c r="L453" s="81" t="n">
        <v>1</v>
      </c>
      <c r="M453" s="81" t="inlineStr">
        <is>
          <t>Ember Rain</t>
        </is>
      </c>
      <c r="CI453" s="81" t="inlineStr">
        <is>
          <t>C</t>
        </is>
      </c>
      <c r="CJ453" s="81" t="inlineStr">
        <is>
          <t>Embers hit low flyers</t>
        </is>
      </c>
      <c r="DW453" s="81" t="inlineStr">
        <is>
          <t>Yes</t>
        </is>
      </c>
    </row>
    <row r="454">
      <c r="A454" s="81" t="inlineStr">
        <is>
          <t>Volcano Vent</t>
        </is>
      </c>
      <c r="B454" s="81" t="inlineStr">
        <is>
          <t>Magma</t>
        </is>
      </c>
      <c r="C454" s="81" t="inlineStr">
        <is>
          <t>damage</t>
        </is>
      </c>
      <c r="D454" s="81" t="n">
        <v>5</v>
      </c>
      <c r="E454" s="81">
        <f>E441</f>
        <v/>
      </c>
      <c r="F454" s="81">
        <f>F441</f>
        <v/>
      </c>
      <c r="G454" s="81" t="n">
        <v>1.5</v>
      </c>
      <c r="H454" s="81" t="n">
        <v>1</v>
      </c>
      <c r="I454" s="81" t="n">
        <v>1</v>
      </c>
      <c r="L454" s="81" t="n">
        <v>1</v>
      </c>
      <c r="M454" s="81" t="inlineStr">
        <is>
          <t>Lava Bombs</t>
        </is>
      </c>
      <c r="CI454" s="81" t="inlineStr">
        <is>
          <t>B</t>
        </is>
      </c>
      <c r="CJ454" s="81" t="inlineStr">
        <is>
          <t>Throws 6 lava bombs at big dinos</t>
        </is>
      </c>
      <c r="GF454" s="81" t="inlineStr">
        <is>
          <t>Yes</t>
        </is>
      </c>
    </row>
    <row r="455">
      <c r="A455" s="81" t="inlineStr">
        <is>
          <t>Volcano Vent</t>
        </is>
      </c>
      <c r="B455" s="81" t="inlineStr">
        <is>
          <t>Magma</t>
        </is>
      </c>
      <c r="C455" s="81" t="inlineStr">
        <is>
          <t>damage</t>
        </is>
      </c>
      <c r="D455" s="81" t="n">
        <v>5</v>
      </c>
      <c r="E455" s="81">
        <f>E441</f>
        <v/>
      </c>
      <c r="F455" s="81">
        <f>F441</f>
        <v/>
      </c>
      <c r="G455" s="81" t="n">
        <v>1.05</v>
      </c>
      <c r="H455" s="81" t="n">
        <v>1</v>
      </c>
      <c r="I455" s="81" t="n">
        <v>2</v>
      </c>
      <c r="L455" s="81" t="n">
        <v>1</v>
      </c>
      <c r="M455" s="81" t="inlineStr">
        <is>
          <t>Fire Mountain</t>
        </is>
      </c>
      <c r="CI455" s="81" t="inlineStr">
        <is>
          <t>C</t>
        </is>
      </c>
      <c r="CJ455" s="81" t="inlineStr">
        <is>
          <t>Eruptions twice as big</t>
        </is>
      </c>
      <c r="GB455" s="81" t="n">
        <v>2</v>
      </c>
    </row>
    <row r="456">
      <c r="A456" s="81" t="inlineStr">
        <is>
          <t>Volcano Vent</t>
        </is>
      </c>
      <c r="B456" s="81" t="inlineStr">
        <is>
          <t>Pressure</t>
        </is>
      </c>
      <c r="C456" s="81" t="inlineStr">
        <is>
          <t>damage</t>
        </is>
      </c>
      <c r="D456" s="81" t="n">
        <v>4</v>
      </c>
      <c r="E456" s="81">
        <f>E445</f>
        <v/>
      </c>
      <c r="F456" s="81">
        <f>F445</f>
        <v/>
      </c>
      <c r="G456" s="81" t="n">
        <v>1.75</v>
      </c>
      <c r="H456" s="81" t="n">
        <v>1</v>
      </c>
      <c r="I456" s="81" t="n">
        <v>1</v>
      </c>
      <c r="L456" s="81" t="n">
        <v>1</v>
      </c>
      <c r="M456" s="81" t="inlineStr">
        <is>
          <t>Rumble</t>
        </is>
      </c>
      <c r="AE456" s="81" t="n">
        <v>20</v>
      </c>
      <c r="CI456" s="81" t="inlineStr">
        <is>
          <t>B</t>
        </is>
      </c>
      <c r="CJ456" s="81" t="inlineStr">
        <is>
          <t>Dinos nearby stumble: −20% speed</t>
        </is>
      </c>
    </row>
    <row r="457">
      <c r="A457" s="81" t="inlineStr">
        <is>
          <t>Volcano Vent</t>
        </is>
      </c>
      <c r="B457" s="81" t="inlineStr">
        <is>
          <t>Pressure</t>
        </is>
      </c>
      <c r="C457" s="81" t="inlineStr">
        <is>
          <t>damage</t>
        </is>
      </c>
      <c r="D457" s="81" t="n">
        <v>4</v>
      </c>
      <c r="E457" s="81">
        <f>E445</f>
        <v/>
      </c>
      <c r="F457" s="81">
        <f>F445</f>
        <v/>
      </c>
      <c r="G457" s="81" t="n">
        <v>1.85</v>
      </c>
      <c r="H457" s="81" t="n">
        <v>1</v>
      </c>
      <c r="I457" s="81" t="n">
        <v>1</v>
      </c>
      <c r="L457" s="81" t="n">
        <v>1</v>
      </c>
      <c r="M457" s="81" t="inlineStr">
        <is>
          <t>Pressure Valve</t>
        </is>
      </c>
      <c r="CI457" s="81" t="inlineStr">
        <is>
          <t>C</t>
        </is>
      </c>
      <c r="CJ457" s="81" t="inlineStr">
        <is>
          <t>Erupts early when a boss comes</t>
        </is>
      </c>
      <c r="GG457" s="81" t="inlineStr">
        <is>
          <t>Yes</t>
        </is>
      </c>
    </row>
    <row r="458">
      <c r="A458" s="81" t="inlineStr">
        <is>
          <t>Volcano Vent</t>
        </is>
      </c>
      <c r="B458" s="81" t="inlineStr">
        <is>
          <t>Pressure</t>
        </is>
      </c>
      <c r="C458" s="81" t="inlineStr">
        <is>
          <t>damage</t>
        </is>
      </c>
      <c r="D458" s="81" t="n">
        <v>5</v>
      </c>
      <c r="E458" s="81">
        <f>E446</f>
        <v/>
      </c>
      <c r="F458" s="81">
        <f>F446</f>
        <v/>
      </c>
      <c r="G458" s="81" t="n">
        <v>0.8</v>
      </c>
      <c r="H458" s="81" t="n">
        <v>2.5</v>
      </c>
      <c r="I458" s="81" t="n">
        <v>1</v>
      </c>
      <c r="L458" s="81" t="n">
        <v>1</v>
      </c>
      <c r="M458" s="81" t="inlineStr">
        <is>
          <t>Old Faithful</t>
        </is>
      </c>
      <c r="CI458" s="81" t="inlineStr">
        <is>
          <t>B</t>
        </is>
      </c>
      <c r="CJ458" s="81" t="inlineStr">
        <is>
          <t>Erupts 2.5× as often, smaller</t>
        </is>
      </c>
    </row>
    <row r="459">
      <c r="A459" s="81" t="inlineStr">
        <is>
          <t>Volcano Vent</t>
        </is>
      </c>
      <c r="B459" s="81" t="inlineStr">
        <is>
          <t>Pressure</t>
        </is>
      </c>
      <c r="C459" s="81" t="inlineStr">
        <is>
          <t>damage</t>
        </is>
      </c>
      <c r="D459" s="81" t="n">
        <v>5</v>
      </c>
      <c r="E459" s="81">
        <f>E446</f>
        <v/>
      </c>
      <c r="F459" s="81">
        <f>F446</f>
        <v/>
      </c>
      <c r="G459" s="81" t="n">
        <v>1.9</v>
      </c>
      <c r="H459" s="81" t="n">
        <v>1</v>
      </c>
      <c r="I459" s="81" t="n">
        <v>1</v>
      </c>
      <c r="L459" s="81" t="n">
        <v>1</v>
      </c>
      <c r="M459" s="81" t="inlineStr">
        <is>
          <t>Ash Blanket</t>
        </is>
      </c>
      <c r="CI459" s="81" t="inlineStr">
        <is>
          <t>C</t>
        </is>
      </c>
      <c r="CJ459" s="81" t="inlineStr">
        <is>
          <t>Ash makes dinos miss 30% of throws</t>
        </is>
      </c>
      <c r="GH459" s="81" t="n">
        <v>30</v>
      </c>
    </row>
    <row r="460">
      <c r="A460" s="81" t="inlineStr">
        <is>
          <t>Volcano Vent</t>
        </is>
      </c>
      <c r="B460" s="81" t="inlineStr">
        <is>
          <t>Obsidian</t>
        </is>
      </c>
      <c r="C460" s="81" t="inlineStr">
        <is>
          <t>control</t>
        </is>
      </c>
      <c r="D460" s="81" t="n">
        <v>4</v>
      </c>
      <c r="E460" s="81">
        <f>E450</f>
        <v/>
      </c>
      <c r="F460" s="81">
        <f>F450</f>
        <v/>
      </c>
      <c r="G460" s="81" t="n">
        <v>1</v>
      </c>
      <c r="H460" s="81" t="n">
        <v>1</v>
      </c>
      <c r="I460" s="81" t="n">
        <v>1</v>
      </c>
      <c r="L460" s="81" t="n">
        <v>1</v>
      </c>
      <c r="M460" s="81" t="inlineStr">
        <is>
          <t>Black Glass</t>
        </is>
      </c>
      <c r="CI460" s="81" t="inlineStr">
        <is>
          <t>B</t>
        </is>
      </c>
      <c r="CJ460" s="81" t="inlineStr">
        <is>
          <t>Nearby towers see 15% further</t>
        </is>
      </c>
      <c r="FA460" s="81" t="n">
        <v>15</v>
      </c>
      <c r="GK460" s="81" t="n">
        <v>15</v>
      </c>
    </row>
    <row r="461">
      <c r="A461" s="81" t="inlineStr">
        <is>
          <t>Volcano Vent</t>
        </is>
      </c>
      <c r="B461" s="81" t="inlineStr">
        <is>
          <t>Obsidian</t>
        </is>
      </c>
      <c r="C461" s="81" t="inlineStr">
        <is>
          <t>control</t>
        </is>
      </c>
      <c r="D461" s="81" t="n">
        <v>4</v>
      </c>
      <c r="E461" s="81">
        <f>E450</f>
        <v/>
      </c>
      <c r="F461" s="81">
        <f>F450</f>
        <v/>
      </c>
      <c r="G461" s="81" t="n">
        <v>1</v>
      </c>
      <c r="H461" s="81" t="n">
        <v>1</v>
      </c>
      <c r="I461" s="81" t="n">
        <v>1</v>
      </c>
      <c r="L461" s="81" t="n">
        <v>1</v>
      </c>
      <c r="M461" s="81" t="inlineStr">
        <is>
          <t>Heat Shimmer</t>
        </is>
      </c>
      <c r="CI461" s="81" t="inlineStr">
        <is>
          <t>C</t>
        </is>
      </c>
      <c r="CJ461" s="81" t="inlineStr">
        <is>
          <t>Dinos on the crust can't throw</t>
        </is>
      </c>
      <c r="FH461" s="81" t="n">
        <v>100</v>
      </c>
      <c r="GK461" s="81" t="n">
        <v>10</v>
      </c>
    </row>
    <row r="462">
      <c r="A462" s="81" t="inlineStr">
        <is>
          <t>Volcano Vent</t>
        </is>
      </c>
      <c r="B462" s="81" t="inlineStr">
        <is>
          <t>Obsidian</t>
        </is>
      </c>
      <c r="C462" s="81" t="inlineStr">
        <is>
          <t>control</t>
        </is>
      </c>
      <c r="D462" s="81" t="n">
        <v>5</v>
      </c>
      <c r="E462" s="81">
        <f>E451</f>
        <v/>
      </c>
      <c r="F462" s="81">
        <f>F451</f>
        <v/>
      </c>
      <c r="G462" s="81" t="n">
        <v>1</v>
      </c>
      <c r="H462" s="81" t="n">
        <v>1</v>
      </c>
      <c r="I462" s="81" t="n">
        <v>1</v>
      </c>
      <c r="L462" s="81" t="n">
        <v>1</v>
      </c>
      <c r="M462" s="81" t="inlineStr">
        <is>
          <t>Obsidian Armour</t>
        </is>
      </c>
      <c r="CI462" s="81" t="inlineStr">
        <is>
          <t>B</t>
        </is>
      </c>
      <c r="CJ462" s="81" t="inlineStr">
        <is>
          <t>Nearby towers take 30% less from throws</t>
        </is>
      </c>
      <c r="GK462" s="81" t="n">
        <v>15</v>
      </c>
      <c r="GN462" s="81" t="n">
        <v>30</v>
      </c>
    </row>
    <row r="463">
      <c r="A463" s="81" t="inlineStr">
        <is>
          <t>Volcano Vent</t>
        </is>
      </c>
      <c r="B463" s="81" t="inlineStr">
        <is>
          <t>Obsidian</t>
        </is>
      </c>
      <c r="C463" s="81" t="inlineStr">
        <is>
          <t>control</t>
        </is>
      </c>
      <c r="D463" s="81" t="n">
        <v>5</v>
      </c>
      <c r="E463" s="81">
        <f>E451</f>
        <v/>
      </c>
      <c r="F463" s="81">
        <f>F451</f>
        <v/>
      </c>
      <c r="G463" s="81" t="n">
        <v>1</v>
      </c>
      <c r="H463" s="81" t="n">
        <v>1</v>
      </c>
      <c r="I463" s="81" t="n">
        <v>1</v>
      </c>
      <c r="L463" s="81" t="n">
        <v>1</v>
      </c>
      <c r="M463" s="81" t="inlineStr">
        <is>
          <t>Frozen Fire</t>
        </is>
      </c>
      <c r="CI463" s="81" t="inlineStr">
        <is>
          <t>C</t>
        </is>
      </c>
      <c r="CJ463" s="81" t="inlineStr">
        <is>
          <t>The whole flow hardens: 2 s stop</t>
        </is>
      </c>
      <c r="GM463" s="81" t="n">
        <v>2</v>
      </c>
    </row>
    <row r="464">
      <c r="A464" s="81" t="inlineStr">
        <is>
          <t>Ranger Station</t>
        </is>
      </c>
      <c r="B464" s="81" t="inlineStr">
        <is>
          <t>Riflemen</t>
        </is>
      </c>
      <c r="C464" s="81" t="inlineStr">
        <is>
          <t>damage</t>
        </is>
      </c>
      <c r="D464" s="81" t="n">
        <v>1</v>
      </c>
      <c r="E464" s="81">
        <f>ROUND('Towers'!$C$25*POWER('Tuning'!$B$12,D464),0)</f>
        <v/>
      </c>
      <c r="F464" s="81">
        <f>'Towers'!$C$25+E464</f>
        <v/>
      </c>
      <c r="G464" s="81" t="n">
        <v>1</v>
      </c>
      <c r="H464" s="81" t="n">
        <v>1</v>
      </c>
      <c r="I464" s="81" t="n">
        <v>1</v>
      </c>
      <c r="J464" s="81">
        <f>'Towers'!$G$25*G464*H464*I464</f>
        <v/>
      </c>
      <c r="K464" s="81">
        <f>IF(J464=0,0,F464/J464)</f>
        <v/>
      </c>
      <c r="L464" s="81" t="n">
        <v>1</v>
      </c>
      <c r="M464" s="81" t="inlineStr">
        <is>
          <t>Recruit</t>
        </is>
      </c>
      <c r="DN464" s="81" t="n">
        <v>2</v>
      </c>
    </row>
    <row r="465">
      <c r="A465" s="81" t="inlineStr">
        <is>
          <t>Ranger Station</t>
        </is>
      </c>
      <c r="B465" s="81" t="inlineStr">
        <is>
          <t>Riflemen</t>
        </is>
      </c>
      <c r="C465" s="81" t="inlineStr">
        <is>
          <t>damage</t>
        </is>
      </c>
      <c r="D465" s="81" t="n">
        <v>2</v>
      </c>
      <c r="E465" s="81">
        <f>ROUND('Towers'!$C$25*POWER('Tuning'!$B$12,D465),0)</f>
        <v/>
      </c>
      <c r="F465" s="81">
        <f>F464+E465</f>
        <v/>
      </c>
      <c r="G465" s="81" t="n">
        <v>1.8</v>
      </c>
      <c r="H465" s="81" t="n">
        <v>1</v>
      </c>
      <c r="I465" s="81" t="n">
        <v>1</v>
      </c>
      <c r="J465" s="81">
        <f>'Towers'!$G$25*G465*H465*I465</f>
        <v/>
      </c>
      <c r="K465" s="81">
        <f>IF(J465=0,0,F465/J465)</f>
        <v/>
      </c>
      <c r="L465" s="81" t="n">
        <v>1.2</v>
      </c>
      <c r="M465" s="81" t="inlineStr">
        <is>
          <t>Sharpshooter</t>
        </is>
      </c>
      <c r="DN465" s="81" t="n">
        <v>2</v>
      </c>
    </row>
    <row r="466">
      <c r="A466" s="81" t="inlineStr">
        <is>
          <t>Ranger Station</t>
        </is>
      </c>
      <c r="B466" s="81" t="inlineStr">
        <is>
          <t>Riflemen</t>
        </is>
      </c>
      <c r="C466" s="81" t="inlineStr">
        <is>
          <t>damage</t>
        </is>
      </c>
      <c r="D466" s="81" t="n">
        <v>3</v>
      </c>
      <c r="E466" s="81">
        <f>ROUND('Towers'!$C$25*POWER('Tuning'!$B$12,D466),0)</f>
        <v/>
      </c>
      <c r="F466" s="81">
        <f>F465+E466</f>
        <v/>
      </c>
      <c r="G466" s="81" t="n">
        <v>2.8</v>
      </c>
      <c r="H466" s="81" t="n">
        <v>1</v>
      </c>
      <c r="I466" s="81" t="n">
        <v>1</v>
      </c>
      <c r="J466" s="81">
        <f>'Towers'!$G$25*G466*H466*I466</f>
        <v/>
      </c>
      <c r="K466" s="81">
        <f>IF(J466=0,0,F466/J466)</f>
        <v/>
      </c>
      <c r="L466" s="81" t="n">
        <v>1.2</v>
      </c>
      <c r="M466" s="81" t="inlineStr">
        <is>
          <t>Squad</t>
        </is>
      </c>
      <c r="DN466" s="81" t="n">
        <v>3</v>
      </c>
    </row>
    <row r="467">
      <c r="A467" s="81" t="inlineStr">
        <is>
          <t>Ranger Station</t>
        </is>
      </c>
      <c r="B467" s="81" t="inlineStr">
        <is>
          <t>Riflemen</t>
        </is>
      </c>
      <c r="C467" s="81" t="inlineStr">
        <is>
          <t>damage</t>
        </is>
      </c>
      <c r="D467" s="81" t="n">
        <v>4</v>
      </c>
      <c r="E467" s="81">
        <f>ROUND('Towers'!$C$25*POWER('Tuning'!$B$12,D467),0)</f>
        <v/>
      </c>
      <c r="F467" s="81">
        <f>F466+E467</f>
        <v/>
      </c>
      <c r="G467" s="81" t="n">
        <v>1.75</v>
      </c>
      <c r="H467" s="81" t="n">
        <v>1</v>
      </c>
      <c r="I467" s="81" t="n">
        <v>1</v>
      </c>
      <c r="J467" s="81">
        <f>J466*G467*H467*I467</f>
        <v/>
      </c>
      <c r="K467" s="81">
        <f>IF(J467=0,0,F467/J467)</f>
        <v/>
      </c>
      <c r="L467" s="81" t="n">
        <v>1</v>
      </c>
      <c r="M467" s="81" t="inlineStr">
        <is>
          <t>Elite Squad</t>
        </is>
      </c>
      <c r="N467" s="81" t="inlineStr">
        <is>
          <t>Yes</t>
        </is>
      </c>
      <c r="CI467" s="81" t="inlineStr">
        <is>
          <t>A</t>
        </is>
      </c>
      <c r="CJ467" s="81" t="inlineStr">
        <is>
          <t>Rangers shoot through armour</t>
        </is>
      </c>
    </row>
    <row r="468">
      <c r="A468" s="81" t="inlineStr">
        <is>
          <t>Ranger Station</t>
        </is>
      </c>
      <c r="B468" s="81" t="inlineStr">
        <is>
          <t>Riflemen</t>
        </is>
      </c>
      <c r="C468" s="81" t="inlineStr">
        <is>
          <t>damage</t>
        </is>
      </c>
      <c r="D468" s="81" t="n">
        <v>5</v>
      </c>
      <c r="E468" s="81">
        <f>ROUND('Towers'!$C$25*POWER('Tuning'!$B$12,D468),0)</f>
        <v/>
      </c>
      <c r="F468" s="81">
        <f>F467+E468</f>
        <v/>
      </c>
      <c r="G468" s="81" t="n">
        <v>1.2</v>
      </c>
      <c r="H468" s="81" t="n">
        <v>1</v>
      </c>
      <c r="I468" s="81" t="n">
        <v>1</v>
      </c>
      <c r="J468" s="81">
        <f>J467*G468*H468*I468</f>
        <v/>
      </c>
      <c r="K468" s="81">
        <f>IF(J468=0,0,F468/J468)</f>
        <v/>
      </c>
      <c r="L468" s="81" t="n">
        <v>1</v>
      </c>
      <c r="M468" s="81" t="inlineStr">
        <is>
          <t>Ranger Troop</t>
        </is>
      </c>
      <c r="CI468" s="81" t="inlineStr">
        <is>
          <t>A</t>
        </is>
      </c>
      <c r="CJ468" s="81" t="inlineStr">
        <is>
          <t>5 rangers in formation</t>
        </is>
      </c>
      <c r="DN468" s="81" t="n">
        <v>5</v>
      </c>
    </row>
    <row r="469">
      <c r="A469" s="81" t="inlineStr">
        <is>
          <t>Ranger Station</t>
        </is>
      </c>
      <c r="B469" s="81" t="inlineStr">
        <is>
          <t>Trackers</t>
        </is>
      </c>
      <c r="C469" s="81" t="inlineStr">
        <is>
          <t>control</t>
        </is>
      </c>
      <c r="D469" s="81" t="n">
        <v>1</v>
      </c>
      <c r="E469" s="81">
        <f>ROUND('Towers'!$C$25*POWER('Tuning'!$B$12,D469),0)</f>
        <v/>
      </c>
      <c r="F469" s="81">
        <f>'Towers'!$C$25+E469</f>
        <v/>
      </c>
      <c r="G469" s="81" t="n">
        <v>1</v>
      </c>
      <c r="H469" s="81" t="n">
        <v>1</v>
      </c>
      <c r="I469" s="81" t="n">
        <v>1</v>
      </c>
      <c r="J469" s="81">
        <f>'Towers'!$G$25*G469*H469*I469</f>
        <v/>
      </c>
      <c r="K469" s="81">
        <f>IF(J469=0,0,F469/J469)</f>
        <v/>
      </c>
      <c r="L469" s="81" t="n">
        <v>1</v>
      </c>
      <c r="M469" s="81" t="inlineStr">
        <is>
          <t>Snare Kit</t>
        </is>
      </c>
      <c r="GS469" s="81" t="inlineStr">
        <is>
          <t>Yes</t>
        </is>
      </c>
    </row>
    <row r="470">
      <c r="A470" s="81" t="inlineStr">
        <is>
          <t>Ranger Station</t>
        </is>
      </c>
      <c r="B470" s="81" t="inlineStr">
        <is>
          <t>Trackers</t>
        </is>
      </c>
      <c r="C470" s="81" t="inlineStr">
        <is>
          <t>control</t>
        </is>
      </c>
      <c r="D470" s="81" t="n">
        <v>2</v>
      </c>
      <c r="E470" s="81">
        <f>ROUND('Towers'!$C$25*POWER('Tuning'!$B$12,D470),0)</f>
        <v/>
      </c>
      <c r="F470" s="81">
        <f>F469+E470</f>
        <v/>
      </c>
      <c r="G470" s="81" t="n">
        <v>1.3</v>
      </c>
      <c r="H470" s="81" t="n">
        <v>1</v>
      </c>
      <c r="I470" s="81" t="n">
        <v>1</v>
      </c>
      <c r="J470" s="81">
        <f>'Towers'!$G$25*G470*H470*I470</f>
        <v/>
      </c>
      <c r="K470" s="81">
        <f>IF(J470=0,0,F470/J470)</f>
        <v/>
      </c>
      <c r="L470" s="81" t="n">
        <v>1</v>
      </c>
      <c r="M470" s="81" t="inlineStr">
        <is>
          <t>Bait</t>
        </is>
      </c>
      <c r="GS470" s="81" t="inlineStr">
        <is>
          <t>Yes</t>
        </is>
      </c>
      <c r="GT470" s="81" t="n">
        <v>5</v>
      </c>
    </row>
    <row r="471">
      <c r="A471" s="81" t="inlineStr">
        <is>
          <t>Ranger Station</t>
        </is>
      </c>
      <c r="B471" s="81" t="inlineStr">
        <is>
          <t>Trackers</t>
        </is>
      </c>
      <c r="C471" s="81" t="inlineStr">
        <is>
          <t>control</t>
        </is>
      </c>
      <c r="D471" s="81" t="n">
        <v>3</v>
      </c>
      <c r="E471" s="81">
        <f>ROUND('Towers'!$C$25*POWER('Tuning'!$B$12,D471),0)</f>
        <v/>
      </c>
      <c r="F471" s="81">
        <f>F470+E471</f>
        <v/>
      </c>
      <c r="G471" s="81" t="n">
        <v>1.6</v>
      </c>
      <c r="H471" s="81" t="n">
        <v>1</v>
      </c>
      <c r="I471" s="81" t="n">
        <v>1</v>
      </c>
      <c r="J471" s="81">
        <f>'Towers'!$G$25*G471*H471*I471</f>
        <v/>
      </c>
      <c r="K471" s="81">
        <f>IF(J471=0,0,F471/J471)</f>
        <v/>
      </c>
      <c r="L471" s="81" t="n">
        <v>1</v>
      </c>
      <c r="M471" s="81" t="inlineStr">
        <is>
          <t>Snap Traps</t>
        </is>
      </c>
      <c r="DN471" s="81" t="n">
        <v>2</v>
      </c>
      <c r="GS471" s="81" t="inlineStr">
        <is>
          <t>Yes</t>
        </is>
      </c>
      <c r="GT471" s="81" t="n">
        <v>5</v>
      </c>
      <c r="GU471" s="81" t="n">
        <v>0.6</v>
      </c>
    </row>
    <row r="472">
      <c r="A472" s="81" t="inlineStr">
        <is>
          <t>Ranger Station</t>
        </is>
      </c>
      <c r="B472" s="81" t="inlineStr">
        <is>
          <t>Trackers</t>
        </is>
      </c>
      <c r="C472" s="81" t="inlineStr">
        <is>
          <t>control</t>
        </is>
      </c>
      <c r="D472" s="81" t="n">
        <v>4</v>
      </c>
      <c r="E472" s="81">
        <f>ROUND('Towers'!$C$25*POWER('Tuning'!$B$12,D472),0)</f>
        <v/>
      </c>
      <c r="F472" s="81">
        <f>F471+E472</f>
        <v/>
      </c>
      <c r="G472" s="81" t="n">
        <v>1</v>
      </c>
      <c r="H472" s="81" t="n">
        <v>1</v>
      </c>
      <c r="I472" s="81" t="n">
        <v>1</v>
      </c>
      <c r="J472" s="81">
        <f>J471*G472*H472*I472</f>
        <v/>
      </c>
      <c r="K472" s="81">
        <f>IF(J472=0,0,F472/J472)</f>
        <v/>
      </c>
      <c r="L472" s="81" t="n">
        <v>1</v>
      </c>
      <c r="M472" s="81" t="inlineStr">
        <is>
          <t>Pit Traps</t>
        </is>
      </c>
      <c r="CI472" s="81" t="inlineStr">
        <is>
          <t>A</t>
        </is>
      </c>
      <c r="CJ472" s="81" t="inlineStr">
        <is>
          <t>Traps hold a dino 1.5 s</t>
        </is>
      </c>
      <c r="GU472" s="81" t="n">
        <v>1.5</v>
      </c>
    </row>
    <row r="473">
      <c r="A473" s="81" t="inlineStr">
        <is>
          <t>Ranger Station</t>
        </is>
      </c>
      <c r="B473" s="81" t="inlineStr">
        <is>
          <t>Trackers</t>
        </is>
      </c>
      <c r="C473" s="81" t="inlineStr">
        <is>
          <t>control</t>
        </is>
      </c>
      <c r="D473" s="81" t="n">
        <v>5</v>
      </c>
      <c r="E473" s="81">
        <f>ROUND('Towers'!$C$25*POWER('Tuning'!$B$12,D473),0)</f>
        <v/>
      </c>
      <c r="F473" s="81">
        <f>F472+E473</f>
        <v/>
      </c>
      <c r="G473" s="81" t="n">
        <v>1</v>
      </c>
      <c r="H473" s="81" t="n">
        <v>1</v>
      </c>
      <c r="I473" s="81" t="n">
        <v>1</v>
      </c>
      <c r="J473" s="81">
        <f>J472*G473*H473*I473</f>
        <v/>
      </c>
      <c r="K473" s="81">
        <f>IF(J473=0,0,F473/J473)</f>
        <v/>
      </c>
      <c r="L473" s="81" t="n">
        <v>1</v>
      </c>
      <c r="M473" s="81" t="inlineStr">
        <is>
          <t>Master Trapper</t>
        </is>
      </c>
      <c r="CI473" s="81" t="inlineStr">
        <is>
          <t>A</t>
        </is>
      </c>
      <c r="CJ473" s="81" t="inlineStr">
        <is>
          <t>Traps along your whole track each round</t>
        </is>
      </c>
      <c r="GV473" s="81" t="inlineStr">
        <is>
          <t>Yes</t>
        </is>
      </c>
    </row>
    <row r="474">
      <c r="A474" s="81" t="inlineStr">
        <is>
          <t>Ranger Station</t>
        </is>
      </c>
      <c r="B474" s="81" t="inlineStr">
        <is>
          <t>Wardens</t>
        </is>
      </c>
      <c r="C474" s="81" t="inlineStr">
        <is>
          <t>support</t>
        </is>
      </c>
      <c r="D474" s="81" t="n">
        <v>1</v>
      </c>
      <c r="E474" s="81">
        <f>ROUND('Towers'!$C$25*POWER('Tuning'!$B$12,D474),0)</f>
        <v/>
      </c>
      <c r="F474" s="81">
        <f>'Towers'!$C$25+E474</f>
        <v/>
      </c>
      <c r="G474" s="81" t="n">
        <v>1.3</v>
      </c>
      <c r="H474" s="81" t="n">
        <v>1</v>
      </c>
      <c r="I474" s="81" t="n">
        <v>1</v>
      </c>
      <c r="J474" s="81">
        <f>'Towers'!$G$25*G474*H474*I474</f>
        <v/>
      </c>
      <c r="K474" s="81">
        <f>IF(J474=0,0,F474/J474)</f>
        <v/>
      </c>
      <c r="L474" s="81" t="n">
        <v>1</v>
      </c>
      <c r="M474" s="81" t="inlineStr">
        <is>
          <t>Leather Coats</t>
        </is>
      </c>
      <c r="DO474" s="81" t="n">
        <v>1.5</v>
      </c>
    </row>
    <row r="475">
      <c r="A475" s="81" t="inlineStr">
        <is>
          <t>Ranger Station</t>
        </is>
      </c>
      <c r="B475" s="81" t="inlineStr">
        <is>
          <t>Wardens</t>
        </is>
      </c>
      <c r="C475" s="81" t="inlineStr">
        <is>
          <t>support</t>
        </is>
      </c>
      <c r="D475" s="81" t="n">
        <v>2</v>
      </c>
      <c r="E475" s="81">
        <f>ROUND('Towers'!$C$25*POWER('Tuning'!$B$12,D475),0)</f>
        <v/>
      </c>
      <c r="F475" s="81">
        <f>F474+E475</f>
        <v/>
      </c>
      <c r="G475" s="81" t="n">
        <v>1.5</v>
      </c>
      <c r="H475" s="81" t="n">
        <v>1</v>
      </c>
      <c r="I475" s="81" t="n">
        <v>1</v>
      </c>
      <c r="J475" s="81">
        <f>'Towers'!$G$25*G475*H475*I475</f>
        <v/>
      </c>
      <c r="K475" s="81">
        <f>IF(J475=0,0,F475/J475)</f>
        <v/>
      </c>
      <c r="L475" s="81" t="n">
        <v>1</v>
      </c>
      <c r="M475" s="81" t="inlineStr">
        <is>
          <t>Medic Bag</t>
        </is>
      </c>
      <c r="DN475" s="81" t="n">
        <v>2</v>
      </c>
      <c r="DO475" s="81" t="n">
        <v>1.5</v>
      </c>
      <c r="GO475" s="81" t="n">
        <v>5</v>
      </c>
    </row>
    <row r="476">
      <c r="A476" s="81" t="inlineStr">
        <is>
          <t>Ranger Station</t>
        </is>
      </c>
      <c r="B476" s="81" t="inlineStr">
        <is>
          <t>Wardens</t>
        </is>
      </c>
      <c r="C476" s="81" t="inlineStr">
        <is>
          <t>support</t>
        </is>
      </c>
      <c r="D476" s="81" t="n">
        <v>3</v>
      </c>
      <c r="E476" s="81">
        <f>ROUND('Towers'!$C$25*POWER('Tuning'!$B$12,D476),0)</f>
        <v/>
      </c>
      <c r="F476" s="81">
        <f>F475+E476</f>
        <v/>
      </c>
      <c r="G476" s="81" t="n">
        <v>2</v>
      </c>
      <c r="H476" s="81" t="n">
        <v>1</v>
      </c>
      <c r="I476" s="81" t="n">
        <v>1</v>
      </c>
      <c r="J476" s="81">
        <f>'Towers'!$G$25*G476*H476*I476</f>
        <v/>
      </c>
      <c r="K476" s="81">
        <f>IF(J476=0,0,F476/J476)</f>
        <v/>
      </c>
      <c r="L476" s="81" t="n">
        <v>1</v>
      </c>
      <c r="M476" s="81" t="inlineStr">
        <is>
          <t>Shield Wall</t>
        </is>
      </c>
      <c r="DN476" s="81" t="n">
        <v>2</v>
      </c>
      <c r="DO476" s="81" t="n">
        <v>1.5</v>
      </c>
      <c r="DQ476" s="81" t="n">
        <v>40</v>
      </c>
      <c r="GO476" s="81" t="n">
        <v>5</v>
      </c>
    </row>
    <row r="477">
      <c r="A477" s="81" t="inlineStr">
        <is>
          <t>Ranger Station</t>
        </is>
      </c>
      <c r="B477" s="81" t="inlineStr">
        <is>
          <t>Wardens</t>
        </is>
      </c>
      <c r="C477" s="81" t="inlineStr">
        <is>
          <t>support</t>
        </is>
      </c>
      <c r="D477" s="81" t="n">
        <v>4</v>
      </c>
      <c r="E477" s="81">
        <f>ROUND('Towers'!$C$25*POWER('Tuning'!$B$12,D477),0)</f>
        <v/>
      </c>
      <c r="F477" s="81">
        <f>F476+E477</f>
        <v/>
      </c>
      <c r="G477" s="81" t="n">
        <v>1</v>
      </c>
      <c r="H477" s="81" t="n">
        <v>1</v>
      </c>
      <c r="I477" s="81" t="n">
        <v>1</v>
      </c>
      <c r="J477" s="81">
        <f>J476*G477*H477*I477</f>
        <v/>
      </c>
      <c r="K477" s="81">
        <f>IF(J477=0,0,F477/J477)</f>
        <v/>
      </c>
      <c r="L477" s="81" t="n">
        <v>1</v>
      </c>
      <c r="M477" s="81" t="inlineStr">
        <is>
          <t>Field Rations</t>
        </is>
      </c>
      <c r="CI477" s="81" t="inlineStr">
        <is>
          <t>A</t>
        </is>
      </c>
      <c r="CJ477" s="81" t="inlineStr">
        <is>
          <t>Rangers heal fully between rounds</t>
        </is>
      </c>
      <c r="DO477" s="81" t="n">
        <v>1.3</v>
      </c>
      <c r="DX477" s="81" t="inlineStr">
        <is>
          <t>Yes</t>
        </is>
      </c>
    </row>
    <row r="478">
      <c r="A478" s="81" t="inlineStr">
        <is>
          <t>Ranger Station</t>
        </is>
      </c>
      <c r="B478" s="81" t="inlineStr">
        <is>
          <t>Wardens</t>
        </is>
      </c>
      <c r="C478" s="81" t="inlineStr">
        <is>
          <t>support</t>
        </is>
      </c>
      <c r="D478" s="81" t="n">
        <v>5</v>
      </c>
      <c r="E478" s="81">
        <f>ROUND('Towers'!$C$25*POWER('Tuning'!$B$12,D478),0)</f>
        <v/>
      </c>
      <c r="F478" s="81">
        <f>F477+E478</f>
        <v/>
      </c>
      <c r="G478" s="81" t="n">
        <v>1</v>
      </c>
      <c r="H478" s="81" t="n">
        <v>1</v>
      </c>
      <c r="I478" s="81" t="n">
        <v>1</v>
      </c>
      <c r="J478" s="81">
        <f>J477*G478*H478*I478</f>
        <v/>
      </c>
      <c r="K478" s="81">
        <f>IF(J478=0,0,F478/J478)</f>
        <v/>
      </c>
      <c r="L478" s="81" t="n">
        <v>1</v>
      </c>
      <c r="M478" s="81" t="inlineStr">
        <is>
          <t>Hold the Line</t>
        </is>
      </c>
      <c r="CI478" s="81" t="inlineStr">
        <is>
          <t>A</t>
        </is>
      </c>
      <c r="CJ478" s="81" t="inlineStr">
        <is>
          <t>Rangers can't fall while a boss is out</t>
        </is>
      </c>
      <c r="GY478" s="81" t="inlineStr">
        <is>
          <t>Yes</t>
        </is>
      </c>
    </row>
    <row r="479">
      <c r="A479" s="81" t="inlineStr">
        <is>
          <t>Ranger Station</t>
        </is>
      </c>
      <c r="B479" s="81" t="inlineStr">
        <is>
          <t>Riflemen</t>
        </is>
      </c>
      <c r="C479" s="81" t="inlineStr">
        <is>
          <t>damage</t>
        </is>
      </c>
      <c r="D479" s="81" t="n">
        <v>4</v>
      </c>
      <c r="E479" s="81">
        <f>E467</f>
        <v/>
      </c>
      <c r="F479" s="81">
        <f>F467</f>
        <v/>
      </c>
      <c r="G479" s="81" t="n">
        <v>1.1</v>
      </c>
      <c r="H479" s="81" t="n">
        <v>1</v>
      </c>
      <c r="I479" s="81" t="n">
        <v>1</v>
      </c>
      <c r="L479" s="81" t="n">
        <v>1</v>
      </c>
      <c r="M479" s="81" t="inlineStr">
        <is>
          <t>Heavy Rifle</t>
        </is>
      </c>
      <c r="CI479" s="81" t="inlineStr">
        <is>
          <t>B</t>
        </is>
      </c>
      <c r="CJ479" s="81" t="inlineStr">
        <is>
          <t>One ranger gets a heavy rifle: ×3, breaks 3</t>
        </is>
      </c>
      <c r="GP479" s="81" t="inlineStr">
        <is>
          <t>Yes</t>
        </is>
      </c>
    </row>
    <row r="480">
      <c r="A480" s="81" t="inlineStr">
        <is>
          <t>Ranger Station</t>
        </is>
      </c>
      <c r="B480" s="81" t="inlineStr">
        <is>
          <t>Riflemen</t>
        </is>
      </c>
      <c r="C480" s="81" t="inlineStr">
        <is>
          <t>damage</t>
        </is>
      </c>
      <c r="D480" s="81" t="n">
        <v>4</v>
      </c>
      <c r="E480" s="81">
        <f>E467</f>
        <v/>
      </c>
      <c r="F480" s="81">
        <f>F467</f>
        <v/>
      </c>
      <c r="G480" s="81" t="n">
        <v>1.9</v>
      </c>
      <c r="H480" s="81" t="n">
        <v>1</v>
      </c>
      <c r="I480" s="81" t="n">
        <v>1</v>
      </c>
      <c r="L480" s="81" t="n">
        <v>1</v>
      </c>
      <c r="M480" s="81" t="inlineStr">
        <is>
          <t>Flare Rounds</t>
        </is>
      </c>
      <c r="CI480" s="81" t="inlineStr">
        <is>
          <t>C</t>
        </is>
      </c>
      <c r="CJ480" s="81" t="inlineStr">
        <is>
          <t>Rangers can hit low flyers</t>
        </is>
      </c>
      <c r="DW480" s="81" t="inlineStr">
        <is>
          <t>Yes</t>
        </is>
      </c>
    </row>
    <row r="481">
      <c r="A481" s="81" t="inlineStr">
        <is>
          <t>Ranger Station</t>
        </is>
      </c>
      <c r="B481" s="81" t="inlineStr">
        <is>
          <t>Riflemen</t>
        </is>
      </c>
      <c r="C481" s="81" t="inlineStr">
        <is>
          <t>damage</t>
        </is>
      </c>
      <c r="D481" s="81" t="n">
        <v>5</v>
      </c>
      <c r="E481" s="81">
        <f>E468</f>
        <v/>
      </c>
      <c r="F481" s="81">
        <f>F468</f>
        <v/>
      </c>
      <c r="G481" s="81" t="n">
        <v>1.2</v>
      </c>
      <c r="H481" s="81" t="n">
        <v>1</v>
      </c>
      <c r="I481" s="81" t="n">
        <v>1</v>
      </c>
      <c r="L481" s="81" t="n">
        <v>1</v>
      </c>
      <c r="M481" s="81" t="inlineStr">
        <is>
          <t>Legend Ranger</t>
        </is>
      </c>
      <c r="CI481" s="81" t="inlineStr">
        <is>
          <t>B</t>
        </is>
      </c>
      <c r="CJ481" s="81" t="inlineStr">
        <is>
          <t>One hero-strong ranger with its own dart</t>
        </is>
      </c>
      <c r="GQ481" s="81" t="inlineStr">
        <is>
          <t>Yes</t>
        </is>
      </c>
    </row>
    <row r="482">
      <c r="A482" s="81" t="inlineStr">
        <is>
          <t>Ranger Station</t>
        </is>
      </c>
      <c r="B482" s="81" t="inlineStr">
        <is>
          <t>Riflemen</t>
        </is>
      </c>
      <c r="C482" s="81" t="inlineStr">
        <is>
          <t>damage</t>
        </is>
      </c>
      <c r="D482" s="81" t="n">
        <v>5</v>
      </c>
      <c r="E482" s="81">
        <f>E468</f>
        <v/>
      </c>
      <c r="F482" s="81">
        <f>F468</f>
        <v/>
      </c>
      <c r="G482" s="81" t="n">
        <v>2.25</v>
      </c>
      <c r="H482" s="81" t="n">
        <v>1</v>
      </c>
      <c r="I482" s="81" t="n">
        <v>1</v>
      </c>
      <c r="L482" s="81" t="n">
        <v>1</v>
      </c>
      <c r="M482" s="81" t="inlineStr">
        <is>
          <t>Patrol Jeep</t>
        </is>
      </c>
      <c r="CI482" s="81" t="inlineStr">
        <is>
          <t>C</t>
        </is>
      </c>
      <c r="CJ482" s="81" t="inlineStr">
        <is>
          <t>Rangers drive the track, firing</t>
        </is>
      </c>
      <c r="GR482" s="81" t="inlineStr">
        <is>
          <t>Yes</t>
        </is>
      </c>
    </row>
    <row r="483">
      <c r="A483" s="81" t="inlineStr">
        <is>
          <t>Ranger Station</t>
        </is>
      </c>
      <c r="B483" s="81" t="inlineStr">
        <is>
          <t>Trackers</t>
        </is>
      </c>
      <c r="C483" s="81" t="inlineStr">
        <is>
          <t>control</t>
        </is>
      </c>
      <c r="D483" s="81" t="n">
        <v>4</v>
      </c>
      <c r="E483" s="81">
        <f>E472</f>
        <v/>
      </c>
      <c r="F483" s="81">
        <f>F472</f>
        <v/>
      </c>
      <c r="G483" s="81" t="n">
        <v>1</v>
      </c>
      <c r="H483" s="81" t="n">
        <v>1</v>
      </c>
      <c r="I483" s="81" t="n">
        <v>1</v>
      </c>
      <c r="L483" s="81" t="n">
        <v>1</v>
      </c>
      <c r="M483" s="81" t="inlineStr">
        <is>
          <t>Decoy Calls</t>
        </is>
      </c>
      <c r="CI483" s="81" t="inlineStr">
        <is>
          <t>B</t>
        </is>
      </c>
      <c r="CJ483" s="81" t="inlineStr">
        <is>
          <t>Dinos stop to fight rangers</t>
        </is>
      </c>
      <c r="GW483" s="81" t="n">
        <v>1</v>
      </c>
    </row>
    <row r="484">
      <c r="A484" s="81" t="inlineStr">
        <is>
          <t>Ranger Station</t>
        </is>
      </c>
      <c r="B484" s="81" t="inlineStr">
        <is>
          <t>Trackers</t>
        </is>
      </c>
      <c r="C484" s="81" t="inlineStr">
        <is>
          <t>control</t>
        </is>
      </c>
      <c r="D484" s="81" t="n">
        <v>4</v>
      </c>
      <c r="E484" s="81">
        <f>E472</f>
        <v/>
      </c>
      <c r="F484" s="81">
        <f>F472</f>
        <v/>
      </c>
      <c r="G484" s="81" t="n">
        <v>1</v>
      </c>
      <c r="H484" s="81" t="n">
        <v>1</v>
      </c>
      <c r="I484" s="81" t="n">
        <v>1</v>
      </c>
      <c r="L484" s="81" t="n">
        <v>1</v>
      </c>
      <c r="M484" s="81" t="inlineStr">
        <is>
          <t>Tripwire</t>
        </is>
      </c>
      <c r="W484" s="81" t="n">
        <v>4</v>
      </c>
      <c r="CI484" s="81" t="inlineStr">
        <is>
          <t>C</t>
        </is>
      </c>
      <c r="CJ484" s="81" t="inlineStr">
        <is>
          <t>Traps knock dinos 4 studs back</t>
        </is>
      </c>
    </row>
    <row r="485">
      <c r="A485" s="81" t="inlineStr">
        <is>
          <t>Ranger Station</t>
        </is>
      </c>
      <c r="B485" s="81" t="inlineStr">
        <is>
          <t>Trackers</t>
        </is>
      </c>
      <c r="C485" s="81" t="inlineStr">
        <is>
          <t>control</t>
        </is>
      </c>
      <c r="D485" s="81" t="n">
        <v>5</v>
      </c>
      <c r="E485" s="81">
        <f>E473</f>
        <v/>
      </c>
      <c r="F485" s="81">
        <f>F473</f>
        <v/>
      </c>
      <c r="G485" s="81" t="n">
        <v>1.3</v>
      </c>
      <c r="H485" s="81" t="n">
        <v>1</v>
      </c>
      <c r="I485" s="81" t="n">
        <v>1</v>
      </c>
      <c r="L485" s="81" t="n">
        <v>1</v>
      </c>
      <c r="M485" s="81" t="inlineStr">
        <is>
          <t>Net Launchers</t>
        </is>
      </c>
      <c r="CI485" s="81" t="inlineStr">
        <is>
          <t>B</t>
        </is>
      </c>
      <c r="CJ485" s="81" t="inlineStr">
        <is>
          <t>Rangers net a boss for 2 s</t>
        </is>
      </c>
      <c r="DT485" s="81" t="n">
        <v>2</v>
      </c>
    </row>
    <row r="486">
      <c r="A486" s="81" t="inlineStr">
        <is>
          <t>Ranger Station</t>
        </is>
      </c>
      <c r="B486" s="81" t="inlineStr">
        <is>
          <t>Trackers</t>
        </is>
      </c>
      <c r="C486" s="81" t="inlineStr">
        <is>
          <t>control</t>
        </is>
      </c>
      <c r="D486" s="81" t="n">
        <v>5</v>
      </c>
      <c r="E486" s="81">
        <f>E473</f>
        <v/>
      </c>
      <c r="F486" s="81">
        <f>F473</f>
        <v/>
      </c>
      <c r="G486" s="81" t="n">
        <v>1.2</v>
      </c>
      <c r="H486" s="81" t="n">
        <v>1</v>
      </c>
      <c r="I486" s="81" t="n">
        <v>1</v>
      </c>
      <c r="L486" s="81" t="n">
        <v>1</v>
      </c>
      <c r="M486" s="81" t="inlineStr">
        <is>
          <t>Head Ranger</t>
        </is>
      </c>
      <c r="CI486" s="81" t="inlineStr">
        <is>
          <t>C</t>
        </is>
      </c>
      <c r="CJ486" s="81" t="inlineStr">
        <is>
          <t>Ranger take-downs mark nearby dinos +20%</t>
        </is>
      </c>
      <c r="DM486" s="81" t="n">
        <v>20</v>
      </c>
    </row>
    <row r="487">
      <c r="A487" s="81" t="inlineStr">
        <is>
          <t>Ranger Station</t>
        </is>
      </c>
      <c r="B487" s="81" t="inlineStr">
        <is>
          <t>Wardens</t>
        </is>
      </c>
      <c r="C487" s="81" t="inlineStr">
        <is>
          <t>support</t>
        </is>
      </c>
      <c r="D487" s="81" t="n">
        <v>4</v>
      </c>
      <c r="E487" s="81">
        <f>E477</f>
        <v/>
      </c>
      <c r="F487" s="81">
        <f>F477</f>
        <v/>
      </c>
      <c r="G487" s="81" t="n">
        <v>1</v>
      </c>
      <c r="H487" s="81" t="n">
        <v>1</v>
      </c>
      <c r="I487" s="81" t="n">
        <v>1</v>
      </c>
      <c r="L487" s="81" t="n">
        <v>1</v>
      </c>
      <c r="M487" s="81" t="inlineStr">
        <is>
          <t>Rally Point</t>
        </is>
      </c>
      <c r="CI487" s="81" t="inlineStr">
        <is>
          <t>B</t>
        </is>
      </c>
      <c r="CJ487" s="81" t="inlineStr">
        <is>
          <t>Rangers come back 2× faster</t>
        </is>
      </c>
      <c r="DR487" s="81" t="n">
        <v>0.5</v>
      </c>
    </row>
    <row r="488">
      <c r="A488" s="81" t="inlineStr">
        <is>
          <t>Ranger Station</t>
        </is>
      </c>
      <c r="B488" s="81" t="inlineStr">
        <is>
          <t>Wardens</t>
        </is>
      </c>
      <c r="C488" s="81" t="inlineStr">
        <is>
          <t>support</t>
        </is>
      </c>
      <c r="D488" s="81" t="n">
        <v>4</v>
      </c>
      <c r="E488" s="81">
        <f>E477</f>
        <v/>
      </c>
      <c r="F488" s="81">
        <f>F477</f>
        <v/>
      </c>
      <c r="G488" s="81" t="n">
        <v>1</v>
      </c>
      <c r="H488" s="81" t="n">
        <v>1</v>
      </c>
      <c r="I488" s="81" t="n">
        <v>1</v>
      </c>
      <c r="L488" s="81" t="n">
        <v>1</v>
      </c>
      <c r="M488" s="81" t="inlineStr">
        <is>
          <t>Sandbags</t>
        </is>
      </c>
      <c r="BH488" s="81" t="n">
        <v>10</v>
      </c>
      <c r="CI488" s="81" t="inlineStr">
        <is>
          <t>C</t>
        </is>
      </c>
      <c r="CJ488" s="81" t="inlineStr">
        <is>
          <t>Towers near a post get 10% more HP</t>
        </is>
      </c>
      <c r="GX488" s="81" t="inlineStr">
        <is>
          <t>Yes</t>
        </is>
      </c>
    </row>
    <row r="489">
      <c r="A489" s="81" t="inlineStr">
        <is>
          <t>Ranger Station</t>
        </is>
      </c>
      <c r="B489" s="81" t="inlineStr">
        <is>
          <t>Wardens</t>
        </is>
      </c>
      <c r="C489" s="81" t="inlineStr">
        <is>
          <t>support</t>
        </is>
      </c>
      <c r="D489" s="81" t="n">
        <v>5</v>
      </c>
      <c r="E489" s="81">
        <f>E478</f>
        <v/>
      </c>
      <c r="F489" s="81">
        <f>F478</f>
        <v/>
      </c>
      <c r="G489" s="81" t="n">
        <v>1</v>
      </c>
      <c r="H489" s="81" t="n">
        <v>1</v>
      </c>
      <c r="I489" s="81" t="n">
        <v>1</v>
      </c>
      <c r="L489" s="81" t="n">
        <v>1</v>
      </c>
      <c r="M489" s="81" t="inlineStr">
        <is>
          <t>Bodyguards</t>
        </is>
      </c>
      <c r="CI489" s="81" t="inlineStr">
        <is>
          <t>B</t>
        </is>
      </c>
      <c r="CJ489" s="81" t="inlineStr">
        <is>
          <t>Rangers take bites for towers</t>
        </is>
      </c>
      <c r="EC489" s="81" t="inlineStr">
        <is>
          <t>Yes</t>
        </is>
      </c>
    </row>
    <row r="490">
      <c r="A490" s="81" t="inlineStr">
        <is>
          <t>Ranger Station</t>
        </is>
      </c>
      <c r="B490" s="81" t="inlineStr">
        <is>
          <t>Wardens</t>
        </is>
      </c>
      <c r="C490" s="81" t="inlineStr">
        <is>
          <t>support</t>
        </is>
      </c>
      <c r="D490" s="81" t="n">
        <v>5</v>
      </c>
      <c r="E490" s="81">
        <f>E478</f>
        <v/>
      </c>
      <c r="F490" s="81">
        <f>F478</f>
        <v/>
      </c>
      <c r="G490" s="81" t="n">
        <v>1</v>
      </c>
      <c r="H490" s="81" t="n">
        <v>1</v>
      </c>
      <c r="I490" s="81" t="n">
        <v>1</v>
      </c>
      <c r="L490" s="81" t="n">
        <v>1</v>
      </c>
      <c r="M490" s="81" t="inlineStr">
        <is>
          <t>Hunter's Lodge</t>
        </is>
      </c>
      <c r="BG490" s="81" t="n">
        <v>0.5</v>
      </c>
      <c r="CI490" s="81" t="inlineStr">
        <is>
          <t>C</t>
        </is>
      </c>
      <c r="CJ490" s="81" t="inlineStr">
        <is>
          <t>Hunters come back twice as fast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75000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75000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75000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F12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  <col width="13" customWidth="1" style="90" min="53" max="53"/>
    <col width="13" customWidth="1" style="90" min="56" max="56"/>
    <col width="13" customWidth="1" style="90" min="57" max="57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 A/B/C (PLAN Phase 9, DECISIONS #275): tiers 1-3 rows are cumulative; a tier-4 or tier-5 row is one option (Option A/B/C, Blurb = its card line, max 60 chars) and holds ONLY ITS OWN STEP over the tier below; so does tier 6 (no option) (x columns multiply, amounts take the higher, flags add, overrides replace; blank = no change). The exporter composes every build. New options are appended at the bottom.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  <c r="BB4" s="81" t="inlineStr">
        <is>
          <t>Option</t>
        </is>
      </c>
      <c r="BC4" s="81" t="inlineStr">
        <is>
          <t>Blurb</t>
        </is>
      </c>
      <c r="BD4" s="104" t="inlineStr">
        <is>
          <t>Heal regen HP/s</t>
        </is>
      </c>
      <c r="BE4" s="104" t="inlineStr">
        <is>
          <t>Heal regen (s)</t>
        </is>
      </c>
      <c r="BF4" s="81" t="inlineStr">
        <is>
          <t>One round per trigger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1.230769230769</v>
      </c>
      <c r="H8" s="57" t="n"/>
      <c r="I8" s="57" t="n">
        <v>0.941176470588</v>
      </c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BB8" s="81" t="inlineStr">
        <is>
          <t>A</t>
        </is>
      </c>
      <c r="BC8" s="81" t="inlineStr">
        <is>
          <t>Fires faster and reloads quicker</t>
        </is>
      </c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1.25</v>
      </c>
      <c r="H9" s="57" t="n">
        <v>1.5</v>
      </c>
      <c r="I9" s="57" t="n">
        <v>0.875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BB9" s="81" t="inlineStr">
        <is>
          <t>A</t>
        </is>
      </c>
      <c r="BC9" s="81" t="inlineStr">
        <is>
          <t>Both guns go full-auto</t>
        </is>
      </c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1</v>
      </c>
      <c r="K13" s="57" t="n">
        <v>1</v>
      </c>
      <c r="L13" s="57" t="n">
        <v>1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BB13" s="81" t="inlineStr">
        <is>
          <t>A</t>
        </is>
      </c>
      <c r="BC13" s="81" t="inlineStr">
        <is>
          <t>Shots pierce armour</t>
        </is>
      </c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0.833333333333</v>
      </c>
      <c r="K14" s="57" t="n">
        <v>0.8</v>
      </c>
      <c r="L14" s="57" t="n">
        <v>1.125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n"/>
      <c r="AH14" s="57" t="n"/>
      <c r="AI14" s="57" t="n"/>
      <c r="BB14" s="81" t="inlineStr">
        <is>
          <t>A</t>
        </is>
      </c>
      <c r="BC14" s="81" t="inlineStr">
        <is>
          <t>Triple damage to marked dinos</t>
        </is>
      </c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</v>
      </c>
      <c r="I18" s="57" t="n">
        <v>1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  <c r="BB18" s="81" t="inlineStr">
        <is>
          <t>A</t>
        </is>
      </c>
      <c r="BC18" s="81" t="inlineStr">
        <is>
          <t>Your Tracking Dart is ready again sooner</t>
        </is>
      </c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</v>
      </c>
      <c r="I19" s="57" t="n">
        <v>1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1</v>
      </c>
      <c r="AD19" s="57" t="n"/>
      <c r="AE19" s="57" t="n"/>
      <c r="AF19" s="57" t="n"/>
      <c r="AG19" s="57" t="n"/>
      <c r="AH19" s="57" t="n"/>
      <c r="AI19" s="57" t="n"/>
      <c r="BB19" s="81" t="inlineStr">
        <is>
          <t>A</t>
        </is>
      </c>
      <c r="BC19" s="81" t="inlineStr">
        <is>
          <t>Shots bounce 4 times</t>
        </is>
      </c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</v>
      </c>
      <c r="H23" s="57" t="n"/>
      <c r="I23" s="57" t="n"/>
      <c r="J23" s="57" t="n">
        <v>1</v>
      </c>
      <c r="K23" s="57" t="n">
        <v>0.75</v>
      </c>
      <c r="L23" s="57" t="n">
        <v>1.3</v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BB23" s="81" t="inlineStr">
        <is>
          <t>A</t>
        </is>
      </c>
      <c r="BC23" s="81" t="inlineStr">
        <is>
          <t>Less kick and longer reach</t>
        </is>
      </c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1.071428571429</v>
      </c>
      <c r="H24" s="57" t="n"/>
      <c r="I24" s="57" t="n"/>
      <c r="J24" s="57" t="n">
        <v>0.5</v>
      </c>
      <c r="K24" s="57" t="n">
        <v>0.833333333333</v>
      </c>
      <c r="L24" s="57" t="n">
        <v>1.153846153846</v>
      </c>
      <c r="M24" s="57" t="n">
        <v>1.3</v>
      </c>
      <c r="N24" s="57" t="n"/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BB24" s="81" t="inlineStr">
        <is>
          <t>A</t>
        </is>
      </c>
      <c r="BC24" s="81" t="inlineStr">
        <is>
          <t>4-round bursts with a much tighter grouping</t>
        </is>
      </c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</v>
      </c>
      <c r="I28" s="57" t="n">
        <v>1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>
        <v>0.3</v>
      </c>
      <c r="AF28" s="57" t="n"/>
      <c r="AG28" s="57" t="n"/>
      <c r="AH28" s="57" t="n"/>
      <c r="AI28" s="57" t="n"/>
      <c r="BB28" s="81" t="inlineStr">
        <is>
          <t>A</t>
        </is>
      </c>
      <c r="BC28" s="81" t="inlineStr">
        <is>
          <t>Much less kick while you stand still</t>
        </is>
      </c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1.294117647059</v>
      </c>
      <c r="I29" s="57" t="n">
        <v>1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>
        <v>1</v>
      </c>
      <c r="AF29" s="57" t="n">
        <v>2.5</v>
      </c>
      <c r="AG29" s="57" t="n"/>
      <c r="AH29" s="57" t="n"/>
      <c r="AI29" s="57" t="n"/>
      <c r="BB29" s="81" t="inlineStr">
        <is>
          <t>A</t>
        </is>
      </c>
      <c r="BC29" s="81" t="inlineStr">
        <is>
          <t>Fire rate climbs while you hold the trigger</t>
        </is>
      </c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BB33" s="81" t="inlineStr">
        <is>
          <t>A</t>
        </is>
      </c>
      <c r="BC33" s="81" t="inlineStr">
        <is>
          <t>Hits harder and reaches further</t>
        </is>
      </c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</v>
      </c>
      <c r="M34" s="57" t="n">
        <v>1</v>
      </c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>
        <v>4</v>
      </c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BB34" s="81" t="inlineStr">
        <is>
          <t>A</t>
        </is>
      </c>
      <c r="BC34" s="81" t="inlineStr">
        <is>
          <t>Shots burst with a small splash</t>
        </is>
      </c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0.8</v>
      </c>
      <c r="K38" s="57" t="n"/>
      <c r="L38" s="57" t="n">
        <v>1.181818181818</v>
      </c>
      <c r="M38" s="57" t="n">
        <v>1</v>
      </c>
      <c r="N38" s="57" t="n"/>
      <c r="O38" s="57" t="n"/>
      <c r="P38" s="57" t="n"/>
      <c r="Q38" s="57" t="n"/>
      <c r="R38" s="57" t="n"/>
      <c r="S38" s="57" t="n">
        <v>3</v>
      </c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BB38" s="81" t="inlineStr">
        <is>
          <t>A</t>
        </is>
      </c>
      <c r="BC38" s="81" t="inlineStr">
        <is>
          <t>Tighter, longer slugs that go through 3 dinos</t>
        </is>
      </c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0.625</v>
      </c>
      <c r="K39" s="57" t="n"/>
      <c r="L39" s="57" t="n">
        <v>1.153846153846</v>
      </c>
      <c r="M39" s="57" t="n">
        <v>1.492537313433</v>
      </c>
      <c r="N39" s="57" t="n"/>
      <c r="O39" s="57" t="n"/>
      <c r="P39" s="57" t="n"/>
      <c r="Q39" s="57" t="n"/>
      <c r="R39" s="57" t="n"/>
      <c r="S39" s="57" t="n">
        <v>6</v>
      </c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BB39" s="81" t="inlineStr">
        <is>
          <t>A</t>
        </is>
      </c>
      <c r="BC39" s="81" t="inlineStr">
        <is>
          <t>Slugs go through 6 dinos</t>
        </is>
      </c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1</v>
      </c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BB43" s="81" t="inlineStr">
        <is>
          <t>A</t>
        </is>
      </c>
      <c r="BC43" s="81" t="inlineStr">
        <is>
          <t>Fires faster and reloads quicker</t>
        </is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1.375</v>
      </c>
      <c r="H44" s="57" t="n">
        <v>2</v>
      </c>
      <c r="I44" s="57" t="n">
        <v>1</v>
      </c>
      <c r="J44" s="57" t="n">
        <v>1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BB44" s="81" t="inlineStr">
        <is>
          <t>A</t>
        </is>
      </c>
      <c r="BC44" s="81" t="inlineStr">
        <is>
          <t>A full-auto drum</t>
        </is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</v>
      </c>
      <c r="I48" s="57" t="n">
        <v>1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BB48" s="81" t="inlineStr">
        <is>
          <t>A</t>
        </is>
      </c>
      <c r="BC48" s="81" t="inlineStr">
        <is>
          <t>Blasts knock dinos back</t>
        </is>
      </c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</v>
      </c>
      <c r="I49" s="57" t="n">
        <v>1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BB49" s="81" t="inlineStr">
        <is>
          <t>A</t>
        </is>
      </c>
      <c r="BC49" s="81" t="inlineStr">
        <is>
          <t>Shells explode on impact</t>
        </is>
      </c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1</v>
      </c>
      <c r="AD53" s="57" t="n"/>
      <c r="AE53" s="57" t="n"/>
      <c r="AF53" s="57" t="n"/>
      <c r="AG53" s="57" t="n"/>
      <c r="AH53" s="57" t="n"/>
      <c r="AI53" s="57" t="n"/>
      <c r="AJ53" s="81" t="n">
        <v>1</v>
      </c>
      <c r="AK53" s="81" t="n">
        <v>1.5</v>
      </c>
      <c r="AL53" s="81" t="n"/>
      <c r="BB53" s="81" t="inlineStr">
        <is>
          <t>A</t>
        </is>
      </c>
      <c r="BC53" s="81" t="inlineStr">
        <is>
          <t>Your Triage Kit heals a wider area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1</v>
      </c>
      <c r="AD54" s="57" t="n"/>
      <c r="AE54" s="57" t="n"/>
      <c r="AF54" s="57" t="n"/>
      <c r="AG54" s="57" t="n"/>
      <c r="AH54" s="57" t="n"/>
      <c r="AI54" s="57" t="n"/>
      <c r="AJ54" s="81" t="n">
        <v>1</v>
      </c>
      <c r="AK54" s="81" t="n">
        <v>1</v>
      </c>
      <c r="AL54" s="81" t="n"/>
      <c r="AM54" s="81" t="n">
        <v>30</v>
      </c>
      <c r="AN54" s="81" t="n">
        <v>8</v>
      </c>
      <c r="BB54" s="81" t="inlineStr">
        <is>
          <t>A</t>
        </is>
      </c>
      <c r="BC54" s="81" t="inlineStr">
        <is>
          <t>Everyone you heal takes less damage for a while</t>
        </is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</v>
      </c>
      <c r="H58" s="57" t="n">
        <v>1</v>
      </c>
      <c r="I58" s="57" t="n">
        <v>1</v>
      </c>
      <c r="J58" s="57" t="n"/>
      <c r="K58" s="57" t="n">
        <v>0.5</v>
      </c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  <c r="BB58" s="81" t="inlineStr">
        <is>
          <t>A</t>
        </is>
      </c>
      <c r="BC58" s="81" t="inlineStr">
        <is>
          <t>Half the kick</t>
        </is>
      </c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1.333333333333</v>
      </c>
      <c r="H59" s="57" t="n">
        <v>1</v>
      </c>
      <c r="I59" s="57" t="n">
        <v>1</v>
      </c>
      <c r="J59" s="57" t="n"/>
      <c r="K59" s="57" t="n">
        <v>1</v>
      </c>
      <c r="L59" s="57" t="n"/>
      <c r="M59" s="57" t="n"/>
      <c r="N59" s="57" t="inlineStr">
        <is>
          <t>auto</t>
        </is>
      </c>
      <c r="O59" s="57" t="n">
        <v>0</v>
      </c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BB59" s="81" t="inlineStr">
        <is>
          <t>A</t>
        </is>
      </c>
      <c r="BC59" s="81" t="inlineStr">
        <is>
          <t>Goes full auto</t>
        </is>
      </c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/>
      <c r="AP63" s="81" t="n"/>
      <c r="AQ63" s="81" t="n">
        <v>3</v>
      </c>
      <c r="BB63" s="81" t="inlineStr">
        <is>
          <t>A</t>
        </is>
      </c>
      <c r="BC63" s="81" t="inlineStr">
        <is>
          <t>Jaw Lock keeps a dino's jaws shut for longer</t>
        </is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/>
      <c r="AP64" s="81" t="n"/>
      <c r="AQ64" s="81" t="n"/>
      <c r="AR64" s="81" t="n">
        <v>6</v>
      </c>
      <c r="BB64" s="81" t="inlineStr">
        <is>
          <t>A</t>
        </is>
      </c>
      <c r="BC64" s="81" t="inlineStr">
        <is>
          <t>Jaw Lock spreads to nearby dinos</t>
        </is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1</v>
      </c>
      <c r="H65" s="57" t="n">
        <v>1</v>
      </c>
      <c r="I65" s="57" t="n">
        <v>0.8</v>
      </c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1</v>
      </c>
      <c r="K66" s="57" t="n">
        <v>1</v>
      </c>
      <c r="L66" s="57" t="n">
        <v>1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>
        <v>1</v>
      </c>
      <c r="AC66" s="57" t="n"/>
      <c r="AD66" s="57" t="n"/>
      <c r="AE66" s="57" t="n"/>
      <c r="AF66" s="57" t="n"/>
      <c r="AG66" s="57" t="n"/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</v>
      </c>
      <c r="I67" s="57" t="n">
        <v>1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1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</v>
      </c>
      <c r="H68" s="57" t="n"/>
      <c r="I68" s="57" t="n"/>
      <c r="J68" s="57" t="n">
        <v>1</v>
      </c>
      <c r="K68" s="57" t="n">
        <v>1</v>
      </c>
      <c r="L68" s="57" t="n">
        <v>1</v>
      </c>
      <c r="M68" s="57" t="n">
        <v>1</v>
      </c>
      <c r="N68" s="57" t="n"/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1</v>
      </c>
      <c r="I69" s="57" t="n">
        <v>1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>
        <v>1</v>
      </c>
      <c r="AF69" s="57" t="n">
        <v>1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</v>
      </c>
      <c r="M70" s="57" t="n">
        <v>1</v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>
        <v>6</v>
      </c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1</v>
      </c>
      <c r="K71" s="57" t="n"/>
      <c r="L71" s="57" t="n">
        <v>1</v>
      </c>
      <c r="M71" s="57" t="n">
        <v>1</v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1</v>
      </c>
      <c r="H72" s="57" t="n">
        <v>1.5</v>
      </c>
      <c r="I72" s="57" t="n">
        <v>1</v>
      </c>
      <c r="J72" s="57" t="n">
        <v>1</v>
      </c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</v>
      </c>
      <c r="I73" s="57" t="n">
        <v>1.25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1</v>
      </c>
      <c r="AD74" s="57" t="n"/>
      <c r="AE74" s="57" t="n"/>
      <c r="AF74" s="57" t="n"/>
      <c r="AG74" s="57" t="n"/>
      <c r="AH74" s="57" t="n"/>
      <c r="AI74" s="57" t="n"/>
      <c r="AJ74" s="81" t="n">
        <v>1</v>
      </c>
      <c r="AK74" s="81" t="n">
        <v>1</v>
      </c>
      <c r="AL74" s="81" t="n"/>
      <c r="AM74" s="81" t="n"/>
      <c r="AN74" s="81" t="n"/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</v>
      </c>
      <c r="H75" s="57" t="n">
        <v>1.5</v>
      </c>
      <c r="I75" s="57" t="n">
        <v>0.5</v>
      </c>
      <c r="J75" s="57" t="n"/>
      <c r="K75" s="57" t="n">
        <v>1</v>
      </c>
      <c r="L75" s="57" t="n"/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/>
      <c r="AP76" s="81" t="n"/>
      <c r="AQ76" s="81" t="n">
        <v>4</v>
      </c>
      <c r="AR76" s="81" t="n">
        <v>9</v>
      </c>
    </row>
    <row r="77">
      <c r="A77" s="43" t="inlineStr">
        <is>
          <t>Tracker</t>
        </is>
      </c>
      <c r="B77" s="43" t="inlineStr">
        <is>
          <t>Gunslinger</t>
        </is>
      </c>
      <c r="C77" s="43" t="inlineStr">
        <is>
          <t>handling</t>
        </is>
      </c>
      <c r="D77" s="43" t="n">
        <v>4</v>
      </c>
      <c r="E77" s="43" t="inlineStr">
        <is>
          <t>Deep Cylinders</t>
        </is>
      </c>
      <c r="F77" s="56">
        <f>F8</f>
        <v/>
      </c>
      <c r="G77" s="57" t="n">
        <v>1.15</v>
      </c>
      <c r="H77" s="57" t="n">
        <v>1.5</v>
      </c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BB77" s="81" t="inlineStr">
        <is>
          <t>B</t>
        </is>
      </c>
      <c r="BC77" s="81" t="inlineStr">
        <is>
          <t>Both guns hold 50% more and fire 15% faster</t>
        </is>
      </c>
    </row>
    <row r="78">
      <c r="A78" s="43" t="inlineStr">
        <is>
          <t>Tracker</t>
        </is>
      </c>
      <c r="B78" s="43" t="inlineStr">
        <is>
          <t>Gunslinger</t>
        </is>
      </c>
      <c r="C78" s="43" t="inlineStr">
        <is>
          <t>handling</t>
        </is>
      </c>
      <c r="D78" s="43" t="n">
        <v>4</v>
      </c>
      <c r="E78" s="43" t="inlineStr">
        <is>
          <t>Crossdraw</t>
        </is>
      </c>
      <c r="F78" s="56">
        <f>F8</f>
        <v/>
      </c>
      <c r="G78" s="57" t="n">
        <v>1.15</v>
      </c>
      <c r="H78" s="57" t="n"/>
      <c r="I78" s="57" t="n">
        <v>0.65</v>
      </c>
      <c r="J78" s="57" t="n"/>
      <c r="K78" s="57" t="n"/>
      <c r="L78" s="57" t="n"/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/>
      <c r="AC78" s="57" t="n"/>
      <c r="AD78" s="57" t="n"/>
      <c r="AE78" s="57" t="n"/>
      <c r="AF78" s="57" t="n"/>
      <c r="AG78" s="57" t="n"/>
      <c r="AH78" s="57" t="n"/>
      <c r="AI78" s="57" t="n"/>
      <c r="BB78" s="81" t="inlineStr">
        <is>
          <t>C</t>
        </is>
      </c>
      <c r="BC78" s="81" t="inlineStr">
        <is>
          <t>Reload 35% faster, fire 15% faster</t>
        </is>
      </c>
    </row>
    <row r="79">
      <c r="A79" s="43" t="inlineStr">
        <is>
          <t>Tracker</t>
        </is>
      </c>
      <c r="B79" s="43" t="inlineStr">
        <is>
          <t>Gunslinger</t>
        </is>
      </c>
      <c r="C79" s="43" t="inlineStr">
        <is>
          <t>handling</t>
        </is>
      </c>
      <c r="D79" s="43" t="n">
        <v>5</v>
      </c>
      <c r="E79" s="43" t="inlineStr">
        <is>
          <t>Twin Burst</t>
        </is>
      </c>
      <c r="F79" s="56">
        <f>F9</f>
        <v/>
      </c>
      <c r="G79" s="57" t="n">
        <v>1.3</v>
      </c>
      <c r="H79" s="57" t="n">
        <v>1.3</v>
      </c>
      <c r="I79" s="57" t="n"/>
      <c r="J79" s="57" t="n"/>
      <c r="K79" s="57" t="n"/>
      <c r="L79" s="57" t="n"/>
      <c r="M79" s="57" t="n"/>
      <c r="N79" s="57" t="inlineStr">
        <is>
          <t>burst</t>
        </is>
      </c>
      <c r="O79" s="57" t="n">
        <v>3</v>
      </c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BB79" s="81" t="inlineStr">
        <is>
          <t>B</t>
        </is>
      </c>
      <c r="BC79" s="81" t="inlineStr">
        <is>
          <t>Each click fires a 3-round burst, 30% faster</t>
        </is>
      </c>
    </row>
    <row r="80">
      <c r="A80" s="43" t="inlineStr">
        <is>
          <t>Tracker</t>
        </is>
      </c>
      <c r="B80" s="43" t="inlineStr">
        <is>
          <t>Gunslinger</t>
        </is>
      </c>
      <c r="C80" s="43" t="inlineStr">
        <is>
          <t>handling</t>
        </is>
      </c>
      <c r="D80" s="43" t="n">
        <v>5</v>
      </c>
      <c r="E80" s="43" t="inlineStr">
        <is>
          <t>Steady Pair</t>
        </is>
      </c>
      <c r="F80" s="56">
        <f>F9</f>
        <v/>
      </c>
      <c r="G80" s="57" t="n">
        <v>1.1</v>
      </c>
      <c r="H80" s="57" t="n"/>
      <c r="I80" s="57" t="n"/>
      <c r="J80" s="57" t="n">
        <v>0.8</v>
      </c>
      <c r="K80" s="57" t="n">
        <v>0.5</v>
      </c>
      <c r="L80" s="57" t="n"/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BB80" s="81" t="inlineStr">
        <is>
          <t>C</t>
        </is>
      </c>
      <c r="BC80" s="81" t="inlineStr">
        <is>
          <t>Half the kick, tighter aim, 10% faster</t>
        </is>
      </c>
    </row>
    <row r="81">
      <c r="A81" s="43" t="inlineStr">
        <is>
          <t>Tracker</t>
        </is>
      </c>
      <c r="B81" s="43" t="inlineStr">
        <is>
          <t>Marksman</t>
        </is>
      </c>
      <c r="C81" s="43" t="inlineStr">
        <is>
          <t>accuracy</t>
        </is>
      </c>
      <c r="D81" s="43" t="n">
        <v>4</v>
      </c>
      <c r="E81" s="43" t="inlineStr">
        <is>
          <t>Quick Cock</t>
        </is>
      </c>
      <c r="F81" s="56">
        <f>F13</f>
        <v/>
      </c>
      <c r="G81" s="57" t="n">
        <v>1.2</v>
      </c>
      <c r="H81" s="57" t="n"/>
      <c r="I81" s="57" t="n"/>
      <c r="J81" s="57" t="n"/>
      <c r="K81" s="57" t="n"/>
      <c r="L81" s="57" t="n"/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BB81" s="81" t="inlineStr">
        <is>
          <t>B</t>
        </is>
      </c>
      <c r="BC81" s="81" t="inlineStr">
        <is>
          <t>Fire 20% faster, scope and all</t>
        </is>
      </c>
    </row>
    <row r="82">
      <c r="A82" s="43" t="inlineStr">
        <is>
          <t>Tracker</t>
        </is>
      </c>
      <c r="B82" s="43" t="inlineStr">
        <is>
          <t>Marksman</t>
        </is>
      </c>
      <c r="C82" s="43" t="inlineStr">
        <is>
          <t>accuracy</t>
        </is>
      </c>
      <c r="D82" s="43" t="n">
        <v>4</v>
      </c>
      <c r="E82" s="43" t="inlineStr">
        <is>
          <t>Breath Control</t>
        </is>
      </c>
      <c r="F82" s="56">
        <f>F13</f>
        <v/>
      </c>
      <c r="G82" s="57" t="n"/>
      <c r="H82" s="57" t="n"/>
      <c r="I82" s="57" t="n"/>
      <c r="J82" s="57" t="n"/>
      <c r="K82" s="57" t="n">
        <v>0.5</v>
      </c>
      <c r="L82" s="57" t="n">
        <v>1.35</v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BB82" s="81" t="inlineStr">
        <is>
          <t>C</t>
        </is>
      </c>
      <c r="BC82" s="81" t="inlineStr">
        <is>
          <t>Half the kick; the scope reaches 35% further</t>
        </is>
      </c>
    </row>
    <row r="83">
      <c r="A83" s="43" t="inlineStr">
        <is>
          <t>Tracker</t>
        </is>
      </c>
      <c r="B83" s="43" t="inlineStr">
        <is>
          <t>Marksman</t>
        </is>
      </c>
      <c r="C83" s="43" t="inlineStr">
        <is>
          <t>accuracy</t>
        </is>
      </c>
      <c r="D83" s="43" t="n">
        <v>5</v>
      </c>
      <c r="E83" s="43" t="inlineStr">
        <is>
          <t>Quick Scope</t>
        </is>
      </c>
      <c r="F83" s="56">
        <f>F14</f>
        <v/>
      </c>
      <c r="G83" s="57" t="n">
        <v>1.7</v>
      </c>
      <c r="H83" s="57" t="n"/>
      <c r="I83" s="57" t="n"/>
      <c r="J83" s="57" t="n"/>
      <c r="K83" s="57" t="n">
        <v>0.7</v>
      </c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BB83" s="81" t="inlineStr">
        <is>
          <t>B</t>
        </is>
      </c>
      <c r="BC83" s="81" t="inlineStr">
        <is>
          <t>Fire 70% faster with 30% less kick</t>
        </is>
      </c>
    </row>
    <row r="84">
      <c r="A84" s="43" t="inlineStr">
        <is>
          <t>Tracker</t>
        </is>
      </c>
      <c r="B84" s="43" t="inlineStr">
        <is>
          <t>Marksman</t>
        </is>
      </c>
      <c r="C84" s="43" t="inlineStr">
        <is>
          <t>accuracy</t>
        </is>
      </c>
      <c r="D84" s="43" t="n">
        <v>5</v>
      </c>
      <c r="E84" s="43" t="inlineStr">
        <is>
          <t>Hunter's Mark</t>
        </is>
      </c>
      <c r="F84" s="56">
        <f>F14</f>
        <v/>
      </c>
      <c r="G84" s="57" t="n"/>
      <c r="H84" s="57" t="n"/>
      <c r="I84" s="57" t="n"/>
      <c r="J84" s="57" t="n">
        <v>0.8</v>
      </c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>
        <v>35</v>
      </c>
      <c r="AB84" s="57" t="n"/>
      <c r="AC84" s="57" t="n"/>
      <c r="AD84" s="57" t="n"/>
      <c r="AE84" s="57" t="n"/>
      <c r="AF84" s="57" t="n"/>
      <c r="AG84" s="57" t="n"/>
      <c r="AH84" s="57" t="n"/>
      <c r="AI84" s="57" t="n"/>
      <c r="BB84" s="81" t="inlineStr">
        <is>
          <t>C</t>
        </is>
      </c>
      <c r="BC84" s="81" t="inlineStr">
        <is>
          <t>Hits mark dinos: +35% from everything</t>
        </is>
      </c>
    </row>
    <row r="85">
      <c r="A85" s="43" t="inlineStr">
        <is>
          <t>Tracker</t>
        </is>
      </c>
      <c r="B85" s="43" t="inlineStr">
        <is>
          <t>Trick Shot</t>
        </is>
      </c>
      <c r="C85" s="43" t="inlineStr">
        <is>
          <t>utility</t>
        </is>
      </c>
      <c r="D85" s="43" t="n">
        <v>4</v>
      </c>
      <c r="E85" s="43" t="inlineStr">
        <is>
          <t>Bank Shot</t>
        </is>
      </c>
      <c r="F85" s="56">
        <f>F18</f>
        <v/>
      </c>
      <c r="G85" s="57" t="n"/>
      <c r="H85" s="57" t="n"/>
      <c r="I85" s="57" t="n"/>
      <c r="J85" s="57" t="n"/>
      <c r="K85" s="57" t="n"/>
      <c r="L85" s="57" t="n"/>
      <c r="M85" s="57" t="n"/>
      <c r="N85" s="57" t="n"/>
      <c r="O85" s="57" t="n"/>
      <c r="P85" s="57" t="n"/>
      <c r="Q85" s="57" t="n"/>
      <c r="R85" s="57" t="n"/>
      <c r="S85" s="57" t="n"/>
      <c r="T85" s="57" t="n">
        <v>2</v>
      </c>
      <c r="U85" s="57" t="n"/>
      <c r="V85" s="57" t="n"/>
      <c r="W85" s="57" t="n"/>
      <c r="X85" s="57" t="n"/>
      <c r="Y85" s="57" t="n"/>
      <c r="Z85" s="57" t="n"/>
      <c r="AA85" s="57" t="n"/>
      <c r="AB85" s="57" t="n"/>
      <c r="AC85" s="57" t="n"/>
      <c r="AD85" s="57" t="n"/>
      <c r="AE85" s="57" t="n"/>
      <c r="AF85" s="57" t="n"/>
      <c r="AG85" s="57" t="n"/>
      <c r="AH85" s="57" t="n"/>
      <c r="AI85" s="57" t="n"/>
      <c r="BB85" s="81" t="inlineStr">
        <is>
          <t>B</t>
        </is>
      </c>
      <c r="BC85" s="81" t="inlineStr">
        <is>
          <t>Ricochets bounce twice</t>
        </is>
      </c>
    </row>
    <row r="86">
      <c r="A86" s="43" t="inlineStr">
        <is>
          <t>Tracker</t>
        </is>
      </c>
      <c r="B86" s="43" t="inlineStr">
        <is>
          <t>Trick Shot</t>
        </is>
      </c>
      <c r="C86" s="43" t="inlineStr">
        <is>
          <t>utility</t>
        </is>
      </c>
      <c r="D86" s="43" t="n">
        <v>4</v>
      </c>
      <c r="E86" s="43" t="inlineStr">
        <is>
          <t>Quick Fingers</t>
        </is>
      </c>
      <c r="F86" s="56">
        <f>F18</f>
        <v/>
      </c>
      <c r="G86" s="57" t="n">
        <v>1.07</v>
      </c>
      <c r="H86" s="57" t="n"/>
      <c r="I86" s="57" t="n">
        <v>0.7</v>
      </c>
      <c r="J86" s="57" t="n"/>
      <c r="K86" s="57" t="n"/>
      <c r="L86" s="57" t="n"/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/>
      <c r="AC86" s="57" t="n"/>
      <c r="AD86" s="57" t="n"/>
      <c r="AE86" s="57" t="n"/>
      <c r="AF86" s="57" t="n"/>
      <c r="AG86" s="57" t="n"/>
      <c r="AH86" s="57" t="n"/>
      <c r="AI86" s="57" t="n"/>
      <c r="BB86" s="81" t="inlineStr">
        <is>
          <t>C</t>
        </is>
      </c>
      <c r="BC86" s="81" t="inlineStr">
        <is>
          <t>Reload 30% faster, fire a bit faster</t>
        </is>
      </c>
    </row>
    <row r="87">
      <c r="A87" s="43" t="inlineStr">
        <is>
          <t>Tracker</t>
        </is>
      </c>
      <c r="B87" s="43" t="inlineStr">
        <is>
          <t>Trick Shot</t>
        </is>
      </c>
      <c r="C87" s="43" t="inlineStr">
        <is>
          <t>utility</t>
        </is>
      </c>
      <c r="D87" s="43" t="n">
        <v>5</v>
      </c>
      <c r="E87" s="43" t="inlineStr">
        <is>
          <t>Pinball</t>
        </is>
      </c>
      <c r="F87" s="56">
        <f>F19</f>
        <v/>
      </c>
      <c r="G87" s="57" t="n">
        <v>1.17</v>
      </c>
      <c r="H87" s="57" t="n">
        <v>1.5</v>
      </c>
      <c r="I87" s="57" t="n"/>
      <c r="J87" s="57" t="n"/>
      <c r="K87" s="57" t="n"/>
      <c r="L87" s="57" t="n"/>
      <c r="M87" s="57" t="n"/>
      <c r="N87" s="57" t="n"/>
      <c r="O87" s="57" t="n"/>
      <c r="P87" s="57" t="n"/>
      <c r="Q87" s="57" t="n"/>
      <c r="R87" s="57" t="n"/>
      <c r="S87" s="57" t="n"/>
      <c r="T87" s="57" t="n">
        <v>3</v>
      </c>
      <c r="U87" s="57" t="n"/>
      <c r="V87" s="57" t="n"/>
      <c r="W87" s="57" t="n"/>
      <c r="X87" s="57" t="n"/>
      <c r="Y87" s="57" t="n"/>
      <c r="Z87" s="57" t="n"/>
      <c r="AA87" s="57" t="n"/>
      <c r="AB87" s="57" t="n"/>
      <c r="AC87" s="57" t="n"/>
      <c r="AD87" s="57" t="n"/>
      <c r="AE87" s="57" t="n"/>
      <c r="AF87" s="57" t="n"/>
      <c r="AG87" s="57" t="n"/>
      <c r="AH87" s="57" t="n"/>
      <c r="AI87" s="57" t="n"/>
      <c r="BB87" s="81" t="inlineStr">
        <is>
          <t>B</t>
        </is>
      </c>
      <c r="BC87" s="81" t="inlineStr">
        <is>
          <t>3 bounces, a bigger cylinder, faster shots</t>
        </is>
      </c>
    </row>
    <row r="88">
      <c r="A88" s="43" t="inlineStr">
        <is>
          <t>Tracker</t>
        </is>
      </c>
      <c r="B88" s="43" t="inlineStr">
        <is>
          <t>Trick Shot</t>
        </is>
      </c>
      <c r="C88" s="43" t="inlineStr">
        <is>
          <t>utility</t>
        </is>
      </c>
      <c r="D88" s="43" t="n">
        <v>5</v>
      </c>
      <c r="E88" s="43" t="inlineStr">
        <is>
          <t>Dart Storm</t>
        </is>
      </c>
      <c r="F88" s="56">
        <f>F19</f>
        <v/>
      </c>
      <c r="G88" s="57" t="n">
        <v>1.15</v>
      </c>
      <c r="H88" s="57" t="n"/>
      <c r="I88" s="57" t="n"/>
      <c r="J88" s="57" t="n"/>
      <c r="K88" s="57" t="n"/>
      <c r="L88" s="57" t="n"/>
      <c r="M88" s="57" t="n"/>
      <c r="N88" s="57" t="n"/>
      <c r="O88" s="57" t="n"/>
      <c r="P88" s="57" t="n"/>
      <c r="Q88" s="57" t="n"/>
      <c r="R88" s="57" t="n"/>
      <c r="S88" s="57" t="n"/>
      <c r="T88" s="57" t="n">
        <v>3</v>
      </c>
      <c r="U88" s="57" t="n"/>
      <c r="V88" s="57" t="n"/>
      <c r="W88" s="57" t="n"/>
      <c r="X88" s="57" t="n"/>
      <c r="Y88" s="57" t="n"/>
      <c r="Z88" s="57" t="n"/>
      <c r="AA88" s="57" t="n"/>
      <c r="AB88" s="57" t="n"/>
      <c r="AC88" s="57" t="n">
        <v>0.75</v>
      </c>
      <c r="AD88" s="57" t="n"/>
      <c r="AE88" s="57" t="n"/>
      <c r="AF88" s="57" t="n"/>
      <c r="AG88" s="57" t="n"/>
      <c r="AH88" s="57" t="n"/>
      <c r="AI88" s="57" t="n"/>
      <c r="BB88" s="81" t="inlineStr">
        <is>
          <t>C</t>
        </is>
      </c>
      <c r="BC88" s="81" t="inlineStr">
        <is>
          <t>3 bounces, faster shots, Tracking Dart sooner</t>
        </is>
      </c>
    </row>
    <row r="89">
      <c r="A89" s="43" t="inlineStr">
        <is>
          <t>Big Game Hunter</t>
        </is>
      </c>
      <c r="B89" s="43" t="inlineStr">
        <is>
          <t>Stalker</t>
        </is>
      </c>
      <c r="C89" s="43" t="inlineStr">
        <is>
          <t>control</t>
        </is>
      </c>
      <c r="D89" s="43" t="n">
        <v>4</v>
      </c>
      <c r="E89" s="43" t="inlineStr">
        <is>
          <t>Snap Bursts</t>
        </is>
      </c>
      <c r="F89" s="56">
        <f>F23</f>
        <v/>
      </c>
      <c r="G89" s="57" t="n">
        <v>1.2</v>
      </c>
      <c r="H89" s="57" t="n"/>
      <c r="I89" s="57" t="n"/>
      <c r="J89" s="57" t="n"/>
      <c r="K89" s="57" t="n"/>
      <c r="L89" s="57" t="n"/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/>
      <c r="AC89" s="57" t="n"/>
      <c r="AD89" s="57" t="n"/>
      <c r="AE89" s="57" t="n"/>
      <c r="AF89" s="57" t="n"/>
      <c r="AG89" s="57" t="n"/>
      <c r="AH89" s="57" t="n"/>
      <c r="AI89" s="57" t="n"/>
      <c r="BB89" s="81" t="inlineStr">
        <is>
          <t>B</t>
        </is>
      </c>
      <c r="BC89" s="81" t="inlineStr">
        <is>
          <t>Bursts come 20% faster</t>
        </is>
      </c>
    </row>
    <row r="90">
      <c r="A90" s="43" t="inlineStr">
        <is>
          <t>Big Game Hunter</t>
        </is>
      </c>
      <c r="B90" s="43" t="inlineStr">
        <is>
          <t>Stalker</t>
        </is>
      </c>
      <c r="C90" s="43" t="inlineStr">
        <is>
          <t>control</t>
        </is>
      </c>
      <c r="D90" s="43" t="n">
        <v>4</v>
      </c>
      <c r="E90" s="43" t="inlineStr">
        <is>
          <t>Quick Mag</t>
        </is>
      </c>
      <c r="F90" s="56">
        <f>F23</f>
        <v/>
      </c>
      <c r="G90" s="57" t="n"/>
      <c r="H90" s="57" t="n"/>
      <c r="I90" s="57" t="n">
        <v>0.75</v>
      </c>
      <c r="J90" s="57" t="n"/>
      <c r="K90" s="57" t="n"/>
      <c r="L90" s="57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BB90" s="81" t="inlineStr">
        <is>
          <t>C</t>
        </is>
      </c>
      <c r="BC90" s="81" t="inlineStr">
        <is>
          <t>Reload 25% faster</t>
        </is>
      </c>
    </row>
    <row r="91">
      <c r="A91" s="43" t="inlineStr">
        <is>
          <t>Big Game Hunter</t>
        </is>
      </c>
      <c r="B91" s="43" t="inlineStr">
        <is>
          <t>Stalker</t>
        </is>
      </c>
      <c r="C91" s="43" t="inlineStr">
        <is>
          <t>control</t>
        </is>
      </c>
      <c r="D91" s="43" t="n">
        <v>5</v>
      </c>
      <c r="E91" s="43" t="inlineStr">
        <is>
          <t>Marking Burst</t>
        </is>
      </c>
      <c r="F91" s="56">
        <f>F24</f>
        <v/>
      </c>
      <c r="G91" s="57" t="n">
        <v>1.1</v>
      </c>
      <c r="H91" s="57" t="n">
        <v>1.3</v>
      </c>
      <c r="I91" s="57" t="n"/>
      <c r="J91" s="57" t="n"/>
      <c r="K91" s="57" t="n"/>
      <c r="L91" s="57" t="n"/>
      <c r="M91" s="57" t="n"/>
      <c r="N91" s="57" t="n"/>
      <c r="O91" s="57" t="n">
        <v>4</v>
      </c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>
        <v>25</v>
      </c>
      <c r="AB91" s="57" t="n"/>
      <c r="AC91" s="57" t="n"/>
      <c r="AD91" s="57" t="n"/>
      <c r="AE91" s="57" t="n"/>
      <c r="AF91" s="57" t="n"/>
      <c r="AG91" s="57" t="n"/>
      <c r="AH91" s="57" t="n"/>
      <c r="AI91" s="57" t="n"/>
      <c r="BB91" s="81" t="inlineStr">
        <is>
          <t>B</t>
        </is>
      </c>
      <c r="BC91" s="81" t="inlineStr">
        <is>
          <t>4-round bursts that mark: +25% from everything</t>
        </is>
      </c>
    </row>
    <row r="92">
      <c r="A92" s="43" t="inlineStr">
        <is>
          <t>Big Game Hunter</t>
        </is>
      </c>
      <c r="B92" s="43" t="inlineStr">
        <is>
          <t>Stalker</t>
        </is>
      </c>
      <c r="C92" s="43" t="inlineStr">
        <is>
          <t>control</t>
        </is>
      </c>
      <c r="D92" s="43" t="n">
        <v>5</v>
      </c>
      <c r="E92" s="43" t="inlineStr">
        <is>
          <t>Rapid Volley</t>
        </is>
      </c>
      <c r="F92" s="56">
        <f>F24</f>
        <v/>
      </c>
      <c r="G92" s="57" t="n">
        <v>1.35</v>
      </c>
      <c r="H92" s="57" t="n">
        <v>1.5</v>
      </c>
      <c r="I92" s="57" t="n"/>
      <c r="J92" s="57" t="n"/>
      <c r="K92" s="57" t="n">
        <v>0.5</v>
      </c>
      <c r="L92" s="57" t="n"/>
      <c r="M92" s="57" t="n"/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BB92" s="81" t="inlineStr">
        <is>
          <t>C</t>
        </is>
      </c>
      <c r="BC92" s="81" t="inlineStr">
        <is>
          <t>Bursts 35% faster, half the kick, bigger mag</t>
        </is>
      </c>
    </row>
    <row r="93">
      <c r="A93" s="43" t="inlineStr">
        <is>
          <t>Big Game Hunter</t>
        </is>
      </c>
      <c r="B93" s="43" t="inlineStr">
        <is>
          <t>Heavy</t>
        </is>
      </c>
      <c r="C93" s="43" t="inlineStr">
        <is>
          <t>sustain</t>
        </is>
      </c>
      <c r="D93" s="43" t="n">
        <v>4</v>
      </c>
      <c r="E93" s="43" t="inlineStr">
        <is>
          <t>Steady Sling</t>
        </is>
      </c>
      <c r="F93" s="56">
        <f>F28</f>
        <v/>
      </c>
      <c r="G93" s="57" t="n"/>
      <c r="H93" s="57" t="n"/>
      <c r="I93" s="57" t="n"/>
      <c r="J93" s="57" t="n"/>
      <c r="K93" s="57" t="n">
        <v>0.65</v>
      </c>
      <c r="L93" s="57" t="n"/>
      <c r="M93" s="57" t="n"/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BB93" s="81" t="inlineStr">
        <is>
          <t>B</t>
        </is>
      </c>
      <c r="BC93" s="81" t="inlineStr">
        <is>
          <t>35% less kick, moving or not</t>
        </is>
      </c>
    </row>
    <row r="94">
      <c r="A94" s="43" t="inlineStr">
        <is>
          <t>Big Game Hunter</t>
        </is>
      </c>
      <c r="B94" s="43" t="inlineStr">
        <is>
          <t>Heavy</t>
        </is>
      </c>
      <c r="C94" s="43" t="inlineStr">
        <is>
          <t>sustain</t>
        </is>
      </c>
      <c r="D94" s="43" t="n">
        <v>4</v>
      </c>
      <c r="E94" s="43" t="inlineStr">
        <is>
          <t>Quick Belt</t>
        </is>
      </c>
      <c r="F94" s="56">
        <f>F28</f>
        <v/>
      </c>
      <c r="G94" s="57" t="n"/>
      <c r="H94" s="57" t="n"/>
      <c r="I94" s="57" t="n">
        <v>0.7</v>
      </c>
      <c r="J94" s="57" t="n"/>
      <c r="K94" s="57" t="n">
        <v>0.8</v>
      </c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BB94" s="81" t="inlineStr">
        <is>
          <t>C</t>
        </is>
      </c>
      <c r="BC94" s="81" t="inlineStr">
        <is>
          <t>Belt changes 30% faster; 20% less kick</t>
        </is>
      </c>
    </row>
    <row r="95">
      <c r="A95" s="43" t="inlineStr">
        <is>
          <t>Big Game Hunter</t>
        </is>
      </c>
      <c r="B95" s="43" t="inlineStr">
        <is>
          <t>Heavy</t>
        </is>
      </c>
      <c r="C95" s="43" t="inlineStr">
        <is>
          <t>sustain</t>
        </is>
      </c>
      <c r="D95" s="43" t="n">
        <v>5</v>
      </c>
      <c r="E95" s="43" t="inlineStr">
        <is>
          <t>Hot Barrel</t>
        </is>
      </c>
      <c r="F95" s="56">
        <f>F29</f>
        <v/>
      </c>
      <c r="G95" s="57" t="n">
        <v>1.5</v>
      </c>
      <c r="H95" s="57" t="n">
        <v>1.3</v>
      </c>
      <c r="I95" s="57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>
        <v>1.6</v>
      </c>
      <c r="AG95" s="57" t="n"/>
      <c r="AH95" s="57" t="n"/>
      <c r="AI95" s="57" t="n"/>
      <c r="BB95" s="81" t="inlineStr">
        <is>
          <t>B</t>
        </is>
      </c>
      <c r="BC95" s="81" t="inlineStr">
        <is>
          <t>50% faster at once, spins up to +60% more</t>
        </is>
      </c>
    </row>
    <row r="96">
      <c r="A96" s="43" t="inlineStr">
        <is>
          <t>Big Game Hunter</t>
        </is>
      </c>
      <c r="B96" s="43" t="inlineStr">
        <is>
          <t>Heavy</t>
        </is>
      </c>
      <c r="C96" s="43" t="inlineStr">
        <is>
          <t>sustain</t>
        </is>
      </c>
      <c r="D96" s="43" t="n">
        <v>5</v>
      </c>
      <c r="E96" s="43" t="inlineStr">
        <is>
          <t>War Drum</t>
        </is>
      </c>
      <c r="F96" s="56">
        <f>F29</f>
        <v/>
      </c>
      <c r="G96" s="57" t="n"/>
      <c r="H96" s="57" t="n"/>
      <c r="I96" s="57" t="n"/>
      <c r="J96" s="57" t="n"/>
      <c r="K96" s="57" t="n"/>
      <c r="L96" s="57" t="n"/>
      <c r="M96" s="57" t="n"/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>
        <v>0.5</v>
      </c>
      <c r="AD96" s="57" t="n"/>
      <c r="AE96" s="57" t="n"/>
      <c r="AF96" s="57" t="n">
        <v>2.3</v>
      </c>
      <c r="AG96" s="57" t="n"/>
      <c r="AH96" s="57" t="n"/>
      <c r="AI96" s="57" t="n"/>
      <c r="BB96" s="81" t="inlineStr">
        <is>
          <t>C</t>
        </is>
      </c>
      <c r="BC96" s="81" t="inlineStr">
        <is>
          <t>Rally Cry twice as often; spins up to +130%</t>
        </is>
      </c>
    </row>
    <row r="97">
      <c r="A97" s="43" t="inlineStr">
        <is>
          <t>Big Game Hunter</t>
        </is>
      </c>
      <c r="B97" s="43" t="inlineStr">
        <is>
          <t>Special Ammo</t>
        </is>
      </c>
      <c r="C97" s="43" t="inlineStr">
        <is>
          <t>rounds</t>
        </is>
      </c>
      <c r="D97" s="43" t="n">
        <v>4</v>
      </c>
      <c r="E97" s="43" t="inlineStr">
        <is>
          <t>Phosphor Rounds</t>
        </is>
      </c>
      <c r="F97" s="56">
        <f>F33</f>
        <v/>
      </c>
      <c r="G97" s="57" t="n"/>
      <c r="H97" s="57" t="n"/>
      <c r="I97" s="57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>
        <v>1.1</v>
      </c>
      <c r="X97" s="57" t="n">
        <v>3</v>
      </c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BB97" s="81" t="inlineStr">
        <is>
          <t>B</t>
        </is>
      </c>
      <c r="BC97" s="81" t="inlineStr">
        <is>
          <t>Fires burn 10% hotter and 50% longer</t>
        </is>
      </c>
    </row>
    <row r="98">
      <c r="A98" s="43" t="inlineStr">
        <is>
          <t>Big Game Hunter</t>
        </is>
      </c>
      <c r="B98" s="43" t="inlineStr">
        <is>
          <t>Special Ammo</t>
        </is>
      </c>
      <c r="C98" s="43" t="inlineStr">
        <is>
          <t>rounds</t>
        </is>
      </c>
      <c r="D98" s="43" t="n">
        <v>4</v>
      </c>
      <c r="E98" s="43" t="inlineStr">
        <is>
          <t>Bright Tracers</t>
        </is>
      </c>
      <c r="F98" s="56">
        <f>F33</f>
        <v/>
      </c>
      <c r="G98" s="57" t="n"/>
      <c r="H98" s="57" t="n"/>
      <c r="I98" s="57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>
        <v>30</v>
      </c>
      <c r="AB98" s="57" t="n"/>
      <c r="AC98" s="57" t="n"/>
      <c r="AD98" s="57" t="n"/>
      <c r="AE98" s="57" t="n"/>
      <c r="AF98" s="57" t="n"/>
      <c r="AG98" s="57" t="n"/>
      <c r="AH98" s="57" t="n"/>
      <c r="AI98" s="57" t="n"/>
      <c r="BB98" s="81" t="inlineStr">
        <is>
          <t>C</t>
        </is>
      </c>
      <c r="BC98" s="81" t="inlineStr">
        <is>
          <t>Hits mark dinos: +30% from everything</t>
        </is>
      </c>
    </row>
    <row r="99">
      <c r="A99" s="43" t="inlineStr">
        <is>
          <t>Big Game Hunter</t>
        </is>
      </c>
      <c r="B99" s="43" t="inlineStr">
        <is>
          <t>Special Ammo</t>
        </is>
      </c>
      <c r="C99" s="43" t="inlineStr">
        <is>
          <t>rounds</t>
        </is>
      </c>
      <c r="D99" s="43" t="n">
        <v>5</v>
      </c>
      <c r="E99" s="43" t="inlineStr">
        <is>
          <t>Fire Tips</t>
        </is>
      </c>
      <c r="F99" s="56">
        <f>F34</f>
        <v/>
      </c>
      <c r="G99" s="57" t="n"/>
      <c r="H99" s="57" t="n"/>
      <c r="I99" s="57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>
        <v>2.5</v>
      </c>
      <c r="Y99" s="57" t="n">
        <v>3</v>
      </c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BB99" s="81" t="inlineStr">
        <is>
          <t>B</t>
        </is>
      </c>
      <c r="BC99" s="81" t="inlineStr">
        <is>
          <t>Small blasts; dinos burn 25% longer</t>
        </is>
      </c>
    </row>
    <row r="100">
      <c r="A100" s="43" t="inlineStr">
        <is>
          <t>Big Game Hunter</t>
        </is>
      </c>
      <c r="B100" s="43" t="inlineStr">
        <is>
          <t>Special Ammo</t>
        </is>
      </c>
      <c r="C100" s="43" t="inlineStr">
        <is>
          <t>rounds</t>
        </is>
      </c>
      <c r="D100" s="43" t="n">
        <v>5</v>
      </c>
      <c r="E100" s="43" t="inlineStr">
        <is>
          <t>Flat Tips</t>
        </is>
      </c>
      <c r="F100" s="56">
        <f>F34</f>
        <v/>
      </c>
      <c r="G100" s="57" t="n"/>
      <c r="H100" s="57" t="n"/>
      <c r="I100" s="57" t="n"/>
      <c r="J100" s="57" t="n"/>
      <c r="K100" s="57" t="n"/>
      <c r="L100" s="57" t="n">
        <v>1.25</v>
      </c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>
        <v>3</v>
      </c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BB100" s="81" t="inlineStr">
        <is>
          <t>C</t>
        </is>
      </c>
      <c r="BC100" s="81" t="inlineStr">
        <is>
          <t>Small blasts; rounds fly 25% further</t>
        </is>
      </c>
    </row>
    <row r="101">
      <c r="A101" s="43" t="inlineStr">
        <is>
          <t>Brush Beater</t>
        </is>
      </c>
      <c r="B101" s="43" t="inlineStr">
        <is>
          <t>Slug</t>
        </is>
      </c>
      <c r="C101" s="43" t="inlineStr">
        <is>
          <t>reach</t>
        </is>
      </c>
      <c r="D101" s="43" t="n">
        <v>4</v>
      </c>
      <c r="E101" s="43" t="inlineStr">
        <is>
          <t>Quick Pump</t>
        </is>
      </c>
      <c r="F101" s="56">
        <f>F38</f>
        <v/>
      </c>
      <c r="G101" s="57" t="n">
        <v>1.25</v>
      </c>
      <c r="H101" s="57" t="n"/>
      <c r="I101" s="57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BB101" s="81" t="inlineStr">
        <is>
          <t>B</t>
        </is>
      </c>
      <c r="BC101" s="81" t="inlineStr">
        <is>
          <t>Pump 25% faster</t>
        </is>
      </c>
    </row>
    <row r="102">
      <c r="A102" s="43" t="inlineStr">
        <is>
          <t>Brush Beater</t>
        </is>
      </c>
      <c r="B102" s="43" t="inlineStr">
        <is>
          <t>Slug</t>
        </is>
      </c>
      <c r="C102" s="43" t="inlineStr">
        <is>
          <t>reach</t>
        </is>
      </c>
      <c r="D102" s="43" t="n">
        <v>4</v>
      </c>
      <c r="E102" s="43" t="inlineStr">
        <is>
          <t>Side Saddle</t>
        </is>
      </c>
      <c r="F102" s="56">
        <f>F38</f>
        <v/>
      </c>
      <c r="G102" s="57" t="n"/>
      <c r="H102" s="57" t="n">
        <v>1.5</v>
      </c>
      <c r="I102" s="57" t="n">
        <v>0.8</v>
      </c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BB102" s="81" t="inlineStr">
        <is>
          <t>C</t>
        </is>
      </c>
      <c r="BC102" s="81" t="inlineStr">
        <is>
          <t>Holds 50% more slugs, loads 20% faster</t>
        </is>
      </c>
    </row>
    <row r="103">
      <c r="A103" s="43" t="inlineStr">
        <is>
          <t>Brush Beater</t>
        </is>
      </c>
      <c r="B103" s="43" t="inlineStr">
        <is>
          <t>Slug</t>
        </is>
      </c>
      <c r="C103" s="43" t="inlineStr">
        <is>
          <t>reach</t>
        </is>
      </c>
      <c r="D103" s="43" t="n">
        <v>5</v>
      </c>
      <c r="E103" s="43" t="inlineStr">
        <is>
          <t>Express Slug</t>
        </is>
      </c>
      <c r="F103" s="56">
        <f>F39</f>
        <v/>
      </c>
      <c r="G103" s="57" t="n">
        <v>1.6</v>
      </c>
      <c r="H103" s="57" t="n">
        <v>1.5</v>
      </c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>
        <v>6</v>
      </c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BB103" s="81" t="inlineStr">
        <is>
          <t>B</t>
        </is>
      </c>
      <c r="BC103" s="81" t="inlineStr">
        <is>
          <t>Slugs through 6, 60% faster, bigger tube</t>
        </is>
      </c>
    </row>
    <row r="104">
      <c r="A104" s="43" t="inlineStr">
        <is>
          <t>Brush Beater</t>
        </is>
      </c>
      <c r="B104" s="43" t="inlineStr">
        <is>
          <t>Slug</t>
        </is>
      </c>
      <c r="C104" s="43" t="inlineStr">
        <is>
          <t>reach</t>
        </is>
      </c>
      <c r="D104" s="43" t="n">
        <v>5</v>
      </c>
      <c r="E104" s="43" t="inlineStr">
        <is>
          <t>Twin Slug</t>
        </is>
      </c>
      <c r="F104" s="56">
        <f>F39</f>
        <v/>
      </c>
      <c r="G104" s="57" t="n"/>
      <c r="H104" s="57" t="n">
        <v>1.5</v>
      </c>
      <c r="I104" s="57" t="n"/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>
        <v>2</v>
      </c>
      <c r="S104" s="57" t="n">
        <v>4</v>
      </c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BB104" s="81" t="inlineStr">
        <is>
          <t>C</t>
        </is>
      </c>
      <c r="BC104" s="81" t="inlineStr">
        <is>
          <t>Two slugs per pump, each through 4</t>
        </is>
      </c>
      <c r="BF104" s="81" t="inlineStr">
        <is>
          <t>Yes</t>
        </is>
      </c>
    </row>
    <row r="105">
      <c r="A105" s="43" t="inlineStr">
        <is>
          <t>Brush Beater</t>
        </is>
      </c>
      <c r="B105" s="43" t="inlineStr">
        <is>
          <t>Buckshot</t>
        </is>
      </c>
      <c r="C105" s="43" t="inlineStr">
        <is>
          <t>crowds</t>
        </is>
      </c>
      <c r="D105" s="43" t="n">
        <v>4</v>
      </c>
      <c r="E105" s="43" t="inlineStr">
        <is>
          <t>Hot Shells</t>
        </is>
      </c>
      <c r="F105" s="56">
        <f>F43</f>
        <v/>
      </c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>
        <v>2.3</v>
      </c>
      <c r="X105" s="57" t="n">
        <v>3</v>
      </c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BB105" s="81" t="inlineStr">
        <is>
          <t>B</t>
        </is>
      </c>
      <c r="BC105" s="81" t="inlineStr">
        <is>
          <t>Fires burn more than twice as hot</t>
        </is>
      </c>
    </row>
    <row r="106">
      <c r="A106" s="43" t="inlineStr">
        <is>
          <t>Brush Beater</t>
        </is>
      </c>
      <c r="B106" s="43" t="inlineStr">
        <is>
          <t>Buckshot</t>
        </is>
      </c>
      <c r="C106" s="43" t="inlineStr">
        <is>
          <t>crowds</t>
        </is>
      </c>
      <c r="D106" s="43" t="n">
        <v>4</v>
      </c>
      <c r="E106" s="43" t="inlineStr">
        <is>
          <t>Shell Belt</t>
        </is>
      </c>
      <c r="F106" s="56">
        <f>F43</f>
        <v/>
      </c>
      <c r="G106" s="57" t="n">
        <v>1.5</v>
      </c>
      <c r="H106" s="57" t="n">
        <v>1.5</v>
      </c>
      <c r="I106" s="57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BB106" s="81" t="inlineStr">
        <is>
          <t>C</t>
        </is>
      </c>
      <c r="BC106" s="81" t="inlineStr">
        <is>
          <t>Pump 50% faster; holds 50% more</t>
        </is>
      </c>
    </row>
    <row r="107">
      <c r="A107" s="43" t="inlineStr">
        <is>
          <t>Brush Beater</t>
        </is>
      </c>
      <c r="B107" s="43" t="inlineStr">
        <is>
          <t>Buckshot</t>
        </is>
      </c>
      <c r="C107" s="43" t="inlineStr">
        <is>
          <t>crowds</t>
        </is>
      </c>
      <c r="D107" s="43" t="n">
        <v>5</v>
      </c>
      <c r="E107" s="43" t="inlineStr">
        <is>
          <t>Flame Choke</t>
        </is>
      </c>
      <c r="F107" s="56">
        <f>F44</f>
        <v/>
      </c>
      <c r="G107" s="57" t="n">
        <v>1.2</v>
      </c>
      <c r="H107" s="57" t="n"/>
      <c r="I107" s="57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/>
      <c r="AC107" s="57" t="n"/>
      <c r="AD107" s="57" t="n"/>
      <c r="AE107" s="57" t="n"/>
      <c r="AF107" s="57" t="n"/>
      <c r="AG107" s="57" t="n"/>
      <c r="AH107" s="57" t="n"/>
      <c r="AI107" s="57" t="n">
        <v>0.9</v>
      </c>
      <c r="BB107" s="81" t="inlineStr">
        <is>
          <t>B</t>
        </is>
      </c>
      <c r="BC107" s="81" t="inlineStr">
        <is>
          <t>Dragon's Breath bursts for 90% of a shot</t>
        </is>
      </c>
    </row>
    <row r="108">
      <c r="A108" s="43" t="inlineStr">
        <is>
          <t>Brush Beater</t>
        </is>
      </c>
      <c r="B108" s="43" t="inlineStr">
        <is>
          <t>Buckshot</t>
        </is>
      </c>
      <c r="C108" s="43" t="inlineStr">
        <is>
          <t>crowds</t>
        </is>
      </c>
      <c r="D108" s="43" t="n">
        <v>5</v>
      </c>
      <c r="E108" s="43" t="inlineStr">
        <is>
          <t>Pump Storm</t>
        </is>
      </c>
      <c r="F108" s="56">
        <f>F44</f>
        <v/>
      </c>
      <c r="G108" s="57" t="n">
        <v>1.5</v>
      </c>
      <c r="H108" s="57" t="n">
        <v>1.5</v>
      </c>
      <c r="I108" s="57" t="n"/>
      <c r="J108" s="57" t="n"/>
      <c r="K108" s="57" t="n"/>
      <c r="L108" s="57" t="n"/>
      <c r="M108" s="57" t="n"/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BB108" s="81" t="inlineStr">
        <is>
          <t>C</t>
        </is>
      </c>
      <c r="BC108" s="81" t="inlineStr">
        <is>
          <t>Pump 50% faster, bigger tube</t>
        </is>
      </c>
    </row>
    <row r="109">
      <c r="A109" s="43" t="inlineStr">
        <is>
          <t>Brush Beater</t>
        </is>
      </c>
      <c r="B109" s="43" t="inlineStr">
        <is>
          <t>Point Blank</t>
        </is>
      </c>
      <c r="C109" s="43" t="inlineStr">
        <is>
          <t>burst</t>
        </is>
      </c>
      <c r="D109" s="43" t="n">
        <v>4</v>
      </c>
      <c r="E109" s="43" t="inlineStr">
        <is>
          <t>Quick Breech</t>
        </is>
      </c>
      <c r="F109" s="56">
        <f>F48</f>
        <v/>
      </c>
      <c r="G109" s="57" t="n">
        <v>1.2</v>
      </c>
      <c r="H109" s="57" t="n"/>
      <c r="I109" s="57" t="n">
        <v>0.65</v>
      </c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BB109" s="81" t="inlineStr">
        <is>
          <t>B</t>
        </is>
      </c>
      <c r="BC109" s="81" t="inlineStr">
        <is>
          <t>Reload 35% faster, fire 20% faster</t>
        </is>
      </c>
    </row>
    <row r="110">
      <c r="A110" s="43" t="inlineStr">
        <is>
          <t>Brush Beater</t>
        </is>
      </c>
      <c r="B110" s="43" t="inlineStr">
        <is>
          <t>Point Blank</t>
        </is>
      </c>
      <c r="C110" s="43" t="inlineStr">
        <is>
          <t>burst</t>
        </is>
      </c>
      <c r="D110" s="43" t="n">
        <v>4</v>
      </c>
      <c r="E110" s="43" t="inlineStr">
        <is>
          <t>Bird Shot</t>
        </is>
      </c>
      <c r="F110" s="56">
        <f>F48</f>
        <v/>
      </c>
      <c r="G110" s="57" t="n">
        <v>1.15</v>
      </c>
      <c r="H110" s="57" t="n"/>
      <c r="I110" s="57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inlineStr">
        <is>
          <t>Yes</t>
        </is>
      </c>
      <c r="W110" s="57" t="n"/>
      <c r="X110" s="57" t="n"/>
      <c r="Y110" s="57" t="n"/>
      <c r="Z110" s="57" t="n"/>
      <c r="AA110" s="57" t="n"/>
      <c r="AB110" s="57" t="n"/>
      <c r="AC110" s="57" t="n"/>
      <c r="AD110" s="57" t="n"/>
      <c r="AE110" s="57" t="n"/>
      <c r="AF110" s="57" t="n"/>
      <c r="AG110" s="57" t="n"/>
      <c r="AH110" s="57" t="n"/>
      <c r="AI110" s="57" t="n"/>
      <c r="BB110" s="81" t="inlineStr">
        <is>
          <t>C</t>
        </is>
      </c>
      <c r="BC110" s="81" t="inlineStr">
        <is>
          <t>Blasts hit flying dinos; fire 15% faster</t>
        </is>
      </c>
    </row>
    <row r="111">
      <c r="A111" s="43" t="inlineStr">
        <is>
          <t>Brush Beater</t>
        </is>
      </c>
      <c r="B111" s="43" t="inlineStr">
        <is>
          <t>Point Blank</t>
        </is>
      </c>
      <c r="C111" s="43" t="inlineStr">
        <is>
          <t>burst</t>
        </is>
      </c>
      <c r="D111" s="43" t="n">
        <v>5</v>
      </c>
      <c r="E111" s="43" t="inlineStr">
        <is>
          <t>Breech Loader</t>
        </is>
      </c>
      <c r="F111" s="56">
        <f>F49</f>
        <v/>
      </c>
      <c r="G111" s="57" t="n">
        <v>1.45</v>
      </c>
      <c r="H111" s="57" t="n">
        <v>1.5</v>
      </c>
      <c r="I111" s="57" t="n">
        <v>0.6</v>
      </c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57" t="n"/>
      <c r="U111" s="57" t="n"/>
      <c r="V111" s="57" t="n"/>
      <c r="W111" s="57" t="n"/>
      <c r="X111" s="57" t="n"/>
      <c r="Y111" s="57" t="n"/>
      <c r="Z111" s="57" t="n"/>
      <c r="AA111" s="57" t="n"/>
      <c r="AB111" s="57" t="n"/>
      <c r="AC111" s="57" t="n"/>
      <c r="AD111" s="57" t="n"/>
      <c r="AE111" s="57" t="n"/>
      <c r="AF111" s="57" t="n"/>
      <c r="AG111" s="57" t="n"/>
      <c r="AH111" s="57" t="n"/>
      <c r="AI111" s="57" t="n"/>
      <c r="BB111" s="81" t="inlineStr">
        <is>
          <t>B</t>
        </is>
      </c>
      <c r="BC111" s="81" t="inlineStr">
        <is>
          <t>45% faster, bigger tube, quick reload</t>
        </is>
      </c>
    </row>
    <row r="112">
      <c r="A112" s="43" t="inlineStr">
        <is>
          <t>Brush Beater</t>
        </is>
      </c>
      <c r="B112" s="43" t="inlineStr">
        <is>
          <t>Point Blank</t>
        </is>
      </c>
      <c r="C112" s="43" t="inlineStr">
        <is>
          <t>burst</t>
        </is>
      </c>
      <c r="D112" s="43" t="n">
        <v>5</v>
      </c>
      <c r="E112" s="43" t="inlineStr">
        <is>
          <t>Slam Fire</t>
        </is>
      </c>
      <c r="F112" s="56">
        <f>F49</f>
        <v/>
      </c>
      <c r="G112" s="57" t="n">
        <v>1.7</v>
      </c>
      <c r="H112" s="57" t="n"/>
      <c r="I112" s="57" t="n"/>
      <c r="J112" s="57" t="n"/>
      <c r="K112" s="57" t="n"/>
      <c r="L112" s="57" t="n"/>
      <c r="M112" s="57" t="n"/>
      <c r="N112" s="57" t="inlineStr">
        <is>
          <t>auto</t>
        </is>
      </c>
      <c r="O112" s="57" t="n"/>
      <c r="P112" s="57" t="n"/>
      <c r="Q112" s="57" t="n"/>
      <c r="R112" s="57" t="n"/>
      <c r="S112" s="57" t="n"/>
      <c r="T112" s="57" t="n"/>
      <c r="U112" s="57" t="n"/>
      <c r="V112" s="57" t="n"/>
      <c r="W112" s="57" t="n"/>
      <c r="X112" s="57" t="n"/>
      <c r="Y112" s="57" t="n"/>
      <c r="Z112" s="57" t="n"/>
      <c r="AA112" s="57" t="n"/>
      <c r="AB112" s="57" t="n"/>
      <c r="AC112" s="57" t="n"/>
      <c r="AD112" s="57" t="n"/>
      <c r="AE112" s="57" t="n"/>
      <c r="AF112" s="57" t="n"/>
      <c r="AG112" s="57" t="n"/>
      <c r="AH112" s="57" t="n"/>
      <c r="AI112" s="57" t="n"/>
      <c r="BB112" s="81" t="inlineStr">
        <is>
          <t>C</t>
        </is>
      </c>
      <c r="BC112" s="81" t="inlineStr">
        <is>
          <t>Hold to keep both barrels firing, 70% faster</t>
        </is>
      </c>
    </row>
    <row r="113">
      <c r="A113" s="43" t="inlineStr">
        <is>
          <t>Field Medic</t>
        </is>
      </c>
      <c r="B113" s="43" t="inlineStr">
        <is>
          <t>Triage</t>
        </is>
      </c>
      <c r="C113" s="43" t="inlineStr">
        <is>
          <t>ability</t>
        </is>
      </c>
      <c r="D113" s="43" t="n">
        <v>4</v>
      </c>
      <c r="E113" s="43" t="inlineStr">
        <is>
          <t>Thick Gauze</t>
        </is>
      </c>
      <c r="F113" s="56">
        <f>F53</f>
        <v/>
      </c>
      <c r="G113" s="57" t="n"/>
      <c r="H113" s="57" t="n"/>
      <c r="I113" s="57" t="n"/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57" t="n"/>
      <c r="T113" s="57" t="n"/>
      <c r="U113" s="57" t="n"/>
      <c r="V113" s="57" t="n"/>
      <c r="W113" s="57" t="n"/>
      <c r="X113" s="57" t="n"/>
      <c r="Y113" s="57" t="n"/>
      <c r="Z113" s="57" t="n"/>
      <c r="AA113" s="57" t="n"/>
      <c r="AB113" s="57" t="n"/>
      <c r="AC113" s="57" t="n"/>
      <c r="AD113" s="57" t="n"/>
      <c r="AE113" s="57" t="n"/>
      <c r="AF113" s="57" t="n"/>
      <c r="AG113" s="57" t="n"/>
      <c r="AH113" s="57" t="n"/>
      <c r="AI113" s="57" t="n"/>
      <c r="AJ113" s="81" t="n">
        <v>1.55</v>
      </c>
      <c r="AK113" s="81" t="n"/>
      <c r="AL113" s="81" t="n"/>
      <c r="BB113" s="81" t="inlineStr">
        <is>
          <t>B</t>
        </is>
      </c>
      <c r="BC113" s="81" t="inlineStr">
        <is>
          <t>Triage Kit heals 55% more</t>
        </is>
      </c>
    </row>
    <row r="114">
      <c r="A114" s="43" t="inlineStr">
        <is>
          <t>Field Medic</t>
        </is>
      </c>
      <c r="B114" s="43" t="inlineStr">
        <is>
          <t>Triage</t>
        </is>
      </c>
      <c r="C114" s="43" t="inlineStr">
        <is>
          <t>ability</t>
        </is>
      </c>
      <c r="D114" s="43" t="n">
        <v>4</v>
      </c>
      <c r="E114" s="43" t="inlineStr">
        <is>
          <t>Quick Kit</t>
        </is>
      </c>
      <c r="F114" s="56">
        <f>F53</f>
        <v/>
      </c>
      <c r="G114" s="57" t="n"/>
      <c r="H114" s="57" t="n"/>
      <c r="I114" s="57" t="n"/>
      <c r="J114" s="57" t="n"/>
      <c r="K114" s="57" t="n"/>
      <c r="L114" s="57" t="n"/>
      <c r="M114" s="57" t="n"/>
      <c r="N114" s="57" t="n"/>
      <c r="O114" s="57" t="n"/>
      <c r="P114" s="57" t="n"/>
      <c r="Q114" s="57" t="n"/>
      <c r="R114" s="57" t="n"/>
      <c r="S114" s="57" t="n"/>
      <c r="T114" s="57" t="n"/>
      <c r="U114" s="57" t="n"/>
      <c r="V114" s="57" t="n"/>
      <c r="W114" s="57" t="n"/>
      <c r="X114" s="57" t="n"/>
      <c r="Y114" s="57" t="n"/>
      <c r="Z114" s="57" t="n"/>
      <c r="AA114" s="57" t="n"/>
      <c r="AB114" s="57" t="n"/>
      <c r="AC114" s="57" t="n">
        <v>0.67</v>
      </c>
      <c r="AD114" s="57" t="n"/>
      <c r="AE114" s="57" t="n"/>
      <c r="AF114" s="57" t="n"/>
      <c r="AG114" s="57" t="n"/>
      <c r="AH114" s="57" t="n"/>
      <c r="AI114" s="57" t="n"/>
      <c r="AJ114" s="81" t="n"/>
      <c r="AK114" s="81" t="n"/>
      <c r="AL114" s="81" t="n"/>
      <c r="BB114" s="81" t="inlineStr">
        <is>
          <t>C</t>
        </is>
      </c>
      <c r="BC114" s="81" t="inlineStr">
        <is>
          <t>Triage Kit is ready a third sooner</t>
        </is>
      </c>
    </row>
    <row r="115">
      <c r="A115" s="43" t="inlineStr">
        <is>
          <t>Field Medic</t>
        </is>
      </c>
      <c r="B115" s="43" t="inlineStr">
        <is>
          <t>Triage</t>
        </is>
      </c>
      <c r="C115" s="43" t="inlineStr">
        <is>
          <t>ability</t>
        </is>
      </c>
      <c r="D115" s="43" t="n">
        <v>5</v>
      </c>
      <c r="E115" s="43" t="inlineStr">
        <is>
          <t>Mending Salve</t>
        </is>
      </c>
      <c r="F115" s="56">
        <f>F54</f>
        <v/>
      </c>
      <c r="G115" s="57" t="n"/>
      <c r="H115" s="57" t="n"/>
      <c r="I115" s="57" t="n"/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57" t="n"/>
      <c r="W115" s="57" t="n"/>
      <c r="X115" s="57" t="n"/>
      <c r="Y115" s="57" t="n"/>
      <c r="Z115" s="57" t="n"/>
      <c r="AA115" s="57" t="n"/>
      <c r="AB115" s="57" t="n"/>
      <c r="AC115" s="57" t="n"/>
      <c r="AD115" s="57" t="n"/>
      <c r="AE115" s="57" t="n"/>
      <c r="AF115" s="57" t="n"/>
      <c r="AG115" s="57" t="n"/>
      <c r="AH115" s="57" t="n"/>
      <c r="AI115" s="57" t="n"/>
      <c r="AJ115" s="81" t="n"/>
      <c r="AK115" s="81" t="n"/>
      <c r="AL115" s="81" t="n"/>
      <c r="AM115" s="81" t="n"/>
      <c r="AN115" s="81" t="n"/>
      <c r="BB115" s="81" t="inlineStr">
        <is>
          <t>B</t>
        </is>
      </c>
      <c r="BC115" s="81" t="inlineStr">
        <is>
          <t>Everything healed regains 2 HP/s for 8 s</t>
        </is>
      </c>
      <c r="BD115" s="81" t="n">
        <v>2</v>
      </c>
      <c r="BE115" s="81" t="n">
        <v>8</v>
      </c>
    </row>
    <row r="116">
      <c r="A116" s="43" t="inlineStr">
        <is>
          <t>Field Medic</t>
        </is>
      </c>
      <c r="B116" s="43" t="inlineStr">
        <is>
          <t>Triage</t>
        </is>
      </c>
      <c r="C116" s="43" t="inlineStr">
        <is>
          <t>ability</t>
        </is>
      </c>
      <c r="D116" s="43" t="n">
        <v>5</v>
      </c>
      <c r="E116" s="43" t="inlineStr">
        <is>
          <t>Field Surgeon</t>
        </is>
      </c>
      <c r="F116" s="56">
        <f>F54</f>
        <v/>
      </c>
      <c r="G116" s="57" t="n"/>
      <c r="H116" s="57" t="n"/>
      <c r="I116" s="57" t="n"/>
      <c r="J116" s="57" t="n"/>
      <c r="K116" s="57" t="n"/>
      <c r="L116" s="57" t="n"/>
      <c r="M116" s="57" t="n"/>
      <c r="N116" s="57" t="n"/>
      <c r="O116" s="57" t="n"/>
      <c r="P116" s="57" t="n"/>
      <c r="Q116" s="57" t="n"/>
      <c r="R116" s="57" t="n"/>
      <c r="S116" s="57" t="n"/>
      <c r="T116" s="57" t="n"/>
      <c r="U116" s="57" t="n"/>
      <c r="V116" s="57" t="n"/>
      <c r="W116" s="57" t="n"/>
      <c r="X116" s="57" t="n"/>
      <c r="Y116" s="57" t="n"/>
      <c r="Z116" s="57" t="n"/>
      <c r="AA116" s="57" t="n"/>
      <c r="AB116" s="57" t="n"/>
      <c r="AC116" s="57" t="n">
        <v>0.78</v>
      </c>
      <c r="AD116" s="57" t="n"/>
      <c r="AE116" s="57" t="n"/>
      <c r="AF116" s="57" t="n"/>
      <c r="AG116" s="57" t="n"/>
      <c r="AH116" s="57" t="n"/>
      <c r="AI116" s="57" t="n"/>
      <c r="AJ116" s="81" t="n"/>
      <c r="AK116" s="81" t="n"/>
      <c r="AL116" s="81" t="n"/>
      <c r="AM116" s="81" t="n"/>
      <c r="AN116" s="81" t="n"/>
      <c r="BB116" s="81" t="inlineStr">
        <is>
          <t>C</t>
        </is>
      </c>
      <c r="BC116" s="81" t="inlineStr">
        <is>
          <t>Triage Kit is ready 22% sooner</t>
        </is>
      </c>
    </row>
    <row r="117">
      <c r="A117" s="43" t="inlineStr">
        <is>
          <t>Field Medic</t>
        </is>
      </c>
      <c r="B117" s="43" t="inlineStr">
        <is>
          <t>Lever Action</t>
        </is>
      </c>
      <c r="C117" s="43" t="inlineStr">
        <is>
          <t>handling</t>
        </is>
      </c>
      <c r="D117" s="43" t="n">
        <v>4</v>
      </c>
      <c r="E117" s="43" t="inlineStr">
        <is>
          <t>Long Tube</t>
        </is>
      </c>
      <c r="F117" s="56">
        <f>F58</f>
        <v/>
      </c>
      <c r="G117" s="57" t="n"/>
      <c r="H117" s="57" t="n">
        <v>1.8</v>
      </c>
      <c r="I117" s="57" t="n"/>
      <c r="J117" s="57" t="n"/>
      <c r="K117" s="57" t="n"/>
      <c r="L117" s="57" t="n"/>
      <c r="M117" s="57" t="n"/>
      <c r="N117" s="57" t="n"/>
      <c r="O117" s="57" t="n"/>
      <c r="P117" s="57" t="n"/>
      <c r="Q117" s="57" t="n"/>
      <c r="R117" s="57" t="n"/>
      <c r="S117" s="57" t="n"/>
      <c r="T117" s="57" t="n"/>
      <c r="U117" s="57" t="n"/>
      <c r="V117" s="57" t="n"/>
      <c r="W117" s="57" t="n"/>
      <c r="X117" s="57" t="n"/>
      <c r="Y117" s="57" t="n"/>
      <c r="Z117" s="57" t="n"/>
      <c r="AA117" s="57" t="n"/>
      <c r="AB117" s="57" t="n"/>
      <c r="AC117" s="57" t="n"/>
      <c r="AD117" s="57" t="n"/>
      <c r="AE117" s="57" t="n"/>
      <c r="AF117" s="57" t="n"/>
      <c r="AG117" s="57" t="n"/>
      <c r="AH117" s="57" t="n"/>
      <c r="AI117" s="57" t="n"/>
      <c r="BB117" s="81" t="inlineStr">
        <is>
          <t>B</t>
        </is>
      </c>
      <c r="BC117" s="81" t="inlineStr">
        <is>
          <t>Holds 80% more rounds</t>
        </is>
      </c>
    </row>
    <row r="118">
      <c r="A118" s="43" t="inlineStr">
        <is>
          <t>Field Medic</t>
        </is>
      </c>
      <c r="B118" s="43" t="inlineStr">
        <is>
          <t>Lever Action</t>
        </is>
      </c>
      <c r="C118" s="43" t="inlineStr">
        <is>
          <t>handling</t>
        </is>
      </c>
      <c r="D118" s="43" t="n">
        <v>4</v>
      </c>
      <c r="E118" s="43" t="inlineStr">
        <is>
          <t>Snap Lever</t>
        </is>
      </c>
      <c r="F118" s="56">
        <f>F58</f>
        <v/>
      </c>
      <c r="G118" s="57" t="n">
        <v>1.14</v>
      </c>
      <c r="H118" s="57" t="n"/>
      <c r="I118" s="57" t="n"/>
      <c r="J118" s="57" t="n"/>
      <c r="K118" s="57" t="n"/>
      <c r="L118" s="57" t="n"/>
      <c r="M118" s="57" t="n"/>
      <c r="N118" s="57" t="n"/>
      <c r="O118" s="57" t="n"/>
      <c r="P118" s="57" t="n"/>
      <c r="Q118" s="57" t="n"/>
      <c r="R118" s="57" t="n"/>
      <c r="S118" s="57" t="n"/>
      <c r="T118" s="57" t="n"/>
      <c r="U118" s="57" t="n"/>
      <c r="V118" s="57" t="n"/>
      <c r="W118" s="57" t="n"/>
      <c r="X118" s="57" t="n"/>
      <c r="Y118" s="57" t="n"/>
      <c r="Z118" s="57" t="n"/>
      <c r="AA118" s="57" t="n"/>
      <c r="AB118" s="57" t="n"/>
      <c r="AC118" s="57" t="n"/>
      <c r="AD118" s="57" t="n"/>
      <c r="AE118" s="57" t="n"/>
      <c r="AF118" s="57" t="n"/>
      <c r="AG118" s="57" t="n"/>
      <c r="AH118" s="57" t="n"/>
      <c r="AI118" s="57" t="n"/>
      <c r="BB118" s="81" t="inlineStr">
        <is>
          <t>C</t>
        </is>
      </c>
      <c r="BC118" s="81" t="inlineStr">
        <is>
          <t>Cycles 14% faster</t>
        </is>
      </c>
    </row>
    <row r="119">
      <c r="A119" s="43" t="inlineStr">
        <is>
          <t>Field Medic</t>
        </is>
      </c>
      <c r="B119" s="43" t="inlineStr">
        <is>
          <t>Lever Action</t>
        </is>
      </c>
      <c r="C119" s="43" t="inlineStr">
        <is>
          <t>handling</t>
        </is>
      </c>
      <c r="D119" s="43" t="n">
        <v>5</v>
      </c>
      <c r="E119" s="43" t="inlineStr">
        <is>
          <t>Triple Cycle</t>
        </is>
      </c>
      <c r="F119" s="56">
        <f>F59</f>
        <v/>
      </c>
      <c r="G119" s="57" t="n">
        <v>1.33</v>
      </c>
      <c r="H119" s="57" t="n"/>
      <c r="I119" s="57" t="n"/>
      <c r="J119" s="57" t="n"/>
      <c r="K119" s="57" t="n"/>
      <c r="L119" s="57" t="n"/>
      <c r="M119" s="57" t="n"/>
      <c r="N119" s="57" t="n"/>
      <c r="O119" s="57" t="n">
        <v>3</v>
      </c>
      <c r="P119" s="57" t="n"/>
      <c r="Q119" s="57" t="n"/>
      <c r="R119" s="57" t="n"/>
      <c r="S119" s="57" t="n"/>
      <c r="T119" s="57" t="n"/>
      <c r="U119" s="57" t="n"/>
      <c r="V119" s="57" t="n"/>
      <c r="W119" s="57" t="n"/>
      <c r="X119" s="57" t="n"/>
      <c r="Y119" s="57" t="n"/>
      <c r="Z119" s="57" t="n"/>
      <c r="AA119" s="57" t="n"/>
      <c r="AB119" s="57" t="n"/>
      <c r="AC119" s="57" t="n"/>
      <c r="AD119" s="57" t="n"/>
      <c r="AE119" s="57" t="n"/>
      <c r="AF119" s="57" t="n"/>
      <c r="AG119" s="57" t="n"/>
      <c r="AH119" s="57" t="n"/>
      <c r="AI119" s="57" t="n"/>
      <c r="BB119" s="81" t="inlineStr">
        <is>
          <t>B</t>
        </is>
      </c>
      <c r="BC119" s="81" t="inlineStr">
        <is>
          <t>3-round bursts, cycling 33% faster</t>
        </is>
      </c>
    </row>
    <row r="120">
      <c r="A120" s="43" t="inlineStr">
        <is>
          <t>Field Medic</t>
        </is>
      </c>
      <c r="B120" s="43" t="inlineStr">
        <is>
          <t>Lever Action</t>
        </is>
      </c>
      <c r="C120" s="43" t="inlineStr">
        <is>
          <t>handling</t>
        </is>
      </c>
      <c r="D120" s="43" t="n">
        <v>5</v>
      </c>
      <c r="E120" s="43" t="inlineStr">
        <is>
          <t>Steady Lever</t>
        </is>
      </c>
      <c r="F120" s="56">
        <f>F59</f>
        <v/>
      </c>
      <c r="G120" s="57" t="n">
        <v>1.1</v>
      </c>
      <c r="H120" s="57" t="n"/>
      <c r="I120" s="57" t="n"/>
      <c r="J120" s="57" t="n">
        <v>0.6</v>
      </c>
      <c r="K120" s="57" t="n">
        <v>0.5</v>
      </c>
      <c r="L120" s="57" t="n"/>
      <c r="M120" s="57" t="n"/>
      <c r="N120" s="57" t="n"/>
      <c r="O120" s="57" t="n"/>
      <c r="P120" s="57" t="n"/>
      <c r="Q120" s="57" t="n"/>
      <c r="R120" s="57" t="n"/>
      <c r="S120" s="57" t="n"/>
      <c r="T120" s="57" t="n"/>
      <c r="U120" s="57" t="n"/>
      <c r="V120" s="57" t="n"/>
      <c r="W120" s="57" t="n"/>
      <c r="X120" s="57" t="n"/>
      <c r="Y120" s="57" t="n"/>
      <c r="Z120" s="57" t="n"/>
      <c r="AA120" s="57" t="n"/>
      <c r="AB120" s="57" t="n"/>
      <c r="AC120" s="57" t="n"/>
      <c r="AD120" s="57" t="n"/>
      <c r="AE120" s="57" t="n"/>
      <c r="AF120" s="57" t="n"/>
      <c r="AG120" s="57" t="n"/>
      <c r="AH120" s="57" t="n"/>
      <c r="AI120" s="57" t="n"/>
      <c r="BB120" s="81" t="inlineStr">
        <is>
          <t>C</t>
        </is>
      </c>
      <c r="BC120" s="81" t="inlineStr">
        <is>
          <t>10% faster, half the kick, tighter aim</t>
        </is>
      </c>
    </row>
    <row r="121">
      <c r="A121" s="43" t="inlineStr">
        <is>
          <t>Field Medic</t>
        </is>
      </c>
      <c r="B121" s="43" t="inlineStr">
        <is>
          <t>Muzzle</t>
        </is>
      </c>
      <c r="C121" s="43" t="inlineStr">
        <is>
          <t>protective rounds</t>
        </is>
      </c>
      <c r="D121" s="43" t="n">
        <v>4</v>
      </c>
      <c r="E121" s="43" t="inlineStr">
        <is>
          <t>Quick Dose</t>
        </is>
      </c>
      <c r="F121" s="56">
        <f>F63</f>
        <v/>
      </c>
      <c r="G121" s="57" t="n">
        <v>1.12</v>
      </c>
      <c r="H121" s="57" t="n"/>
      <c r="I121" s="57" t="n"/>
      <c r="J121" s="57" t="n"/>
      <c r="K121" s="57" t="n"/>
      <c r="L121" s="57" t="n"/>
      <c r="M121" s="57" t="n"/>
      <c r="N121" s="57" t="n"/>
      <c r="O121" s="57" t="n"/>
      <c r="P121" s="57" t="n"/>
      <c r="Q121" s="57" t="n"/>
      <c r="R121" s="57" t="n"/>
      <c r="S121" s="57" t="n"/>
      <c r="T121" s="57" t="n"/>
      <c r="U121" s="57" t="n"/>
      <c r="V121" s="57" t="n"/>
      <c r="W121" s="57" t="n"/>
      <c r="X121" s="57" t="n"/>
      <c r="Y121" s="57" t="n"/>
      <c r="Z121" s="57" t="n"/>
      <c r="AA121" s="57" t="n"/>
      <c r="AB121" s="57" t="n"/>
      <c r="AC121" s="57" t="n"/>
      <c r="AD121" s="57" t="n"/>
      <c r="AE121" s="57" t="n"/>
      <c r="AF121" s="57" t="n"/>
      <c r="AG121" s="57" t="n"/>
      <c r="AH121" s="57" t="n"/>
      <c r="AI121" s="57" t="n"/>
      <c r="AO121" s="81" t="n"/>
      <c r="AP121" s="81" t="n"/>
      <c r="AQ121" s="81" t="n">
        <v>2.6</v>
      </c>
      <c r="BB121" s="81" t="inlineStr">
        <is>
          <t>B</t>
        </is>
      </c>
      <c r="BC121" s="81" t="inlineStr">
        <is>
          <t>Fire 12% faster; jaws locked 2.6 s</t>
        </is>
      </c>
    </row>
    <row r="122">
      <c r="A122" s="43" t="inlineStr">
        <is>
          <t>Field Medic</t>
        </is>
      </c>
      <c r="B122" s="43" t="inlineStr">
        <is>
          <t>Muzzle</t>
        </is>
      </c>
      <c r="C122" s="43" t="inlineStr">
        <is>
          <t>protective rounds</t>
        </is>
      </c>
      <c r="D122" s="43" t="n">
        <v>4</v>
      </c>
      <c r="E122" s="43" t="inlineStr">
        <is>
          <t>Strap Toss</t>
        </is>
      </c>
      <c r="F122" s="56">
        <f>F63</f>
        <v/>
      </c>
      <c r="G122" s="57" t="n"/>
      <c r="H122" s="57" t="n"/>
      <c r="I122" s="57" t="n"/>
      <c r="J122" s="57" t="n"/>
      <c r="K122" s="57" t="n"/>
      <c r="L122" s="57" t="n"/>
      <c r="M122" s="57" t="n"/>
      <c r="N122" s="57" t="n"/>
      <c r="O122" s="57" t="n"/>
      <c r="P122" s="57" t="n"/>
      <c r="Q122" s="57" t="n"/>
      <c r="R122" s="57" t="n"/>
      <c r="S122" s="57" t="n"/>
      <c r="T122" s="57" t="n"/>
      <c r="U122" s="57" t="n"/>
      <c r="V122" s="57" t="n"/>
      <c r="W122" s="57" t="n"/>
      <c r="X122" s="57" t="n"/>
      <c r="Y122" s="57" t="n"/>
      <c r="Z122" s="57" t="n"/>
      <c r="AA122" s="57" t="n"/>
      <c r="AB122" s="57" t="n"/>
      <c r="AC122" s="57" t="n"/>
      <c r="AD122" s="57" t="n"/>
      <c r="AE122" s="57" t="n"/>
      <c r="AF122" s="57" t="n"/>
      <c r="AG122" s="57" t="n"/>
      <c r="AH122" s="57" t="n"/>
      <c r="AI122" s="57" t="n"/>
      <c r="AO122" s="81" t="n">
        <v>40</v>
      </c>
      <c r="AP122" s="81" t="n"/>
      <c r="AQ122" s="81" t="n"/>
      <c r="AR122" s="81" t="n">
        <v>2</v>
      </c>
      <c r="BB122" s="81" t="inlineStr">
        <is>
          <t>C</t>
        </is>
      </c>
      <c r="BC122" s="81" t="inlineStr">
        <is>
          <t>Lock jumps 2 studs; hits slow dinos 40%</t>
        </is>
      </c>
    </row>
    <row r="123">
      <c r="A123" s="43" t="inlineStr">
        <is>
          <t>Field Medic</t>
        </is>
      </c>
      <c r="B123" s="43" t="inlineStr">
        <is>
          <t>Muzzle</t>
        </is>
      </c>
      <c r="C123" s="43" t="inlineStr">
        <is>
          <t>protective rounds</t>
        </is>
      </c>
      <c r="D123" s="43" t="n">
        <v>5</v>
      </c>
      <c r="E123" s="43" t="inlineStr">
        <is>
          <t>Heavy Lids</t>
        </is>
      </c>
      <c r="F123" s="56">
        <f>F64</f>
        <v/>
      </c>
      <c r="G123" s="57" t="n"/>
      <c r="H123" s="57" t="n"/>
      <c r="I123" s="57" t="n"/>
      <c r="J123" s="57" t="n"/>
      <c r="K123" s="57" t="n"/>
      <c r="L123" s="57" t="n"/>
      <c r="M123" s="57" t="n"/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57" t="n"/>
      <c r="W123" s="57" t="n"/>
      <c r="X123" s="57" t="n"/>
      <c r="Y123" s="57" t="n"/>
      <c r="Z123" s="57" t="n"/>
      <c r="AA123" s="57" t="n"/>
      <c r="AB123" s="57" t="n"/>
      <c r="AC123" s="57" t="n"/>
      <c r="AD123" s="57" t="n"/>
      <c r="AE123" s="57" t="n"/>
      <c r="AF123" s="57" t="n"/>
      <c r="AG123" s="57" t="n"/>
      <c r="AH123" s="57" t="n"/>
      <c r="AI123" s="57" t="n"/>
      <c r="AO123" s="81" t="n"/>
      <c r="AP123" s="81" t="n"/>
      <c r="AQ123" s="81" t="n">
        <v>4.2</v>
      </c>
      <c r="AR123" s="81" t="n"/>
      <c r="BB123" s="81" t="inlineStr">
        <is>
          <t>B</t>
        </is>
      </c>
      <c r="BC123" s="81" t="inlineStr">
        <is>
          <t>Locked jaws stay shut 4.2 s</t>
        </is>
      </c>
    </row>
    <row r="124">
      <c r="A124" s="43" t="inlineStr">
        <is>
          <t>Field Medic</t>
        </is>
      </c>
      <c r="B124" s="43" t="inlineStr">
        <is>
          <t>Muzzle</t>
        </is>
      </c>
      <c r="C124" s="43" t="inlineStr">
        <is>
          <t>protective rounds</t>
        </is>
      </c>
      <c r="D124" s="43" t="n">
        <v>5</v>
      </c>
      <c r="E124" s="43" t="inlineStr">
        <is>
          <t>Drowsy Cloud</t>
        </is>
      </c>
      <c r="F124" s="56">
        <f>F64</f>
        <v/>
      </c>
      <c r="G124" s="57" t="n"/>
      <c r="H124" s="57" t="n"/>
      <c r="I124" s="57" t="n"/>
      <c r="J124" s="57" t="n"/>
      <c r="K124" s="57" t="n"/>
      <c r="L124" s="57" t="n"/>
      <c r="M124" s="57" t="n"/>
      <c r="N124" s="57" t="n"/>
      <c r="O124" s="57" t="n"/>
      <c r="P124" s="57" t="n"/>
      <c r="Q124" s="57" t="n"/>
      <c r="R124" s="57" t="n"/>
      <c r="S124" s="57" t="n"/>
      <c r="T124" s="57" t="n"/>
      <c r="U124" s="57" t="n"/>
      <c r="V124" s="57" t="n"/>
      <c r="W124" s="57" t="n"/>
      <c r="X124" s="57" t="n"/>
      <c r="Y124" s="57" t="n"/>
      <c r="Z124" s="57" t="n"/>
      <c r="AA124" s="57" t="n"/>
      <c r="AB124" s="57" t="n"/>
      <c r="AC124" s="57" t="n"/>
      <c r="AD124" s="57" t="n"/>
      <c r="AE124" s="57" t="n"/>
      <c r="AF124" s="57" t="n"/>
      <c r="AG124" s="57" t="n"/>
      <c r="AH124" s="57" t="n"/>
      <c r="AI124" s="57" t="n"/>
      <c r="AO124" s="81" t="n">
        <v>40</v>
      </c>
      <c r="AP124" s="81" t="n">
        <v>2</v>
      </c>
      <c r="AQ124" s="81" t="n"/>
      <c r="AR124" s="81" t="n">
        <v>4</v>
      </c>
      <c r="BB124" s="81" t="inlineStr">
        <is>
          <t>C</t>
        </is>
      </c>
      <c r="BC124" s="81" t="inlineStr">
        <is>
          <t>Lock spreads 4 studs; hits slow 40% for 2 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ROUND('Tuning'!$B$27/'Tuning'!$B$307*POWER('Tuning'!$B$28,A5-1),0)*'Tuning'!$B$307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ROUND('Tuning'!$B$27/'Tuning'!$B$307*POWER('Tuning'!$B$28,A6-1),0)*'Tuning'!$B$307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ROUND('Tuning'!$B$27/'Tuning'!$B$307*POWER('Tuning'!$B$28,A7-1),0)*'Tuning'!$B$307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ROUND('Tuning'!$B$27/'Tuning'!$B$307*POWER('Tuning'!$B$28,A8-1),0)*'Tuning'!$B$307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ROUND('Tuning'!$B$27/'Tuning'!$B$307*POWER('Tuning'!$B$28,A9-1),0)*'Tuning'!$B$307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ROUND('Tuning'!$B$27/'Tuning'!$B$307*POWER('Tuning'!$B$28,A10-1),0)*'Tuning'!$B$307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ROUND('Tuning'!$B$27/'Tuning'!$B$307*POWER('Tuning'!$B$28,A11-1),0)*'Tuning'!$B$307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ROUND('Tuning'!$B$27/'Tuning'!$B$307*POWER('Tuning'!$B$28,A12-1),0)*'Tuning'!$B$307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ROUND('Tuning'!$B$27/'Tuning'!$B$307*POWER('Tuning'!$B$28,A13-1),0)*'Tuning'!$B$307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ROUND('Tuning'!$B$27/'Tuning'!$B$307*POWER('Tuning'!$B$28,A14-1),0)*'Tuning'!$B$307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ROUND('Tuning'!$B$27/'Tuning'!$B$307*POWER('Tuning'!$B$28,A15-1),0)*'Tuning'!$B$307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ROUND('Tuning'!$B$27/'Tuning'!$B$307*POWER('Tuning'!$B$28,A16-1),0)*'Tuning'!$B$307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ROUND('Tuning'!$B$27/'Tuning'!$B$307*POWER('Tuning'!$B$28,A17-1),0)*'Tuning'!$B$307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ROUND('Tuning'!$B$27/'Tuning'!$B$307*POWER('Tuning'!$B$28,A18-1),0)*'Tuning'!$B$307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ROUND('Tuning'!$B$27/'Tuning'!$B$307*POWER('Tuning'!$B$28,A19-1),0)*'Tuning'!$B$307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ROUND('Tuning'!$B$27/'Tuning'!$B$307*POWER('Tuning'!$B$28,A20-1),0)*'Tuning'!$B$307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ROUND('Tuning'!$B$27/'Tuning'!$B$307*POWER('Tuning'!$B$28,A21-1),0)*'Tuning'!$B$307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ROUND('Tuning'!$B$27/'Tuning'!$B$307*POWER('Tuning'!$B$28,A22-1),0)*'Tuning'!$B$307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ROUND('Tuning'!$B$27/'Tuning'!$B$307*POWER('Tuning'!$B$28,A23-1),0)*'Tuning'!$B$307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ROUND('Tuning'!$B$27/'Tuning'!$B$307*POWER('Tuning'!$B$28,A24-1),0)*'Tuning'!$B$307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50000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100000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150000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200000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5000</v>
      </c>
      <c r="C5" s="47" t="n"/>
    </row>
    <row r="6">
      <c r="A6" s="27" t="n">
        <v>2</v>
      </c>
      <c r="B6" s="27" t="n">
        <v>5000</v>
      </c>
      <c r="C6" s="47" t="n"/>
    </row>
    <row r="7">
      <c r="A7" s="27" t="n">
        <v>3</v>
      </c>
      <c r="B7" s="27" t="n">
        <v>10000</v>
      </c>
      <c r="C7" s="47" t="n"/>
    </row>
    <row r="8">
      <c r="A8" s="27" t="n">
        <v>4</v>
      </c>
      <c r="B8" s="27" t="n">
        <v>10000</v>
      </c>
      <c r="C8" s="47" t="n"/>
    </row>
    <row r="9">
      <c r="A9" s="27" t="n">
        <v>5</v>
      </c>
      <c r="B9" s="27" t="n">
        <v>15000</v>
      </c>
      <c r="C9" s="47" t="n"/>
    </row>
    <row r="10">
      <c r="A10" s="27" t="n">
        <v>6</v>
      </c>
      <c r="B10" s="27" t="n">
        <v>15000</v>
      </c>
      <c r="C10" s="47" t="n"/>
    </row>
    <row r="11">
      <c r="A11" s="27" t="n">
        <v>7</v>
      </c>
      <c r="B11" s="27" t="n">
        <v>40000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10000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10000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10000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10000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10000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15000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15000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15000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15000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15000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20000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20000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20000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20000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40000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40000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40000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60000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60000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60000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60000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80000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80000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80000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style="90" min="1" max="1"/>
    <col width="18" customWidth="1" style="90" min="2" max="2"/>
  </cols>
  <sheetData>
    <row r="1">
      <c r="A1" s="115" t="inlineStr">
        <is>
          <t>HUNTER STATS — each hunter's body (PLAN 10a T135, DECISIONS #364/#365)</t>
        </is>
      </c>
    </row>
    <row r="2">
      <c r="A2" s="81" t="inlineStr">
        <is>
          <t>Max HP and Walk speed per hunter. Body score = HP/Player max health x (speed/Player walk speed)^Body speed weight; the exporter refuses best/worst above Body parity max. Slows and trained bonuses multiply these.</t>
        </is>
      </c>
    </row>
    <row r="4">
      <c r="A4" s="116" t="inlineStr">
        <is>
          <t>Key</t>
        </is>
      </c>
      <c r="B4" s="116" t="inlineStr">
        <is>
          <t>Hunter</t>
        </is>
      </c>
      <c r="C4" s="116" t="inlineStr">
        <is>
          <t>Max HP</t>
        </is>
      </c>
      <c r="D4" s="116" t="inlineStr">
        <is>
          <t>Walk speed</t>
        </is>
      </c>
      <c r="E4" s="116" t="inlineStr">
        <is>
          <t>Body score</t>
        </is>
      </c>
    </row>
    <row r="5">
      <c r="A5" s="81" t="inlineStr">
        <is>
          <t>PISTOL</t>
        </is>
      </c>
      <c r="B5" s="81" t="inlineStr">
        <is>
          <t>Tracker</t>
        </is>
      </c>
      <c r="C5" s="81" t="n">
        <v>95</v>
      </c>
      <c r="D5" s="81" t="n">
        <v>17</v>
      </c>
      <c r="E5" s="81">
        <f>ROUND(C5/Tuning!$B$68*POWER(D5/Tuning!$B$309,Tuning!$B$310),3)</f>
        <v/>
      </c>
    </row>
    <row r="6">
      <c r="A6" s="81" t="inlineStr">
        <is>
          <t>RIFLE</t>
        </is>
      </c>
      <c r="B6" s="81" t="inlineStr">
        <is>
          <t>Big Game Hunter</t>
        </is>
      </c>
      <c r="C6" s="81" t="n">
        <v>110</v>
      </c>
      <c r="D6" s="81" t="n">
        <v>15</v>
      </c>
      <c r="E6" s="81">
        <f>ROUND(C6/Tuning!$B$68*POWER(D6/Tuning!$B$309,Tuning!$B$310),3)</f>
        <v/>
      </c>
    </row>
    <row r="7">
      <c r="A7" s="81" t="inlineStr">
        <is>
          <t>SHOTGUN</t>
        </is>
      </c>
      <c r="B7" s="81" t="inlineStr">
        <is>
          <t>Brush Beater</t>
        </is>
      </c>
      <c r="C7" s="81" t="n">
        <v>115</v>
      </c>
      <c r="D7" s="81" t="n">
        <v>15.5</v>
      </c>
      <c r="E7" s="81">
        <f>ROUND(C7/Tuning!$B$68*POWER(D7/Tuning!$B$309,Tuning!$B$310),3)</f>
        <v/>
      </c>
    </row>
    <row r="8">
      <c r="A8" s="81" t="inlineStr">
        <is>
          <t>MEDIC</t>
        </is>
      </c>
      <c r="B8" s="81" t="inlineStr">
        <is>
          <t>Field Medic</t>
        </is>
      </c>
      <c r="C8" s="81" t="n">
        <v>100</v>
      </c>
      <c r="D8" s="81" t="n">
        <v>16.5</v>
      </c>
      <c r="E8" s="81">
        <f>ROUND(C8/Tuning!$B$68*POWER(D8/Tuning!$B$309,Tuning!$B$310),3)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C8"/>
  <sheetViews>
    <sheetView workbookViewId="0">
      <selection activeCell="A1" sqref="A1"/>
    </sheetView>
  </sheetViews>
  <sheetFormatPr baseColWidth="8" defaultRowHeight="15"/>
  <cols>
    <col width="10" customWidth="1" style="90" min="1" max="1"/>
    <col width="18" customWidth="1" style="90" min="2" max="2"/>
    <col width="16" customWidth="1" style="90" min="3" max="3"/>
    <col width="16" customWidth="1" style="90" min="16" max="16"/>
  </cols>
  <sheetData>
    <row r="1">
      <c r="A1" s="115" t="inlineStr">
        <is>
          <t>HUNTER KIT — each hunter's melee and grenade (PLAN 10b T136/T137, DECISIONS #366-#369; names DINO_REVIEW Round 20)</t>
        </is>
      </c>
    </row>
    <row r="2">
      <c r="A2" s="81" t="inlineStr">
        <is>
          <t>Melee: free, short reach, server-checked like shots; damage scales with the hunter level like the gun. Dino effect: none / slow / amp (dinos take +% damage). Hunter effect: none or slow only (no stun or knockback on hunters, #368; at most Kit hunter slow max % for Kit hunter slow max (s)). Hits break at most 1 size; flying dinos aren't hit. PvP x Tuning PvP hunter damage; no friendly fire.</t>
        </is>
      </c>
    </row>
    <row r="4">
      <c r="A4" s="116" t="inlineStr">
        <is>
          <t>Key</t>
        </is>
      </c>
      <c r="B4" s="116" t="inlineStr">
        <is>
          <t>Hunter</t>
        </is>
      </c>
      <c r="C4" s="116" t="inlineStr">
        <is>
          <t>Melee</t>
        </is>
      </c>
      <c r="D4" s="116" t="inlineStr">
        <is>
          <t>Melee damage</t>
        </is>
      </c>
      <c r="E4" s="116" t="inlineStr">
        <is>
          <t>Swing time (s)</t>
        </is>
      </c>
      <c r="F4" s="116" t="inlineStr">
        <is>
          <t>Reach (studs)</t>
        </is>
      </c>
      <c r="G4" s="116" t="inlineStr">
        <is>
          <t>Arc (deg)</t>
        </is>
      </c>
      <c r="H4" s="116" t="inlineStr">
        <is>
          <t>Melee targets</t>
        </is>
      </c>
      <c r="I4" s="116" t="inlineStr">
        <is>
          <t>Melee pierces armour</t>
        </is>
      </c>
      <c r="J4" s="116" t="inlineStr">
        <is>
          <t>Melee dino effect</t>
        </is>
      </c>
      <c r="K4" s="116" t="inlineStr">
        <is>
          <t>Melee effect %</t>
        </is>
      </c>
      <c r="L4" s="116" t="inlineStr">
        <is>
          <t>Melee effect (s)</t>
        </is>
      </c>
      <c r="M4" s="116" t="inlineStr">
        <is>
          <t>Melee hunter effect</t>
        </is>
      </c>
      <c r="N4" s="116" t="inlineStr">
        <is>
          <t>Melee hunter %</t>
        </is>
      </c>
      <c r="O4" s="116" t="inlineStr">
        <is>
          <t>Melee hunter (s)</t>
        </is>
      </c>
      <c r="P4" s="116" t="inlineStr">
        <is>
          <t>Grenade</t>
        </is>
      </c>
      <c r="Q4" s="116" t="inlineStr">
        <is>
          <t>Grenade damage</t>
        </is>
      </c>
      <c r="R4" s="116" t="inlineStr">
        <is>
          <t>Splash (studs)</t>
        </is>
      </c>
      <c r="S4" s="116" t="inlineStr">
        <is>
          <t>Charges</t>
        </is>
      </c>
      <c r="T4" s="116" t="inlineStr">
        <is>
          <t>Recharge (s)</t>
        </is>
      </c>
      <c r="U4" s="116" t="inlineStr">
        <is>
          <t>Base range (studs)</t>
        </is>
      </c>
      <c r="V4" s="116" t="inlineStr">
        <is>
          <t>Grenade pierces armour</t>
        </is>
      </c>
      <c r="W4" s="116" t="inlineStr">
        <is>
          <t>Cloud (s)</t>
        </is>
      </c>
      <c r="X4" s="116" t="inlineStr">
        <is>
          <t>Grenade dino effect</t>
        </is>
      </c>
      <c r="Y4" s="116" t="inlineStr">
        <is>
          <t>Grenade effect %</t>
        </is>
      </c>
      <c r="Z4" s="116" t="inlineStr">
        <is>
          <t>Grenade effect (s)</t>
        </is>
      </c>
      <c r="AA4" s="116" t="inlineStr">
        <is>
          <t>Grenade hunter effect</t>
        </is>
      </c>
      <c r="AB4" s="116" t="inlineStr">
        <is>
          <t>Grenade hunter %</t>
        </is>
      </c>
      <c r="AC4" s="116" t="inlineStr">
        <is>
          <t>Grenade hunter (s)</t>
        </is>
      </c>
    </row>
    <row r="5">
      <c r="A5" s="81" t="inlineStr">
        <is>
          <t>PISTOL</t>
        </is>
      </c>
      <c r="B5" s="81" t="inlineStr">
        <is>
          <t>Tracker</t>
        </is>
      </c>
      <c r="C5" s="81" t="inlineStr">
        <is>
          <t>Hunting Knife</t>
        </is>
      </c>
      <c r="D5" s="81" t="n">
        <v>2</v>
      </c>
      <c r="E5" s="81" t="n">
        <v>0.4</v>
      </c>
      <c r="F5" s="81" t="n">
        <v>6</v>
      </c>
      <c r="G5" s="81" t="n">
        <v>50</v>
      </c>
      <c r="H5" s="81" t="n">
        <v>1</v>
      </c>
      <c r="I5" s="81" t="inlineStr">
        <is>
          <t>No</t>
        </is>
      </c>
      <c r="J5" s="81" t="inlineStr">
        <is>
          <t>none</t>
        </is>
      </c>
      <c r="K5" s="81" t="n">
        <v>0</v>
      </c>
      <c r="L5" s="81" t="n">
        <v>0</v>
      </c>
      <c r="M5" s="81" t="inlineStr">
        <is>
          <t>none</t>
        </is>
      </c>
      <c r="N5" s="81" t="n">
        <v>0</v>
      </c>
      <c r="O5" s="81" t="n">
        <v>0</v>
      </c>
      <c r="P5" s="81" t="inlineStr">
        <is>
          <t>Stink Bomb</t>
        </is>
      </c>
      <c r="Q5" s="81" t="n">
        <v>8</v>
      </c>
      <c r="R5" s="81" t="n">
        <v>10</v>
      </c>
      <c r="S5" s="81" t="n">
        <v>1</v>
      </c>
      <c r="T5" s="81" t="n">
        <v>20</v>
      </c>
      <c r="U5" s="81" t="n">
        <v>40</v>
      </c>
      <c r="V5" s="81" t="inlineStr">
        <is>
          <t>No</t>
        </is>
      </c>
      <c r="W5" s="81" t="n">
        <v>6</v>
      </c>
      <c r="X5" s="81" t="inlineStr">
        <is>
          <t>amp</t>
        </is>
      </c>
      <c r="Y5" s="81" t="n">
        <v>20</v>
      </c>
      <c r="Z5" s="81" t="n">
        <v>1</v>
      </c>
      <c r="AA5" s="81" t="inlineStr">
        <is>
          <t>none</t>
        </is>
      </c>
      <c r="AB5" s="81" t="n">
        <v>0</v>
      </c>
      <c r="AC5" s="81" t="n">
        <v>0</v>
      </c>
    </row>
    <row r="6">
      <c r="A6" s="81" t="inlineStr">
        <is>
          <t>RIFLE</t>
        </is>
      </c>
      <c r="B6" s="81" t="inlineStr">
        <is>
          <t>Big Game Hunter</t>
        </is>
      </c>
      <c r="C6" s="81" t="inlineStr">
        <is>
          <t>Stock Swing</t>
        </is>
      </c>
      <c r="D6" s="81" t="n">
        <v>5</v>
      </c>
      <c r="E6" s="81" t="n">
        <v>1</v>
      </c>
      <c r="F6" s="81" t="n">
        <v>7</v>
      </c>
      <c r="G6" s="81" t="n">
        <v>60</v>
      </c>
      <c r="H6" s="81" t="n">
        <v>1</v>
      </c>
      <c r="I6" s="81" t="inlineStr">
        <is>
          <t>No</t>
        </is>
      </c>
      <c r="J6" s="81" t="inlineStr">
        <is>
          <t>none</t>
        </is>
      </c>
      <c r="K6" s="81" t="n">
        <v>0</v>
      </c>
      <c r="L6" s="81" t="n">
        <v>0</v>
      </c>
      <c r="M6" s="81" t="inlineStr">
        <is>
          <t>none</t>
        </is>
      </c>
      <c r="N6" s="81" t="n">
        <v>0</v>
      </c>
      <c r="O6" s="81" t="n">
        <v>0</v>
      </c>
      <c r="P6" s="81" t="inlineStr">
        <is>
          <t>Safari Grenade</t>
        </is>
      </c>
      <c r="Q6" s="81" t="n">
        <v>20</v>
      </c>
      <c r="R6" s="81" t="n">
        <v>12</v>
      </c>
      <c r="S6" s="81" t="n">
        <v>1</v>
      </c>
      <c r="T6" s="81" t="n">
        <v>20</v>
      </c>
      <c r="U6" s="81" t="n">
        <v>40</v>
      </c>
      <c r="V6" s="81" t="inlineStr">
        <is>
          <t>No</t>
        </is>
      </c>
      <c r="W6" s="81" t="n">
        <v>0</v>
      </c>
      <c r="X6" s="81" t="inlineStr">
        <is>
          <t>none</t>
        </is>
      </c>
      <c r="Y6" s="81" t="n">
        <v>0</v>
      </c>
      <c r="Z6" s="81" t="n">
        <v>0</v>
      </c>
      <c r="AA6" s="81" t="inlineStr">
        <is>
          <t>none</t>
        </is>
      </c>
      <c r="AB6" s="81" t="n">
        <v>0</v>
      </c>
      <c r="AC6" s="81" t="n">
        <v>0</v>
      </c>
    </row>
    <row r="7">
      <c r="A7" s="81" t="inlineStr">
        <is>
          <t>SHOTGUN</t>
        </is>
      </c>
      <c r="B7" s="81" t="inlineStr">
        <is>
          <t>Brush Beater</t>
        </is>
      </c>
      <c r="C7" s="81" t="inlineStr">
        <is>
          <t>Brush Machete</t>
        </is>
      </c>
      <c r="D7" s="81" t="n">
        <v>2.5</v>
      </c>
      <c r="E7" s="81" t="n">
        <v>0.75</v>
      </c>
      <c r="F7" s="81" t="n">
        <v>7</v>
      </c>
      <c r="G7" s="81" t="n">
        <v>120</v>
      </c>
      <c r="H7" s="81" t="n">
        <v>3</v>
      </c>
      <c r="I7" s="81" t="inlineStr">
        <is>
          <t>No</t>
        </is>
      </c>
      <c r="J7" s="81" t="inlineStr">
        <is>
          <t>none</t>
        </is>
      </c>
      <c r="K7" s="81" t="n">
        <v>0</v>
      </c>
      <c r="L7" s="81" t="n">
        <v>0</v>
      </c>
      <c r="M7" s="81" t="inlineStr">
        <is>
          <t>none</t>
        </is>
      </c>
      <c r="N7" s="81" t="n">
        <v>0</v>
      </c>
      <c r="O7" s="81" t="n">
        <v>0</v>
      </c>
      <c r="P7" s="81" t="inlineStr">
        <is>
          <t>Cherry Bomb</t>
        </is>
      </c>
      <c r="Q7" s="81" t="n">
        <v>12</v>
      </c>
      <c r="R7" s="81" t="n">
        <v>9</v>
      </c>
      <c r="S7" s="81" t="n">
        <v>1</v>
      </c>
      <c r="T7" s="81" t="n">
        <v>20</v>
      </c>
      <c r="U7" s="81" t="n">
        <v>40</v>
      </c>
      <c r="V7" s="81" t="inlineStr">
        <is>
          <t>No</t>
        </is>
      </c>
      <c r="W7" s="81" t="n">
        <v>0</v>
      </c>
      <c r="X7" s="81" t="inlineStr">
        <is>
          <t>slow</t>
        </is>
      </c>
      <c r="Y7" s="81" t="n">
        <v>50</v>
      </c>
      <c r="Z7" s="81" t="n">
        <v>1.5</v>
      </c>
      <c r="AA7" s="81" t="inlineStr">
        <is>
          <t>none</t>
        </is>
      </c>
      <c r="AB7" s="81" t="n">
        <v>0</v>
      </c>
      <c r="AC7" s="81" t="n">
        <v>0</v>
      </c>
    </row>
    <row r="8">
      <c r="A8" s="81" t="inlineStr">
        <is>
          <t>MEDIC</t>
        </is>
      </c>
      <c r="B8" s="81" t="inlineStr">
        <is>
          <t>Field Medic</t>
        </is>
      </c>
      <c r="C8" s="81" t="inlineStr">
        <is>
          <t>Splint Stick</t>
        </is>
      </c>
      <c r="D8" s="81" t="n">
        <v>1.5</v>
      </c>
      <c r="E8" s="81" t="n">
        <v>0.6</v>
      </c>
      <c r="F8" s="81" t="n">
        <v>6</v>
      </c>
      <c r="G8" s="81" t="n">
        <v>60</v>
      </c>
      <c r="H8" s="81" t="n">
        <v>1</v>
      </c>
      <c r="I8" s="81" t="inlineStr">
        <is>
          <t>No</t>
        </is>
      </c>
      <c r="J8" s="81" t="inlineStr">
        <is>
          <t>slow</t>
        </is>
      </c>
      <c r="K8" s="81" t="n">
        <v>30</v>
      </c>
      <c r="L8" s="81" t="n">
        <v>1.5</v>
      </c>
      <c r="M8" s="81" t="inlineStr">
        <is>
          <t>none</t>
        </is>
      </c>
      <c r="N8" s="81" t="n">
        <v>0</v>
      </c>
      <c r="O8" s="81" t="n">
        <v>0</v>
      </c>
      <c r="P8" s="81" t="inlineStr">
        <is>
          <t>Dozy Cloud</t>
        </is>
      </c>
      <c r="Q8" s="81" t="n">
        <v>5</v>
      </c>
      <c r="R8" s="81" t="n">
        <v>10</v>
      </c>
      <c r="S8" s="81" t="n">
        <v>1</v>
      </c>
      <c r="T8" s="81" t="n">
        <v>20</v>
      </c>
      <c r="U8" s="81" t="n">
        <v>40</v>
      </c>
      <c r="V8" s="81" t="inlineStr">
        <is>
          <t>No</t>
        </is>
      </c>
      <c r="W8" s="81" t="n">
        <v>5</v>
      </c>
      <c r="X8" s="81" t="inlineStr">
        <is>
          <t>slow</t>
        </is>
      </c>
      <c r="Y8" s="81" t="n">
        <v>40</v>
      </c>
      <c r="Z8" s="81" t="n">
        <v>1</v>
      </c>
      <c r="AA8" s="81" t="inlineStr">
        <is>
          <t>slow</t>
        </is>
      </c>
      <c r="AB8" s="81" t="n">
        <v>30</v>
      </c>
      <c r="AC8" s="81" t="n">
        <v>2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14" customWidth="1" style="90" min="2" max="2"/>
    <col width="10" customWidth="1" style="90" min="3" max="3"/>
  </cols>
  <sheetData>
    <row r="1">
      <c r="A1" s="117" t="inlineStr">
        <is>
          <t>PET RARITIES — effect strength per rarity (PLAN 10d T140, DECISIONS #392)</t>
        </is>
      </c>
    </row>
    <row r="2">
      <c r="A2" s="81" t="inlineStr">
        <is>
          <t>Rarity only scales the pet's one support effect (x Effect value on Pets); the look per rarity is cosmetic. Order = fuse order (3 of one -&gt; 1 of the next).</t>
        </is>
      </c>
    </row>
    <row r="4">
      <c r="A4" s="118" t="inlineStr">
        <is>
          <t>Key</t>
        </is>
      </c>
      <c r="B4" s="118" t="inlineStr">
        <is>
          <t>Rarity</t>
        </is>
      </c>
      <c r="C4" s="118" t="inlineStr">
        <is>
          <t>Effect x</t>
        </is>
      </c>
    </row>
    <row r="5">
      <c r="A5" s="81" t="inlineStr">
        <is>
          <t>COMMON</t>
        </is>
      </c>
      <c r="B5" s="81" t="inlineStr">
        <is>
          <t>Common</t>
        </is>
      </c>
      <c r="C5" s="81" t="n">
        <v>1</v>
      </c>
    </row>
    <row r="6">
      <c r="A6" s="81" t="inlineStr">
        <is>
          <t>UNCOMMON</t>
        </is>
      </c>
      <c r="B6" s="81" t="inlineStr">
        <is>
          <t>Uncommon</t>
        </is>
      </c>
      <c r="C6" s="81" t="n">
        <v>1.25</v>
      </c>
    </row>
    <row r="7">
      <c r="A7" s="81" t="inlineStr">
        <is>
          <t>RARE</t>
        </is>
      </c>
      <c r="B7" s="81" t="inlineStr">
        <is>
          <t>Rare</t>
        </is>
      </c>
      <c r="C7" s="81" t="n">
        <v>1.5</v>
      </c>
    </row>
    <row r="8">
      <c r="A8" s="81" t="inlineStr">
        <is>
          <t>EPIC</t>
        </is>
      </c>
      <c r="B8" s="81" t="inlineStr">
        <is>
          <t>Epic</t>
        </is>
      </c>
      <c r="C8" s="81" t="n">
        <v>1.75</v>
      </c>
    </row>
    <row r="9">
      <c r="A9" s="81" t="inlineStr">
        <is>
          <t>LEGENDARY</t>
        </is>
      </c>
      <c r="B9" s="81" t="inlineStr">
        <is>
          <t>Legendary</t>
        </is>
      </c>
      <c r="C9" s="81" t="n">
        <v>2</v>
      </c>
    </row>
    <row r="10">
      <c r="A10" s="81" t="inlineStr">
        <is>
          <t>MYTHIC</t>
        </is>
      </c>
      <c r="B10" s="81" t="inlineStr">
        <is>
          <t>Mythic</t>
        </is>
      </c>
      <c r="C10" s="81" t="n">
        <v>2.25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4" customWidth="1" style="90" min="2" max="2"/>
    <col width="11" customWidth="1" style="90" min="3" max="3"/>
    <col width="13" customWidth="1" style="90" min="4" max="4"/>
    <col width="10" customWidth="1" style="90" min="5" max="5"/>
    <col width="11" customWidth="1" style="90" min="6" max="6"/>
    <col width="8" customWidth="1" style="90" min="7" max="7"/>
    <col width="8" customWidth="1" style="90" min="8" max="8"/>
    <col width="11" customWidth="1" style="90" min="9" max="9"/>
    <col width="9" customWidth="1" style="90" min="10" max="10"/>
    <col width="50" customWidth="1" style="90" min="11" max="11"/>
  </cols>
  <sheetData>
    <row r="1">
      <c r="A1" s="117" t="inlineStr">
        <is>
          <t>EGGS — bought with Amber, hatched on a real-time timer (PLAN 10d T140, DECISIONS #375/#392/#396)</t>
        </is>
      </c>
    </row>
    <row r="2">
      <c r="A2" s="81" t="inlineStr">
        <is>
          <t>Hatch timers count real time (they keep running offline, #396). Odds per rarity in %, one decimal, summing to exactly 100; Mythic at most Tuning Pet Mythic odds max %. BLANK price or odds = not for sale until the Director sets them. Species is picked evenly from the Pets sheet.</t>
        </is>
      </c>
    </row>
    <row r="4">
      <c r="A4" s="118" t="inlineStr">
        <is>
          <t>Key</t>
        </is>
      </c>
      <c r="B4" s="118" t="inlineStr">
        <is>
          <t>Egg</t>
        </is>
      </c>
      <c r="C4" s="118" t="inlineStr">
        <is>
          <t>Hatch (min)</t>
        </is>
      </c>
      <c r="D4" s="118" t="inlineStr">
        <is>
          <t>Price (Amber)</t>
        </is>
      </c>
      <c r="E4" s="118" t="inlineStr">
        <is>
          <t>Common %</t>
        </is>
      </c>
      <c r="F4" s="118" t="inlineStr">
        <is>
          <t>Uncommon %</t>
        </is>
      </c>
      <c r="G4" s="118" t="inlineStr">
        <is>
          <t>Rare %</t>
        </is>
      </c>
      <c r="H4" s="118" t="inlineStr">
        <is>
          <t>Epic %</t>
        </is>
      </c>
      <c r="I4" s="118" t="inlineStr">
        <is>
          <t>Legendary %</t>
        </is>
      </c>
      <c r="J4" s="118" t="inlineStr">
        <is>
          <t>Mythic %</t>
        </is>
      </c>
      <c r="K4" s="118" t="inlineStr">
        <is>
          <t>Line</t>
        </is>
      </c>
    </row>
    <row r="5">
      <c r="A5" s="81" t="inlineStr">
        <is>
          <t>MUD</t>
        </is>
      </c>
      <c r="B5" s="81" t="inlineStr">
        <is>
          <t>Mud Egg</t>
        </is>
      </c>
      <c r="C5" s="81" t="n">
        <v>5</v>
      </c>
      <c r="D5" t="n">
        <v>20000</v>
      </c>
      <c r="E5" s="81" t="n">
        <v>55</v>
      </c>
      <c r="F5" s="81" t="n">
        <v>25</v>
      </c>
      <c r="G5" s="81" t="n">
        <v>12</v>
      </c>
      <c r="H5" s="81" t="n">
        <v>5</v>
      </c>
      <c r="I5" s="81" t="n">
        <v>2.5</v>
      </c>
      <c r="J5" s="81" t="n">
        <v>0.5</v>
      </c>
      <c r="K5" s="81" t="inlineStr">
        <is>
          <t>A plain egg from the riverbank. Most hatch Common.</t>
        </is>
      </c>
    </row>
    <row r="6">
      <c r="A6" s="81" t="inlineStr">
        <is>
          <t>SPECKLED</t>
        </is>
      </c>
      <c r="B6" s="81" t="inlineStr">
        <is>
          <t>Speckled Egg</t>
        </is>
      </c>
      <c r="C6" s="81" t="n">
        <v>30</v>
      </c>
      <c r="D6" t="n">
        <v>75000</v>
      </c>
      <c r="E6" t="n">
        <v>40</v>
      </c>
      <c r="F6" t="n">
        <v>30</v>
      </c>
      <c r="G6" t="n">
        <v>17</v>
      </c>
      <c r="H6" t="n">
        <v>8</v>
      </c>
      <c r="I6" t="n">
        <v>4</v>
      </c>
      <c r="J6" t="n">
        <v>1</v>
      </c>
      <c r="K6" s="81" t="inlineStr">
        <is>
          <t>Spotty and warm. Better odds.</t>
        </is>
      </c>
    </row>
    <row r="7">
      <c r="A7" s="81" t="inlineStr">
        <is>
          <t>GOLDEN</t>
        </is>
      </c>
      <c r="B7" s="81" t="inlineStr">
        <is>
          <t>Golden Egg</t>
        </is>
      </c>
      <c r="C7" s="81" t="n">
        <v>120</v>
      </c>
      <c r="D7" t="n">
        <v>200000</v>
      </c>
      <c r="E7" t="n">
        <v>20</v>
      </c>
      <c r="F7" t="n">
        <v>30</v>
      </c>
      <c r="G7" t="n">
        <v>25</v>
      </c>
      <c r="H7" t="n">
        <v>14</v>
      </c>
      <c r="I7" t="n">
        <v>9</v>
      </c>
      <c r="J7" t="n">
        <v>2</v>
      </c>
      <c r="K7" s="81" t="inlineStr">
        <is>
          <t>Shiny and rare. Best odds (Mythic still ≤ 2 %).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15" customWidth="1" style="90" min="2" max="2"/>
    <col width="22" customWidth="1" style="90" min="3" max="3"/>
    <col width="11" customWidth="1" style="90" min="4" max="4"/>
    <col width="12" customWidth="1" style="90" min="5" max="5"/>
    <col width="44" customWidth="1" style="90" min="6" max="6"/>
    <col width="10" customWidth="1" style="90" min="7" max="7"/>
    <col width="50" customWidth="1" style="90" min="8" max="8"/>
  </cols>
  <sheetData>
    <row r="1">
      <c r="A1" s="117" t="inlineStr">
        <is>
          <t>PETS — tamed hatchlings, one small support effect each (PLAN 10d T140/T141, DECISIONS #375-#379, names DINO_REVIEW Round 21)</t>
        </is>
      </c>
    </row>
    <row r="2">
      <c r="A2" s="81" t="inlineStr">
        <is>
          <t>Effect value is the Common strength; rarity multiplies it (Pet Rarities). Worth % at Mythic = 100 x Effect value x Mythic Effect x / Worth ref, and must be &lt;= Tuning Mastery perk worth cap (#378/#392). BLANK Effect value = the effect is off until the Director sets it (and its Worth ref).</t>
        </is>
      </c>
    </row>
    <row r="4">
      <c r="A4" s="118" t="inlineStr">
        <is>
          <t>Key</t>
        </is>
      </c>
      <c r="B4" s="118" t="inlineStr">
        <is>
          <t>Pet</t>
        </is>
      </c>
      <c r="C4" s="118" t="inlineStr">
        <is>
          <t>Species</t>
        </is>
      </c>
      <c r="D4" s="118" t="inlineStr">
        <is>
          <t>Effect</t>
        </is>
      </c>
      <c r="E4" s="118" t="inlineStr">
        <is>
          <t>Effect value</t>
        </is>
      </c>
      <c r="F4" s="118" t="inlineStr">
        <is>
          <t>Unit</t>
        </is>
      </c>
      <c r="G4" s="118" t="inlineStr">
        <is>
          <t>Worth ref</t>
        </is>
      </c>
      <c r="H4" s="118" t="inlineStr">
        <is>
          <t>Line</t>
        </is>
      </c>
    </row>
    <row r="5">
      <c r="A5" s="81" t="inlineStr">
        <is>
          <t>HONKER</t>
        </is>
      </c>
      <c r="B5" s="81" t="inlineStr">
        <is>
          <t>Honker</t>
        </is>
      </c>
      <c r="C5" s="81" t="inlineStr">
        <is>
          <t>baby Parasaurolophus</t>
        </is>
      </c>
      <c r="D5" s="81" t="inlineStr">
        <is>
          <t>honk</t>
        </is>
      </c>
      <c r="E5" t="n">
        <v>5</v>
      </c>
      <c r="F5" s="81" t="inlineStr">
        <is>
          <t>% more damage from its hunter to the honked dino</t>
        </is>
      </c>
      <c r="G5" t="n">
        <v>33</v>
      </c>
      <c r="H5" s="81" t="inlineStr">
        <is>
          <t>Honks at the biggest dino near you — you hit it harder for a moment.</t>
        </is>
      </c>
    </row>
    <row r="6">
      <c r="A6" s="81" t="inlineStr">
        <is>
          <t>FETCHER</t>
        </is>
      </c>
      <c r="B6" s="81" t="inlineStr">
        <is>
          <t>Fetcher</t>
        </is>
      </c>
      <c r="C6" s="81" t="inlineStr">
        <is>
          <t>tiny Dimorphodon</t>
        </is>
      </c>
      <c r="D6" s="81" t="inlineStr">
        <is>
          <t>fetch</t>
        </is>
      </c>
      <c r="E6" t="n">
        <v>4</v>
      </c>
      <c r="F6" s="81" t="inlineStr">
        <is>
          <t>studs: brings its hunter's Airdrop chests from this far</t>
        </is>
      </c>
      <c r="G6" t="n">
        <v>25</v>
      </c>
      <c r="H6" s="81" t="inlineStr">
        <is>
          <t>Flies to Airdrop chests and brings them to you.</t>
        </is>
      </c>
    </row>
    <row r="7">
      <c r="A7" s="81" t="inlineStr">
        <is>
          <t>FERN_MUNCHER</t>
        </is>
      </c>
      <c r="B7" s="81" t="inlineStr">
        <is>
          <t>Fern Muncher</t>
        </is>
      </c>
      <c r="C7" s="81" t="inlineStr">
        <is>
          <t>baby longneck</t>
        </is>
      </c>
      <c r="D7" s="81" t="inlineStr">
        <is>
          <t>regen</t>
        </is>
      </c>
      <c r="E7" t="n">
        <v>0.2</v>
      </c>
      <c r="F7" s="81" t="inlineStr">
        <is>
          <t>HP per second while it is with you</t>
        </is>
      </c>
      <c r="G7" t="n">
        <v>3</v>
      </c>
      <c r="H7" s="81" t="inlineStr">
        <is>
          <t>You slowly heal while it's with you.</t>
        </is>
      </c>
    </row>
    <row r="8">
      <c r="A8" s="81" t="inlineStr">
        <is>
          <t>SHINY_SNATCHER</t>
        </is>
      </c>
      <c r="B8" s="81" t="inlineStr">
        <is>
          <t>Shiny Snatcher</t>
        </is>
      </c>
      <c r="C8" s="81" t="inlineStr">
        <is>
          <t>baby Oviraptor</t>
        </is>
      </c>
      <c r="D8" s="81" t="inlineStr">
        <is>
          <t>roundcash</t>
        </is>
      </c>
      <c r="E8" t="n">
        <v>8</v>
      </c>
      <c r="F8" s="81" t="inlineStr">
        <is>
          <t>cash to your team each round cleared</t>
        </is>
      </c>
      <c r="G8" t="n">
        <v>60</v>
      </c>
      <c r="H8" s="81" t="inlineStr">
        <is>
          <t>Digs up a little cash every round.</t>
        </is>
      </c>
    </row>
    <row r="9">
      <c r="A9" s="81" t="inlineStr">
        <is>
          <t>FRILL_GUARD</t>
        </is>
      </c>
      <c r="B9" s="81" t="inlineStr">
        <is>
          <t>Frill Guard</t>
        </is>
      </c>
      <c r="C9" s="81" t="inlineStr">
        <is>
          <t>baby Protoceratops</t>
        </is>
      </c>
      <c r="D9" s="81" t="inlineStr">
        <is>
          <t>absorb</t>
        </is>
      </c>
      <c r="E9" t="n">
        <v>40</v>
      </c>
      <c r="F9" s="81" t="inlineStr">
        <is>
          <t>% of the round's first dino bite it takes for you</t>
        </is>
      </c>
      <c r="G9" t="n">
        <v>250</v>
      </c>
      <c r="H9" s="81" t="inlineStr">
        <is>
          <t>Takes one dino bite for you each round.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2026-10-21T17:35:32Z</dcterms:modified>
</cp:coreProperties>
</file>