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t="inlineStr">
        <is>
          <t>SPOTTER BLIMP</t>
        </is>
      </c>
    </row>
    <row r="245">
      <c r="A245" t="inlineStr">
        <is>
          <t>Blimp speed (studs/s)</t>
        </is>
      </c>
      <c r="B245" t="n">
        <v>40</v>
      </c>
      <c r="C245" t="inlineStr">
        <is>
          <t>the blimp's flying speed along its side's track (x Blimp speed x); a lap = spawn end to exit end and back (Shared/Blimp)</t>
        </is>
      </c>
    </row>
    <row r="246">
      <c r="A246" t="inlineStr">
        <is>
          <t>Paratrooper HP</t>
        </is>
      </c>
      <c r="B246" t="n">
        <v>80</v>
      </c>
      <c r="C246" t="inlineStr">
        <is>
          <t>a Paratroopers ranger's HP (the 9g walker, fight mode)</t>
        </is>
      </c>
    </row>
    <row r="247">
      <c r="A247" t="inlineStr">
        <is>
          <t>Paratrooper damage</t>
        </is>
      </c>
      <c r="B247" t="n">
        <v>40</v>
      </c>
      <c r="C247" t="inlineStr">
        <is>
          <t>a paratrooper's shot (x the team's level)</t>
        </is>
      </c>
    </row>
    <row r="248">
      <c r="A248" t="inlineStr">
        <is>
          <t>Paratrooper rate</t>
        </is>
      </c>
      <c r="B248" t="n">
        <v>1.5</v>
      </c>
      <c r="C248" t="inlineStr">
        <is>
          <t>shots a second per paratrooper</t>
        </is>
      </c>
    </row>
    <row r="249">
      <c r="A249" t="inlineStr">
        <is>
          <t>Paratrooper reach</t>
        </is>
      </c>
      <c r="B249" t="n">
        <v>14</v>
      </c>
      <c r="C249" t="inlineStr">
        <is>
          <t>studs: paratroopers hunt dinos within this of where they land</t>
        </is>
      </c>
    </row>
    <row r="250">
      <c r="A250" t="inlineStr">
        <is>
          <t>Paratrooper speed</t>
        </is>
      </c>
      <c r="B250" t="n">
        <v>14</v>
      </c>
      <c r="C250" t="inlineStr">
        <is>
          <t>studs/s a paratrooper walks</t>
        </is>
      </c>
    </row>
    <row r="251">
      <c r="A251" t="inlineStr">
        <is>
          <t>Hook max sizes</t>
        </is>
      </c>
      <c r="B251" t="n">
        <v>2</v>
      </c>
      <c r="C251" t="inlineStr">
        <is>
          <t>Sky Hook takes only a non-boss dino with at most this many sizes left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t="inlineStr">
        <is>
          <t>Spotter Blimp</t>
        </is>
      </c>
      <c r="B22" t="inlineStr">
        <is>
          <t>Flies your track: a door gun, a searchlight or cargo</t>
        </is>
      </c>
      <c r="C22" t="n">
        <v>600</v>
      </c>
      <c r="D22" t="n">
        <v>5</v>
      </c>
      <c r="E22" t="n">
        <v>2</v>
      </c>
      <c r="F22" t="n">
        <v>1</v>
      </c>
      <c r="G22">
        <f>D22*E22*F22</f>
        <v/>
      </c>
      <c r="H22" t="n">
        <v>14</v>
      </c>
      <c r="I22" t="inlineStr">
        <is>
          <t>Yes</t>
        </is>
      </c>
      <c r="J22" t="n">
        <v>0</v>
      </c>
      <c r="K22" t="inlineStr">
        <is>
          <t>Its mooring mast is placed like any tower; the blimp flies your track there and back. Can't be damaged (#148).</t>
        </is>
      </c>
      <c r="L22" t="n">
        <v>0</v>
      </c>
      <c r="M22" t="n">
        <v>0</v>
      </c>
      <c r="N22" t="n">
        <v>400</v>
      </c>
      <c r="O22" t="inlineStr">
        <is>
          <t>BLIMP</t>
        </is>
      </c>
      <c r="P22" t="n">
        <v>0</v>
      </c>
      <c r="Q22" t="n">
        <v>0</v>
      </c>
      <c r="R22" t="n">
        <v>0</v>
      </c>
      <c r="T22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M4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t="inlineStr">
        <is>
          <t>Blimp speed x</t>
        </is>
      </c>
      <c r="FC4" t="inlineStr">
        <is>
          <t>Lap chests</t>
        </is>
      </c>
      <c r="FD4" t="inlineStr">
        <is>
          <t>Lap repairs</t>
        </is>
      </c>
      <c r="FE4" t="inlineStr">
        <is>
          <t>Crate heal %</t>
        </is>
      </c>
      <c r="FF4" t="inlineStr">
        <is>
          <t>Paratroopers</t>
        </is>
      </c>
      <c r="FG4" t="inlineStr">
        <is>
          <t>Airlift</t>
        </is>
      </c>
      <c r="FH4" t="inlineStr">
        <is>
          <t>Throw miss %</t>
        </is>
      </c>
      <c r="FI4" t="inlineStr">
        <is>
          <t>Aura reach x</t>
        </is>
      </c>
      <c r="FJ4" t="inlineStr">
        <is>
          <t>Dino outlines</t>
        </is>
      </c>
      <c r="FK4" t="inlineStr">
        <is>
          <t>Bombing run</t>
        </is>
      </c>
      <c r="FL4" t="inlineStr">
        <is>
          <t>Hook every (s)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t="inlineStr">
        <is>
          <t>Spotter Blimp</t>
        </is>
      </c>
      <c r="B383" t="inlineStr">
        <is>
          <t>Door Gun</t>
        </is>
      </c>
      <c r="C383" t="inlineStr">
        <is>
          <t>damage</t>
        </is>
      </c>
      <c r="D383" t="n">
        <v>1</v>
      </c>
      <c r="E383">
        <f>ROUND('Towers'!$C$22*POWER('Tuning'!$B$12,D383),0)</f>
        <v/>
      </c>
      <c r="F383">
        <f>'Towers'!$C$22+E383</f>
        <v/>
      </c>
      <c r="G383" t="n">
        <v>1.5</v>
      </c>
      <c r="H383" t="n">
        <v>1.2</v>
      </c>
      <c r="I383" t="n">
        <v>1</v>
      </c>
      <c r="J383">
        <f>'Towers'!$G$22*G383*H383*I383</f>
        <v/>
      </c>
      <c r="K383">
        <f>IF(J383=0,0,F383/J383)</f>
        <v/>
      </c>
      <c r="L383" t="n">
        <v>1</v>
      </c>
      <c r="M383" t="inlineStr">
        <is>
          <t>Belt Gun</t>
        </is>
      </c>
    </row>
    <row r="384">
      <c r="A384" t="inlineStr">
        <is>
          <t>Spotter Blimp</t>
        </is>
      </c>
      <c r="B384" t="inlineStr">
        <is>
          <t>Door Gun</t>
        </is>
      </c>
      <c r="C384" t="inlineStr">
        <is>
          <t>damage</t>
        </is>
      </c>
      <c r="D384" t="n">
        <v>2</v>
      </c>
      <c r="E384">
        <f>ROUND('Towers'!$C$22*POWER('Tuning'!$B$12,D384),0)</f>
        <v/>
      </c>
      <c r="F384">
        <f>F383+E384</f>
        <v/>
      </c>
      <c r="G384" t="n">
        <v>1.5</v>
      </c>
      <c r="H384" t="n">
        <v>1.2</v>
      </c>
      <c r="I384" t="n">
        <v>1</v>
      </c>
      <c r="J384">
        <f>'Towers'!$G$22*G384*H384*I384</f>
        <v/>
      </c>
      <c r="K384">
        <f>IF(J384=0,0,F384/J384)</f>
        <v/>
      </c>
      <c r="L384" t="n">
        <v>1</v>
      </c>
      <c r="M384" t="inlineStr">
        <is>
          <t>Twin Mount</t>
        </is>
      </c>
      <c r="Q384" t="n">
        <v>2</v>
      </c>
    </row>
    <row r="385">
      <c r="A385" t="inlineStr">
        <is>
          <t>Spotter Blimp</t>
        </is>
      </c>
      <c r="B385" t="inlineStr">
        <is>
          <t>Door Gun</t>
        </is>
      </c>
      <c r="C385" t="inlineStr">
        <is>
          <t>damage</t>
        </is>
      </c>
      <c r="D385" t="n">
        <v>3</v>
      </c>
      <c r="E385">
        <f>ROUND('Towers'!$C$22*POWER('Tuning'!$B$12,D385),0)</f>
        <v/>
      </c>
      <c r="F385">
        <f>F384+E385</f>
        <v/>
      </c>
      <c r="G385" t="n">
        <v>2.6</v>
      </c>
      <c r="H385" t="n">
        <v>1.2</v>
      </c>
      <c r="I385" t="n">
        <v>1</v>
      </c>
      <c r="J385">
        <f>'Towers'!$G$22*G385*H385*I385</f>
        <v/>
      </c>
      <c r="K385">
        <f>IF(J385=0,0,F385/J385)</f>
        <v/>
      </c>
      <c r="L385" t="n">
        <v>1</v>
      </c>
      <c r="M385" t="inlineStr">
        <is>
          <t>Strafing Run</t>
        </is>
      </c>
      <c r="Q385" t="n">
        <v>2</v>
      </c>
      <c r="R385" t="n">
        <v>3</v>
      </c>
    </row>
    <row r="386">
      <c r="A386" t="inlineStr">
        <is>
          <t>Spotter Blimp</t>
        </is>
      </c>
      <c r="B386" t="inlineStr">
        <is>
          <t>Door Gun</t>
        </is>
      </c>
      <c r="C386" t="inlineStr">
        <is>
          <t>damage</t>
        </is>
      </c>
      <c r="D386" t="n">
        <v>4</v>
      </c>
      <c r="E386">
        <f>ROUND('Towers'!$C$22*POWER('Tuning'!$B$12,D386),0)</f>
        <v/>
      </c>
      <c r="F386">
        <f>F385+E386</f>
        <v/>
      </c>
      <c r="G386" t="n">
        <v>1.7</v>
      </c>
      <c r="H386" t="n">
        <v>1</v>
      </c>
      <c r="I386" t="n">
        <v>1</v>
      </c>
      <c r="J386">
        <f>J385*G386*H386*I386</f>
        <v/>
      </c>
      <c r="K386">
        <f>IF(J386=0,0,F386/J386)</f>
        <v/>
      </c>
      <c r="L386" t="n">
        <v>1</v>
      </c>
      <c r="M386" t="inlineStr">
        <is>
          <t>Heavy Mount</t>
        </is>
      </c>
      <c r="N386" t="inlineStr">
        <is>
          <t>Yes</t>
        </is>
      </c>
      <c r="BJ386" t="n">
        <v>2</v>
      </c>
      <c r="CI386" t="inlineStr">
        <is>
          <t>A</t>
        </is>
      </c>
      <c r="CJ386" t="inlineStr">
        <is>
          <t>Shoots through armour, breaks 2</t>
        </is>
      </c>
    </row>
    <row r="387">
      <c r="A387" t="inlineStr">
        <is>
          <t>Spotter Blimp</t>
        </is>
      </c>
      <c r="B387" t="inlineStr">
        <is>
          <t>Door Gun</t>
        </is>
      </c>
      <c r="C387" t="inlineStr">
        <is>
          <t>damage</t>
        </is>
      </c>
      <c r="D387" t="n">
        <v>5</v>
      </c>
      <c r="E387">
        <f>ROUND('Towers'!$C$22*POWER('Tuning'!$B$12,D387),0)</f>
        <v/>
      </c>
      <c r="F387">
        <f>F386+E387</f>
        <v/>
      </c>
      <c r="G387" t="n">
        <v>0.78</v>
      </c>
      <c r="H387" t="n">
        <v>1</v>
      </c>
      <c r="I387" t="n">
        <v>1</v>
      </c>
      <c r="J387">
        <f>J386*G387*H387*I387</f>
        <v/>
      </c>
      <c r="K387">
        <f>IF(J387=0,0,F387/J387)</f>
        <v/>
      </c>
      <c r="L387" t="n">
        <v>1</v>
      </c>
      <c r="M387" t="inlineStr">
        <is>
          <t>Gunship</t>
        </is>
      </c>
      <c r="Q387" t="n">
        <v>4</v>
      </c>
      <c r="Z387" t="n">
        <v>2</v>
      </c>
      <c r="AA387" t="n">
        <v>1</v>
      </c>
      <c r="CI387" t="inlineStr">
        <is>
          <t>A</t>
        </is>
      </c>
      <c r="CJ387" t="inlineStr">
        <is>
          <t>Faster, four guns and rockets</t>
        </is>
      </c>
      <c r="FB387" t="n">
        <v>1.5</v>
      </c>
    </row>
    <row r="388">
      <c r="A388" t="inlineStr">
        <is>
          <t>Spotter Blimp</t>
        </is>
      </c>
      <c r="B388" t="inlineStr">
        <is>
          <t>Searchlight</t>
        </is>
      </c>
      <c r="C388" t="inlineStr">
        <is>
          <t>support</t>
        </is>
      </c>
      <c r="D388" t="n">
        <v>1</v>
      </c>
      <c r="E388">
        <f>ROUND('Towers'!$C$22*POWER('Tuning'!$B$12,D388),0)</f>
        <v/>
      </c>
      <c r="F388">
        <f>'Towers'!$C$22+E388</f>
        <v/>
      </c>
      <c r="G388" t="n">
        <v>1</v>
      </c>
      <c r="H388" t="n">
        <v>1</v>
      </c>
      <c r="I388" t="n">
        <v>1</v>
      </c>
      <c r="J388">
        <f>'Towers'!$G$22*G388*H388*I388</f>
        <v/>
      </c>
      <c r="K388">
        <f>IF(J388=0,0,F388/J388)</f>
        <v/>
      </c>
      <c r="L388" t="n">
        <v>1</v>
      </c>
      <c r="M388" t="inlineStr">
        <is>
          <t>Spotlight</t>
        </is>
      </c>
      <c r="AL388" t="n">
        <v>10</v>
      </c>
    </row>
    <row r="389">
      <c r="A389" t="inlineStr">
        <is>
          <t>Spotter Blimp</t>
        </is>
      </c>
      <c r="B389" t="inlineStr">
        <is>
          <t>Searchlight</t>
        </is>
      </c>
      <c r="C389" t="inlineStr">
        <is>
          <t>support</t>
        </is>
      </c>
      <c r="D389" t="n">
        <v>2</v>
      </c>
      <c r="E389">
        <f>ROUND('Towers'!$C$22*POWER('Tuning'!$B$12,D389),0)</f>
        <v/>
      </c>
      <c r="F389">
        <f>F388+E389</f>
        <v/>
      </c>
      <c r="G389" t="n">
        <v>1</v>
      </c>
      <c r="H389" t="n">
        <v>1</v>
      </c>
      <c r="I389" t="n">
        <v>1</v>
      </c>
      <c r="J389">
        <f>'Towers'!$G$22*G389*H389*I389</f>
        <v/>
      </c>
      <c r="K389">
        <f>IF(J389=0,0,F389/J389)</f>
        <v/>
      </c>
      <c r="L389" t="n">
        <v>1.3</v>
      </c>
      <c r="M389" t="inlineStr">
        <is>
          <t>Wide Beam</t>
        </is>
      </c>
      <c r="AL389" t="n">
        <v>10</v>
      </c>
    </row>
    <row r="390">
      <c r="A390" t="inlineStr">
        <is>
          <t>Spotter Blimp</t>
        </is>
      </c>
      <c r="B390" t="inlineStr">
        <is>
          <t>Searchlight</t>
        </is>
      </c>
      <c r="C390" t="inlineStr">
        <is>
          <t>support</t>
        </is>
      </c>
      <c r="D390" t="n">
        <v>3</v>
      </c>
      <c r="E390">
        <f>ROUND('Towers'!$C$22*POWER('Tuning'!$B$12,D390),0)</f>
        <v/>
      </c>
      <c r="F390">
        <f>F389+E390</f>
        <v/>
      </c>
      <c r="G390" t="n">
        <v>1</v>
      </c>
      <c r="H390" t="n">
        <v>1</v>
      </c>
      <c r="I390" t="n">
        <v>1</v>
      </c>
      <c r="J390">
        <f>'Towers'!$G$22*G390*H390*I390</f>
        <v/>
      </c>
      <c r="K390">
        <f>IF(J390=0,0,F390/J390)</f>
        <v/>
      </c>
      <c r="L390" t="n">
        <v>1.3</v>
      </c>
      <c r="M390" t="inlineStr">
        <is>
          <t>Night Hunt</t>
        </is>
      </c>
      <c r="AL390" t="n">
        <v>10</v>
      </c>
      <c r="FA390" t="n">
        <v>15</v>
      </c>
    </row>
    <row r="391">
      <c r="A391" t="inlineStr">
        <is>
          <t>Spotter Blimp</t>
        </is>
      </c>
      <c r="B391" t="inlineStr">
        <is>
          <t>Searchlight</t>
        </is>
      </c>
      <c r="C391" t="inlineStr">
        <is>
          <t>support</t>
        </is>
      </c>
      <c r="D391" t="n">
        <v>4</v>
      </c>
      <c r="E391">
        <f>ROUND('Towers'!$C$22*POWER('Tuning'!$B$12,D391),0)</f>
        <v/>
      </c>
      <c r="F391">
        <f>F390+E391</f>
        <v/>
      </c>
      <c r="G391" t="n">
        <v>1</v>
      </c>
      <c r="H391" t="n">
        <v>1</v>
      </c>
      <c r="I391" t="n">
        <v>1</v>
      </c>
      <c r="J391">
        <f>J390*G391*H391*I391</f>
        <v/>
      </c>
      <c r="K391">
        <f>IF(J391=0,0,F391/J391)</f>
        <v/>
      </c>
      <c r="L391" t="n">
        <v>1.6</v>
      </c>
      <c r="M391" t="inlineStr">
        <is>
          <t>Floodlights</t>
        </is>
      </c>
      <c r="CI391" t="inlineStr">
        <is>
          <t>A</t>
        </is>
      </c>
      <c r="CJ391" t="inlineStr">
        <is>
          <t>Lights a much wider circle</t>
        </is>
      </c>
    </row>
    <row r="392">
      <c r="A392" t="inlineStr">
        <is>
          <t>Spotter Blimp</t>
        </is>
      </c>
      <c r="B392" t="inlineStr">
        <is>
          <t>Searchlight</t>
        </is>
      </c>
      <c r="C392" t="inlineStr">
        <is>
          <t>support</t>
        </is>
      </c>
      <c r="D392" t="n">
        <v>5</v>
      </c>
      <c r="E392">
        <f>ROUND('Towers'!$C$22*POWER('Tuning'!$B$12,D392),0)</f>
        <v/>
      </c>
      <c r="F392">
        <f>F391+E392</f>
        <v/>
      </c>
      <c r="G392" t="n">
        <v>1</v>
      </c>
      <c r="H392" t="n">
        <v>1</v>
      </c>
      <c r="I392" t="n">
        <v>1</v>
      </c>
      <c r="J392">
        <f>J391*G392*H392*I392</f>
        <v/>
      </c>
      <c r="K392">
        <f>IF(J392=0,0,F392/J392)</f>
        <v/>
      </c>
      <c r="L392" t="n">
        <v>1</v>
      </c>
      <c r="M392" t="inlineStr">
        <is>
          <t>All-Seeing Eye</t>
        </is>
      </c>
      <c r="AL392" t="n">
        <v>25</v>
      </c>
      <c r="CI392" t="inlineStr">
        <is>
          <t>A</t>
        </is>
      </c>
      <c r="CJ392" t="inlineStr">
        <is>
          <t>Every dino under the blimp marked +25%</t>
        </is>
      </c>
    </row>
    <row r="393">
      <c r="A393" t="inlineStr">
        <is>
          <t>Spotter Blimp</t>
        </is>
      </c>
      <c r="B393" t="inlineStr">
        <is>
          <t>Cargo</t>
        </is>
      </c>
      <c r="C393" t="inlineStr">
        <is>
          <t>cash</t>
        </is>
      </c>
      <c r="D393" t="n">
        <v>1</v>
      </c>
      <c r="E393">
        <f>ROUND('Towers'!$C$22*POWER('Tuning'!$B$12,D393),0)</f>
        <v/>
      </c>
      <c r="F393">
        <f>'Towers'!$C$22+E393</f>
        <v/>
      </c>
      <c r="G393" t="n">
        <v>1</v>
      </c>
      <c r="H393" t="n">
        <v>1</v>
      </c>
      <c r="I393" t="n">
        <v>1</v>
      </c>
      <c r="J393">
        <f>'Towers'!$G$22*G393*H393*I393</f>
        <v/>
      </c>
      <c r="K393">
        <f>IF(J393=0,0,F393/J393)</f>
        <v/>
      </c>
      <c r="L393" t="n">
        <v>1</v>
      </c>
      <c r="M393" t="inlineStr">
        <is>
          <t>Supply Crates</t>
        </is>
      </c>
      <c r="AQ393" t="n">
        <v>1</v>
      </c>
      <c r="AR393" t="n">
        <v>200</v>
      </c>
    </row>
    <row r="394">
      <c r="A394" t="inlineStr">
        <is>
          <t>Spotter Blimp</t>
        </is>
      </c>
      <c r="B394" t="inlineStr">
        <is>
          <t>Cargo</t>
        </is>
      </c>
      <c r="C394" t="inlineStr">
        <is>
          <t>cash</t>
        </is>
      </c>
      <c r="D394" t="n">
        <v>2</v>
      </c>
      <c r="E394">
        <f>ROUND('Towers'!$C$22*POWER('Tuning'!$B$12,D394),0)</f>
        <v/>
      </c>
      <c r="F394">
        <f>F393+E394</f>
        <v/>
      </c>
      <c r="G394" t="n">
        <v>1</v>
      </c>
      <c r="H394" t="n">
        <v>1</v>
      </c>
      <c r="I394" t="n">
        <v>1</v>
      </c>
      <c r="J394">
        <f>'Towers'!$G$22*G394*H394*I394</f>
        <v/>
      </c>
      <c r="K394">
        <f>IF(J394=0,0,F394/J394)</f>
        <v/>
      </c>
      <c r="L394" t="n">
        <v>1</v>
      </c>
      <c r="M394" t="inlineStr">
        <is>
          <t>Ammo Drop</t>
        </is>
      </c>
      <c r="AQ394" t="n">
        <v>1</v>
      </c>
      <c r="AR394" t="n">
        <v>550</v>
      </c>
      <c r="AY394" t="n">
        <v>0.8</v>
      </c>
    </row>
    <row r="395">
      <c r="A395" t="inlineStr">
        <is>
          <t>Spotter Blimp</t>
        </is>
      </c>
      <c r="B395" t="inlineStr">
        <is>
          <t>Cargo</t>
        </is>
      </c>
      <c r="C395" t="inlineStr">
        <is>
          <t>cash</t>
        </is>
      </c>
      <c r="D395" t="n">
        <v>3</v>
      </c>
      <c r="E395">
        <f>ROUND('Towers'!$C$22*POWER('Tuning'!$B$12,D395),0)</f>
        <v/>
      </c>
      <c r="F395">
        <f>F394+E395</f>
        <v/>
      </c>
      <c r="G395" t="n">
        <v>1</v>
      </c>
      <c r="H395" t="n">
        <v>1</v>
      </c>
      <c r="I395" t="n">
        <v>1</v>
      </c>
      <c r="J395">
        <f>'Towers'!$G$22*G395*H395*I395</f>
        <v/>
      </c>
      <c r="K395">
        <f>IF(J395=0,0,F395/J395)</f>
        <v/>
      </c>
      <c r="L395" t="n">
        <v>1</v>
      </c>
      <c r="M395" t="inlineStr">
        <is>
          <t>Med Drop</t>
        </is>
      </c>
      <c r="AQ395" t="n">
        <v>1</v>
      </c>
      <c r="AR395" t="n">
        <v>1550</v>
      </c>
      <c r="AY395" t="n">
        <v>0.8</v>
      </c>
      <c r="BE395" t="n">
        <v>1</v>
      </c>
      <c r="BF395" t="n">
        <v>40</v>
      </c>
    </row>
    <row r="396">
      <c r="A396" t="inlineStr">
        <is>
          <t>Spotter Blimp</t>
        </is>
      </c>
      <c r="B396" t="inlineStr">
        <is>
          <t>Cargo</t>
        </is>
      </c>
      <c r="C396" t="inlineStr">
        <is>
          <t>cash</t>
        </is>
      </c>
      <c r="D396" t="n">
        <v>4</v>
      </c>
      <c r="E396">
        <f>ROUND('Towers'!$C$22*POWER('Tuning'!$B$12,D396),0)</f>
        <v/>
      </c>
      <c r="F396">
        <f>F395+E396</f>
        <v/>
      </c>
      <c r="G396" t="n">
        <v>1</v>
      </c>
      <c r="H396" t="n">
        <v>1</v>
      </c>
      <c r="I396" t="n">
        <v>1</v>
      </c>
      <c r="J396">
        <f>J395*G396*H396*I396</f>
        <v/>
      </c>
      <c r="K396">
        <f>IF(J396=0,0,F396/J396)</f>
        <v/>
      </c>
      <c r="L396" t="n">
        <v>1</v>
      </c>
      <c r="M396" t="inlineStr">
        <is>
          <t>Heavy Cargo</t>
        </is>
      </c>
      <c r="AR396" t="n">
        <v>2000</v>
      </c>
      <c r="CI396" t="inlineStr">
        <is>
          <t>A</t>
        </is>
      </c>
      <c r="CJ396" t="inlineStr">
        <is>
          <t>Bigger crates</t>
        </is>
      </c>
    </row>
    <row r="397">
      <c r="A397" t="inlineStr">
        <is>
          <t>Spotter Blimp</t>
        </is>
      </c>
      <c r="B397" t="inlineStr">
        <is>
          <t>Cargo</t>
        </is>
      </c>
      <c r="C397" t="inlineStr">
        <is>
          <t>cash</t>
        </is>
      </c>
      <c r="D397" t="n">
        <v>5</v>
      </c>
      <c r="E397">
        <f>ROUND('Towers'!$C$22*POWER('Tuning'!$B$12,D397),0)</f>
        <v/>
      </c>
      <c r="F397">
        <f>F396+E397</f>
        <v/>
      </c>
      <c r="G397" t="n">
        <v>1</v>
      </c>
      <c r="H397" t="n">
        <v>1</v>
      </c>
      <c r="I397" t="n">
        <v>1</v>
      </c>
      <c r="J397">
        <f>J396*G397*H397*I397</f>
        <v/>
      </c>
      <c r="K397">
        <f>IF(J397=0,0,F397/J397)</f>
        <v/>
      </c>
      <c r="L397" t="n">
        <v>1</v>
      </c>
      <c r="M397" t="inlineStr">
        <is>
          <t>Cargo Run</t>
        </is>
      </c>
      <c r="CI397" t="inlineStr">
        <is>
          <t>A</t>
        </is>
      </c>
      <c r="CJ397" t="inlineStr">
        <is>
          <t>A big crate every lap</t>
        </is>
      </c>
      <c r="FC397" t="inlineStr">
        <is>
          <t>Yes</t>
        </is>
      </c>
    </row>
    <row r="398">
      <c r="A398" t="inlineStr">
        <is>
          <t>Spotter Blimp</t>
        </is>
      </c>
      <c r="B398" t="inlineStr">
        <is>
          <t>Door Gun</t>
        </is>
      </c>
      <c r="C398" t="inlineStr">
        <is>
          <t>damage</t>
        </is>
      </c>
      <c r="D398" t="n">
        <v>4</v>
      </c>
      <c r="E398">
        <f>E386</f>
        <v/>
      </c>
      <c r="F398">
        <f>F386</f>
        <v/>
      </c>
      <c r="G398" t="n">
        <v>1.4</v>
      </c>
      <c r="H398" t="n">
        <v>1</v>
      </c>
      <c r="I398" t="n">
        <v>1</v>
      </c>
      <c r="L398" t="n">
        <v>1</v>
      </c>
      <c r="M398" t="inlineStr">
        <is>
          <t>Rocket Pods</t>
        </is>
      </c>
      <c r="Z398" t="n">
        <v>3</v>
      </c>
      <c r="AA398" t="n">
        <v>1</v>
      </c>
      <c r="CI398" t="inlineStr">
        <is>
          <t>B</t>
        </is>
      </c>
      <c r="CJ398" t="inlineStr">
        <is>
          <t>Rockets that splash</t>
        </is>
      </c>
    </row>
    <row r="399">
      <c r="A399" t="inlineStr">
        <is>
          <t>Spotter Blimp</t>
        </is>
      </c>
      <c r="B399" t="inlineStr">
        <is>
          <t>Door Gun</t>
        </is>
      </c>
      <c r="C399" t="inlineStr">
        <is>
          <t>damage</t>
        </is>
      </c>
      <c r="D399" t="n">
        <v>4</v>
      </c>
      <c r="E399">
        <f>E386</f>
        <v/>
      </c>
      <c r="F399">
        <f>F386</f>
        <v/>
      </c>
      <c r="G399" t="n">
        <v>1.75</v>
      </c>
      <c r="H399" t="n">
        <v>1</v>
      </c>
      <c r="I399" t="n">
        <v>1</v>
      </c>
      <c r="L399" t="n">
        <v>1</v>
      </c>
      <c r="M399" t="inlineStr">
        <is>
          <t>Tracer Belt</t>
        </is>
      </c>
      <c r="T399" t="n">
        <v>15</v>
      </c>
      <c r="CI399" t="inlineStr">
        <is>
          <t>C</t>
        </is>
      </c>
      <c r="CJ399" t="inlineStr">
        <is>
          <t>Hit dinos are marked +15%</t>
        </is>
      </c>
    </row>
    <row r="400">
      <c r="A400" t="inlineStr">
        <is>
          <t>Spotter Blimp</t>
        </is>
      </c>
      <c r="B400" t="inlineStr">
        <is>
          <t>Door Gun</t>
        </is>
      </c>
      <c r="C400" t="inlineStr">
        <is>
          <t>damage</t>
        </is>
      </c>
      <c r="D400" t="n">
        <v>5</v>
      </c>
      <c r="E400">
        <f>E387</f>
        <v/>
      </c>
      <c r="F400">
        <f>F387</f>
        <v/>
      </c>
      <c r="G400" t="n">
        <v>1.6</v>
      </c>
      <c r="H400" t="n">
        <v>1</v>
      </c>
      <c r="I400" t="n">
        <v>1</v>
      </c>
      <c r="L400" t="n">
        <v>1</v>
      </c>
      <c r="M400" t="inlineStr">
        <is>
          <t>Bombing Run</t>
        </is>
      </c>
      <c r="CI400" t="inlineStr">
        <is>
          <t>B</t>
        </is>
      </c>
      <c r="CJ400" t="inlineStr">
        <is>
          <t>Bombs the whole track once a round</t>
        </is>
      </c>
      <c r="CS400" t="n">
        <v>12</v>
      </c>
      <c r="FK400" t="inlineStr">
        <is>
          <t>Yes</t>
        </is>
      </c>
    </row>
    <row r="401">
      <c r="A401" t="inlineStr">
        <is>
          <t>Spotter Blimp</t>
        </is>
      </c>
      <c r="B401" t="inlineStr">
        <is>
          <t>Door Gun</t>
        </is>
      </c>
      <c r="C401" t="inlineStr">
        <is>
          <t>damage</t>
        </is>
      </c>
      <c r="D401" t="n">
        <v>5</v>
      </c>
      <c r="E401">
        <f>E387</f>
        <v/>
      </c>
      <c r="F401">
        <f>F387</f>
        <v/>
      </c>
      <c r="G401" t="n">
        <v>1.75</v>
      </c>
      <c r="H401" t="n">
        <v>1</v>
      </c>
      <c r="I401" t="n">
        <v>1</v>
      </c>
      <c r="L401" t="n">
        <v>1</v>
      </c>
      <c r="M401" t="inlineStr">
        <is>
          <t>Sky Hook</t>
        </is>
      </c>
      <c r="CI401" t="inlineStr">
        <is>
          <t>C</t>
        </is>
      </c>
      <c r="CJ401" t="inlineStr">
        <is>
          <t>Snatches the smallest dino every 5 s</t>
        </is>
      </c>
      <c r="FL401" t="n">
        <v>5</v>
      </c>
    </row>
    <row r="402">
      <c r="A402" t="inlineStr">
        <is>
          <t>Spotter Blimp</t>
        </is>
      </c>
      <c r="B402" t="inlineStr">
        <is>
          <t>Searchlight</t>
        </is>
      </c>
      <c r="C402" t="inlineStr">
        <is>
          <t>support</t>
        </is>
      </c>
      <c r="D402" t="n">
        <v>4</v>
      </c>
      <c r="E402">
        <f>E391</f>
        <v/>
      </c>
      <c r="F402">
        <f>F391</f>
        <v/>
      </c>
      <c r="G402" t="n">
        <v>1</v>
      </c>
      <c r="H402" t="n">
        <v>1</v>
      </c>
      <c r="I402" t="n">
        <v>1</v>
      </c>
      <c r="L402" t="n">
        <v>1</v>
      </c>
      <c r="M402" t="inlineStr">
        <is>
          <t>Tracking Beam</t>
        </is>
      </c>
      <c r="AL402" t="n">
        <v>14</v>
      </c>
      <c r="CI402" t="inlineStr">
        <is>
          <t>B</t>
        </is>
      </c>
      <c r="CJ402" t="inlineStr">
        <is>
          <t>The light follows the biggest dino</t>
        </is>
      </c>
      <c r="CU402" t="inlineStr">
        <is>
          <t>Yes</t>
        </is>
      </c>
    </row>
    <row r="403">
      <c r="A403" t="inlineStr">
        <is>
          <t>Spotter Blimp</t>
        </is>
      </c>
      <c r="B403" t="inlineStr">
        <is>
          <t>Searchlight</t>
        </is>
      </c>
      <c r="C403" t="inlineStr">
        <is>
          <t>support</t>
        </is>
      </c>
      <c r="D403" t="n">
        <v>4</v>
      </c>
      <c r="E403">
        <f>E391</f>
        <v/>
      </c>
      <c r="F403">
        <f>F391</f>
        <v/>
      </c>
      <c r="G403" t="n">
        <v>1</v>
      </c>
      <c r="H403" t="n">
        <v>1</v>
      </c>
      <c r="I403" t="n">
        <v>1</v>
      </c>
      <c r="L403" t="n">
        <v>1</v>
      </c>
      <c r="M403" t="inlineStr">
        <is>
          <t>Blinding Glare</t>
        </is>
      </c>
      <c r="AL403" t="n">
        <v>15</v>
      </c>
      <c r="CI403" t="inlineStr">
        <is>
          <t>C</t>
        </is>
      </c>
      <c r="CJ403" t="inlineStr">
        <is>
          <t>Dinos in the light miss throws</t>
        </is>
      </c>
      <c r="FH403" t="n">
        <v>25</v>
      </c>
    </row>
    <row r="404">
      <c r="A404" t="inlineStr">
        <is>
          <t>Spotter Blimp</t>
        </is>
      </c>
      <c r="B404" t="inlineStr">
        <is>
          <t>Searchlight</t>
        </is>
      </c>
      <c r="C404" t="inlineStr">
        <is>
          <t>support</t>
        </is>
      </c>
      <c r="D404" t="n">
        <v>5</v>
      </c>
      <c r="E404">
        <f>E392</f>
        <v/>
      </c>
      <c r="F404">
        <f>F392</f>
        <v/>
      </c>
      <c r="G404" t="n">
        <v>1</v>
      </c>
      <c r="H404" t="n">
        <v>1</v>
      </c>
      <c r="I404" t="n">
        <v>1</v>
      </c>
      <c r="L404" t="n">
        <v>1</v>
      </c>
      <c r="M404" t="inlineStr">
        <is>
          <t>Lighthouse</t>
        </is>
      </c>
      <c r="AC404" t="n">
        <v>10</v>
      </c>
      <c r="CI404" t="inlineStr">
        <is>
          <t>B</t>
        </is>
      </c>
      <c r="CJ404" t="inlineStr">
        <is>
          <t>Towers near its path +10% damage</t>
        </is>
      </c>
      <c r="FI404" t="n">
        <v>1.5</v>
      </c>
    </row>
    <row r="405">
      <c r="A405" t="inlineStr">
        <is>
          <t>Spotter Blimp</t>
        </is>
      </c>
      <c r="B405" t="inlineStr">
        <is>
          <t>Searchlight</t>
        </is>
      </c>
      <c r="C405" t="inlineStr">
        <is>
          <t>support</t>
        </is>
      </c>
      <c r="D405" t="n">
        <v>5</v>
      </c>
      <c r="E405">
        <f>E392</f>
        <v/>
      </c>
      <c r="F405">
        <f>F392</f>
        <v/>
      </c>
      <c r="G405" t="n">
        <v>1</v>
      </c>
      <c r="H405" t="n">
        <v>1</v>
      </c>
      <c r="I405" t="n">
        <v>1</v>
      </c>
      <c r="L405" t="n">
        <v>1</v>
      </c>
      <c r="M405" t="inlineStr">
        <is>
          <t>Spotter's Map</t>
        </is>
      </c>
      <c r="AL405" t="n">
        <v>22</v>
      </c>
      <c r="CI405" t="inlineStr">
        <is>
          <t>C</t>
        </is>
      </c>
      <c r="CJ405" t="inlineStr">
        <is>
          <t>See every dino through walls</t>
        </is>
      </c>
      <c r="FJ405" t="inlineStr">
        <is>
          <t>Yes</t>
        </is>
      </c>
    </row>
    <row r="406">
      <c r="A406" t="inlineStr">
        <is>
          <t>Spotter Blimp</t>
        </is>
      </c>
      <c r="B406" t="inlineStr">
        <is>
          <t>Cargo</t>
        </is>
      </c>
      <c r="C406" t="inlineStr">
        <is>
          <t>cash</t>
        </is>
      </c>
      <c r="D406" t="n">
        <v>4</v>
      </c>
      <c r="E406">
        <f>E396</f>
        <v/>
      </c>
      <c r="F406">
        <f>F396</f>
        <v/>
      </c>
      <c r="G406" t="n">
        <v>1</v>
      </c>
      <c r="H406" t="n">
        <v>1</v>
      </c>
      <c r="I406" t="n">
        <v>1</v>
      </c>
      <c r="L406" t="n">
        <v>1</v>
      </c>
      <c r="M406" t="inlineStr">
        <is>
          <t>Rebuild Kits</t>
        </is>
      </c>
      <c r="CI406" t="inlineStr">
        <is>
          <t>B</t>
        </is>
      </c>
      <c r="CJ406" t="inlineStr">
        <is>
          <t>Fixes a Trampled tower each lap</t>
        </is>
      </c>
      <c r="FD406" t="n">
        <v>1</v>
      </c>
    </row>
    <row r="407">
      <c r="A407" t="inlineStr">
        <is>
          <t>Spotter Blimp</t>
        </is>
      </c>
      <c r="B407" t="inlineStr">
        <is>
          <t>Cargo</t>
        </is>
      </c>
      <c r="C407" t="inlineStr">
        <is>
          <t>cash</t>
        </is>
      </c>
      <c r="D407" t="n">
        <v>4</v>
      </c>
      <c r="E407">
        <f>E396</f>
        <v/>
      </c>
      <c r="F407">
        <f>F396</f>
        <v/>
      </c>
      <c r="G407" t="n">
        <v>1</v>
      </c>
      <c r="H407" t="n">
        <v>1</v>
      </c>
      <c r="I407" t="n">
        <v>1</v>
      </c>
      <c r="L407" t="n">
        <v>1</v>
      </c>
      <c r="M407" t="inlineStr">
        <is>
          <t>Spare Parts</t>
        </is>
      </c>
      <c r="AR407" t="n">
        <v>1900</v>
      </c>
      <c r="CI407" t="inlineStr">
        <is>
          <t>C</t>
        </is>
      </c>
      <c r="CJ407" t="inlineStr">
        <is>
          <t>A crate heals the closest tower</t>
        </is>
      </c>
      <c r="FE407" t="n">
        <v>20</v>
      </c>
    </row>
    <row r="408">
      <c r="A408" t="inlineStr">
        <is>
          <t>Spotter Blimp</t>
        </is>
      </c>
      <c r="B408" t="inlineStr">
        <is>
          <t>Cargo</t>
        </is>
      </c>
      <c r="C408" t="inlineStr">
        <is>
          <t>cash</t>
        </is>
      </c>
      <c r="D408" t="n">
        <v>5</v>
      </c>
      <c r="E408">
        <f>E397</f>
        <v/>
      </c>
      <c r="F408">
        <f>F397</f>
        <v/>
      </c>
      <c r="G408" t="n">
        <v>1</v>
      </c>
      <c r="H408" t="n">
        <v>1</v>
      </c>
      <c r="I408" t="n">
        <v>1</v>
      </c>
      <c r="L408" t="n">
        <v>1</v>
      </c>
      <c r="M408" t="inlineStr">
        <is>
          <t>Paratroopers</t>
        </is>
      </c>
      <c r="CI408" t="inlineStr">
        <is>
          <t>B</t>
        </is>
      </c>
      <c r="CJ408" t="inlineStr">
        <is>
          <t>Drops 2 rangers a round</t>
        </is>
      </c>
      <c r="FF408" t="n">
        <v>2</v>
      </c>
    </row>
    <row r="409">
      <c r="A409" t="inlineStr">
        <is>
          <t>Spotter Blimp</t>
        </is>
      </c>
      <c r="B409" t="inlineStr">
        <is>
          <t>Cargo</t>
        </is>
      </c>
      <c r="C409" t="inlineStr">
        <is>
          <t>cash</t>
        </is>
      </c>
      <c r="D409" t="n">
        <v>5</v>
      </c>
      <c r="E409">
        <f>E397</f>
        <v/>
      </c>
      <c r="F409">
        <f>F397</f>
        <v/>
      </c>
      <c r="G409" t="n">
        <v>1</v>
      </c>
      <c r="H409" t="n">
        <v>1</v>
      </c>
      <c r="I409" t="n">
        <v>1</v>
      </c>
      <c r="L409" t="n">
        <v>1</v>
      </c>
      <c r="M409" t="inlineStr">
        <is>
          <t>Airlift</t>
        </is>
      </c>
      <c r="AR409" t="n">
        <v>2700</v>
      </c>
      <c r="CI409" t="inlineStr">
        <is>
          <t>C</t>
        </is>
      </c>
      <c r="CJ409" t="inlineStr">
        <is>
          <t>Fixes the first Trampled tower each round</t>
        </is>
      </c>
      <c r="FG409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2026-10-15T22:00:10Z</dcterms:modified>
</cp:coreProperties>
</file>