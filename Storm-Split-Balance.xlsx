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ADME" sheetId="1" state="visible" r:id="rId1"/>
    <sheet name="Tuning" sheetId="2" state="visible" r:id="rId2"/>
    <sheet name="Towers" sheetId="3" state="visible" r:id="rId3"/>
    <sheet name="Tower Upgrades" sheetId="4" state="visible" r:id="rId4"/>
    <sheet name="Heroes" sheetId="5" state="visible" r:id="rId5"/>
    <sheet name="Hero Upgrades" sheetId="6" state="visible" r:id="rId6"/>
    <sheet name="Mastery" sheetId="7" state="visible" r:id="rId7"/>
    <sheet name="Enemies" sheetId="8" state="visible" r:id="rId8"/>
    <sheet name="Rounds" sheetId="9" state="visible" r:id="rId9"/>
    <sheet name="Difficulty" sheetId="10" state="visible" r:id="rId10"/>
    <sheet name="Balance Check" sheetId="11" state="visible" r:id="rId11"/>
    <sheet name="Daily Haul" sheetId="12" state="visible" r:id="rId12"/>
    <sheet name="Bounties" sheetId="13" state="visible" r:id="rId13"/>
    <sheet name="Mastery Perks" sheetId="14" state="visible" r:id="rId14"/>
    <sheet name="Cosmetics" sheetId="15" state="visible" r:id="rId15"/>
    <sheet name="Arenas" sheetId="16" state="visible" r:id="rId16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#"/>
  </numFmts>
  <fonts count="13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color indexed="8"/>
      <sz val="14"/>
    </font>
    <font>
      <name val="Arial"/>
      <color indexed="11"/>
      <sz val="10"/>
    </font>
    <font>
      <name val="Arial"/>
      <color indexed="8"/>
      <sz val="10"/>
    </font>
    <font>
      <name val="Arial"/>
      <color indexed="8"/>
      <sz val="11"/>
    </font>
    <font>
      <name val="Arial"/>
      <color indexed="9"/>
      <sz val="10"/>
    </font>
    <font>
      <name val="Arial"/>
      <color indexed="15"/>
      <sz val="10"/>
    </font>
    <font>
      <name val="Arial"/>
      <color indexed="11"/>
      <sz val="9"/>
    </font>
    <font>
      <name val="Arial"/>
      <color indexed="17"/>
      <sz val="9"/>
    </font>
    <font>
      <name val="Arial"/>
      <color indexed="18"/>
      <sz val="9"/>
    </font>
    <font>
      <name val="Arial"/>
      <color indexed="19"/>
      <sz val="10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3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0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0"/>
      </left>
      <right style="thin">
        <color indexed="12"/>
      </right>
      <top/>
      <bottom style="thin">
        <color indexed="10"/>
      </bottom>
      <diagonal/>
    </border>
    <border>
      <left style="thin">
        <color indexed="12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2"/>
      </bottom>
      <diagonal/>
    </border>
    <border>
      <left style="thin">
        <color indexed="10"/>
      </left>
      <right style="thin">
        <color indexed="10"/>
      </right>
      <top/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5" applyAlignment="1">
      <alignment vertical="bottom"/>
    </xf>
  </cellStyleXfs>
  <cellXfs count="11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0" fontId="0" fillId="2" borderId="2" applyAlignment="1" pivotButton="0" quotePrefix="0" xfId="0">
      <alignment vertical="bottom"/>
    </xf>
    <xf numFmtId="0" fontId="0" fillId="2" borderId="3" applyAlignment="1" pivotButton="0" quotePrefix="0" xfId="0">
      <alignment vertical="bottom"/>
    </xf>
    <xf numFmtId="49" fontId="4" fillId="2" borderId="4" applyAlignment="1" pivotButton="0" quotePrefix="0" xfId="0">
      <alignment vertical="bottom"/>
    </xf>
    <xf numFmtId="0" fontId="0" fillId="2" borderId="5" applyAlignment="1" pivotButton="0" quotePrefix="0" xfId="0">
      <alignment vertical="bottom"/>
    </xf>
    <xf numFmtId="0" fontId="0" fillId="2" borderId="6" applyAlignment="1" pivotButton="0" quotePrefix="0" xfId="0">
      <alignment vertical="bottom"/>
    </xf>
    <xf numFmtId="0" fontId="0" fillId="2" borderId="4" applyAlignment="1" pivotButton="0" quotePrefix="0" xfId="0">
      <alignment vertical="bottom"/>
    </xf>
    <xf numFmtId="1" fontId="5" fillId="2" borderId="4" applyAlignment="1" pivotButton="0" quotePrefix="0" xfId="0">
      <alignment vertical="bottom"/>
    </xf>
    <xf numFmtId="1" fontId="5" fillId="2" borderId="5" applyAlignment="1" pivotButton="0" quotePrefix="0" xfId="0">
      <alignment vertical="bottom"/>
    </xf>
    <xf numFmtId="49" fontId="6" fillId="2" borderId="4" applyAlignment="1" pivotButton="0" quotePrefix="0" xfId="0">
      <alignment vertical="bottom"/>
    </xf>
    <xf numFmtId="49" fontId="5" fillId="2" borderId="4" applyAlignment="1" pivotButton="0" quotePrefix="0" xfId="0">
      <alignment vertical="bottom"/>
    </xf>
    <xf numFmtId="49" fontId="5" fillId="2" borderId="5" applyAlignment="1" pivotButton="0" quotePrefix="0" xfId="0">
      <alignment vertical="bottom"/>
    </xf>
    <xf numFmtId="1" fontId="5" fillId="2" borderId="7" applyAlignment="1" pivotButton="0" quotePrefix="0" xfId="0">
      <alignment vertical="bottom"/>
    </xf>
    <xf numFmtId="49" fontId="5" fillId="2" borderId="8" applyAlignment="1" pivotButton="0" quotePrefix="0" xfId="0">
      <alignment vertical="bottom"/>
    </xf>
    <xf numFmtId="0" fontId="0" fillId="2" borderId="8" applyAlignment="1" pivotButton="0" quotePrefix="0" xfId="0">
      <alignment vertical="bottom"/>
    </xf>
    <xf numFmtId="0" fontId="0" fillId="2" borderId="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0" applyAlignment="1" pivotButton="0" quotePrefix="0" xfId="0">
      <alignment vertical="bottom"/>
    </xf>
    <xf numFmtId="0" fontId="0" fillId="2" borderId="11" applyAlignment="1" pivotButton="0" quotePrefix="0" xfId="0">
      <alignment vertical="bottom"/>
    </xf>
    <xf numFmtId="49" fontId="7" fillId="3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vertical="bottom"/>
    </xf>
    <xf numFmtId="49" fontId="6" fillId="4" borderId="14" applyAlignment="1" pivotButton="0" quotePrefix="0" xfId="0">
      <alignment vertical="bottom"/>
    </xf>
    <xf numFmtId="1" fontId="0" fillId="4" borderId="15" applyAlignment="1" pivotButton="0" quotePrefix="0" xfId="0">
      <alignment vertical="bottom"/>
    </xf>
    <xf numFmtId="1" fontId="0" fillId="4" borderId="16" applyAlignment="1" pivotButton="0" quotePrefix="0" xfId="0">
      <alignment vertical="bottom"/>
    </xf>
    <xf numFmtId="49" fontId="5" fillId="2" borderId="17" applyAlignment="1" pivotButton="0" quotePrefix="0" xfId="0">
      <alignment vertical="bottom"/>
    </xf>
    <xf numFmtId="3" fontId="8" fillId="5" borderId="12" applyAlignment="1" pivotButton="0" quotePrefix="0" xfId="0">
      <alignment vertical="bottom"/>
    </xf>
    <xf numFmtId="49" fontId="9" fillId="2" borderId="18" applyAlignment="1" pivotButton="0" quotePrefix="0" xfId="0">
      <alignment vertical="bottom"/>
    </xf>
    <xf numFmtId="49" fontId="10" fillId="2" borderId="5" applyAlignment="1" pivotButton="0" quotePrefix="0" xfId="0">
      <alignment vertical="bottom"/>
    </xf>
    <xf numFmtId="4" fontId="8" fillId="5" borderId="12" applyAlignment="1" pivotButton="0" quotePrefix="0" xfId="0">
      <alignment vertical="bottom"/>
    </xf>
    <xf numFmtId="49" fontId="6" fillId="4" borderId="4" applyAlignment="1" pivotButton="0" quotePrefix="0" xfId="0">
      <alignment vertical="bottom"/>
    </xf>
    <xf numFmtId="1" fontId="0" fillId="4" borderId="5" applyAlignment="1" pivotButton="0" quotePrefix="0" xfId="0">
      <alignment vertical="bottom"/>
    </xf>
    <xf numFmtId="49" fontId="5" fillId="2" borderId="19" applyAlignment="1" pivotButton="0" quotePrefix="0" xfId="0">
      <alignment vertical="bottom"/>
    </xf>
    <xf numFmtId="49" fontId="9" fillId="2" borderId="20" applyAlignment="1" pivotButton="0" quotePrefix="0" xfId="0">
      <alignment vertical="bottom"/>
    </xf>
    <xf numFmtId="49" fontId="10" fillId="2" borderId="8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2" borderId="15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21" applyAlignment="1" pivotButton="0" quotePrefix="0" xfId="0">
      <alignment vertical="bottom"/>
    </xf>
    <xf numFmtId="0" fontId="0" fillId="2" borderId="22" applyAlignment="1" pivotButton="0" quotePrefix="0" xfId="0">
      <alignment vertical="bottom"/>
    </xf>
    <xf numFmtId="0" fontId="0" fillId="2" borderId="23" applyAlignment="1" pivotButton="0" quotePrefix="0" xfId="0">
      <alignment vertical="bottom"/>
    </xf>
    <xf numFmtId="0" fontId="0" fillId="2" borderId="24" applyAlignment="1" pivotButton="0" quotePrefix="0" xfId="0">
      <alignment vertical="bottom"/>
    </xf>
    <xf numFmtId="49" fontId="5" fillId="2" borderId="12" applyAlignment="1" pivotButton="0" quotePrefix="0" xfId="0">
      <alignment vertical="bottom"/>
    </xf>
    <xf numFmtId="164" fontId="8" fillId="5" borderId="12" applyAlignment="1" pivotButton="0" quotePrefix="0" xfId="0">
      <alignment vertical="bottom"/>
    </xf>
    <xf numFmtId="164" fontId="5" fillId="2" borderId="12" applyAlignment="1" pivotButton="0" quotePrefix="0" xfId="0">
      <alignment vertical="bottom"/>
    </xf>
    <xf numFmtId="49" fontId="8" fillId="2" borderId="12" applyAlignment="1" pivotButton="0" quotePrefix="0" xfId="0">
      <alignment vertical="bottom"/>
    </xf>
    <xf numFmtId="49" fontId="10" fillId="2" borderId="12" applyAlignment="1" pivotButton="0" quotePrefix="0" xfId="0">
      <alignment vertical="bottom"/>
    </xf>
    <xf numFmtId="0" fontId="0" fillId="2" borderId="25" applyAlignment="1" pivotButton="0" quotePrefix="0" xfId="0">
      <alignment vertical="bottom"/>
    </xf>
    <xf numFmtId="0" fontId="0" fillId="2" borderId="16" applyAlignment="1" pivotButton="0" quotePrefix="0" xfId="0">
      <alignment vertical="bottom"/>
    </xf>
    <xf numFmtId="0" fontId="0" fillId="2" borderId="26" applyAlignment="1" pivotButton="0" quotePrefix="0" xfId="0">
      <alignment vertical="bottom"/>
    </xf>
    <xf numFmtId="0" fontId="0" fillId="2" borderId="27" applyAlignment="1" pivotButton="0" quotePrefix="0" xfId="0">
      <alignment vertical="bottom"/>
    </xf>
    <xf numFmtId="0" fontId="0" fillId="2" borderId="28" applyAlignment="1" pivotButton="0" quotePrefix="0" xfId="0">
      <alignment vertical="bottom"/>
    </xf>
    <xf numFmtId="49" fontId="10" fillId="2" borderId="20" applyAlignment="1" pivotButton="0" quotePrefix="0" xfId="0">
      <alignment vertical="bottom"/>
    </xf>
    <xf numFmtId="0" fontId="0" fillId="2" borderId="2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3" fontId="5" fillId="2" borderId="12" applyAlignment="1" pivotButton="0" quotePrefix="0" xfId="0">
      <alignment vertical="bottom"/>
    </xf>
    <xf numFmtId="4" fontId="8" fillId="2" borderId="12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11" fillId="2" borderId="12" applyAlignment="1" pivotButton="0" quotePrefix="0" xfId="0">
      <alignment vertical="bottom"/>
    </xf>
    <xf numFmtId="3" fontId="8" fillId="2" borderId="12" applyAlignment="1" pivotButton="0" quotePrefix="0" xfId="0">
      <alignment vertical="bottom"/>
    </xf>
    <xf numFmtId="1" fontId="10" fillId="2" borderId="12" applyAlignment="1" pivotButton="0" quotePrefix="0" xfId="0">
      <alignment vertical="bottom"/>
    </xf>
    <xf numFmtId="0" fontId="0" fillId="2" borderId="14" applyAlignment="1" pivotButton="0" quotePrefix="0" xfId="0">
      <alignment vertical="bottom"/>
    </xf>
    <xf numFmtId="49" fontId="10" fillId="2" borderId="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9" fillId="2" borderId="12" applyAlignment="1" pivotButton="0" quotePrefix="0" xfId="0">
      <alignment vertical="bottom"/>
    </xf>
    <xf numFmtId="3" fontId="5" fillId="4" borderId="12" applyAlignment="1" pivotButton="0" quotePrefix="0" xfId="0">
      <alignment vertical="bottom"/>
    </xf>
    <xf numFmtId="164" fontId="5" fillId="4" borderId="12" applyAlignment="1" pivotButton="0" quotePrefix="0" xfId="0">
      <alignment vertical="bottom"/>
    </xf>
    <xf numFmtId="49" fontId="5" fillId="4" borderId="12" applyAlignment="1" pivotButton="0" quotePrefix="0" xfId="0">
      <alignment vertical="bottom"/>
    </xf>
    <xf numFmtId="1" fontId="9" fillId="2" borderId="12" applyAlignment="1" pivotButton="0" quotePrefix="0" xfId="0">
      <alignment vertical="bottom"/>
    </xf>
    <xf numFmtId="49" fontId="9" fillId="2" borderId="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65" fontId="5" fillId="2" borderId="12" applyAlignment="1" pivotButton="0" quotePrefix="0" xfId="0">
      <alignment vertical="bottom"/>
    </xf>
    <xf numFmtId="3" fontId="12" fillId="2" borderId="12" applyAlignment="1" pivotButton="0" quotePrefix="0" xfId="0">
      <alignment vertical="bottom"/>
    </xf>
    <xf numFmtId="3" fontId="8" fillId="4" borderId="12" applyAlignment="1" pivotButton="0" quotePrefix="0" xfId="0">
      <alignment vertical="bottom"/>
    </xf>
    <xf numFmtId="165" fontId="5" fillId="4" borderId="12" applyAlignment="1" pivotButton="0" quotePrefix="0" xfId="0">
      <alignment vertical="bottom"/>
    </xf>
    <xf numFmtId="4" fontId="8" fillId="4" borderId="12" applyAlignment="1" pivotButton="0" quotePrefix="0" xfId="0">
      <alignment vertical="bottom"/>
    </xf>
    <xf numFmtId="3" fontId="12" fillId="4" borderId="12" applyAlignment="1" pivotButton="0" quotePrefix="0" xfId="0">
      <alignment vertical="bottom"/>
    </xf>
    <xf numFmtId="49" fontId="9" fillId="2" borderId="4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64" fontId="12" fillId="2" borderId="12" applyAlignment="1" pivotButton="0" quotePrefix="0" xfId="0">
      <alignment vertical="bottom"/>
    </xf>
    <xf numFmtId="4" fontId="5" fillId="2" borderId="12" applyAlignment="1" pivotButton="0" quotePrefix="0" xfId="0">
      <alignment vertical="bottom"/>
    </xf>
    <xf numFmtId="0" fontId="5" fillId="2" borderId="12" applyAlignment="1" pivotButton="0" quotePrefix="0" xfId="0">
      <alignment vertical="bottom"/>
    </xf>
    <xf numFmtId="164" fontId="12" fillId="4" borderId="12" applyAlignment="1" pivotButton="0" quotePrefix="0" xfId="0">
      <alignment vertical="bottom"/>
    </xf>
    <xf numFmtId="4" fontId="5" fillId="4" borderId="12" applyAlignment="1" pivotButton="0" quotePrefix="0" xfId="0">
      <alignment vertical="bottom"/>
    </xf>
    <xf numFmtId="0" fontId="5" fillId="4" borderId="12" applyAlignment="1" pivotButton="0" quotePrefix="0" xfId="0">
      <alignment vertical="bottom"/>
    </xf>
    <xf numFmtId="49" fontId="10" fillId="2" borderId="4" applyAlignment="1" pivotButton="0" quotePrefix="0" xfId="0">
      <alignment vertical="bottom"/>
    </xf>
    <xf numFmtId="1" fontId="10" fillId="2" borderId="4" applyAlignment="1" pivotButton="0" quotePrefix="0" xfId="0">
      <alignment vertical="bottom"/>
    </xf>
    <xf numFmtId="0" fontId="0" fillId="0" borderId="0" pivotButton="0" quotePrefix="0" xfId="0"/>
    <xf numFmtId="164" fontId="8" fillId="5" borderId="12" applyAlignment="1" pivotButton="0" quotePrefix="0" xfId="0">
      <alignment vertical="bottom"/>
    </xf>
    <xf numFmtId="164" fontId="5" fillId="2" borderId="12" applyAlignment="1" pivotButton="0" quotePrefix="0" xfId="0">
      <alignment vertical="bottom"/>
    </xf>
    <xf numFmtId="164" fontId="5" fillId="4" borderId="12" applyAlignment="1" pivotButton="0" quotePrefix="0" xfId="0">
      <alignment vertical="bottom"/>
    </xf>
    <xf numFmtId="165" fontId="5" fillId="2" borderId="12" applyAlignment="1" pivotButton="0" quotePrefix="0" xfId="0">
      <alignment vertical="bottom"/>
    </xf>
    <xf numFmtId="165" fontId="5" fillId="4" borderId="12" applyAlignment="1" pivotButton="0" quotePrefix="0" xfId="0">
      <alignment vertical="bottom"/>
    </xf>
    <xf numFmtId="164" fontId="12" fillId="2" borderId="12" applyAlignment="1" pivotButton="0" quotePrefix="0" xfId="0">
      <alignment vertical="bottom"/>
    </xf>
    <xf numFmtId="164" fontId="12" fillId="4" borderId="12" applyAlignment="1" pivotButton="0" quotePrefix="0" xfId="0">
      <alignment vertical="bottom"/>
    </xf>
    <xf numFmtId="166" fontId="8" fillId="5" borderId="12" applyAlignment="1" pivotButton="0" quotePrefix="0" xfId="0">
      <alignment vertical="bottom"/>
    </xf>
    <xf numFmtId="0" fontId="6" fillId="4" borderId="4" applyAlignment="1" pivotButton="0" quotePrefix="0" xfId="0">
      <alignment vertical="bottom"/>
    </xf>
    <xf numFmtId="0" fontId="5" fillId="2" borderId="17" applyAlignment="1" pivotButton="0" quotePrefix="0" xfId="0">
      <alignment vertical="bottom"/>
    </xf>
    <xf numFmtId="0" fontId="8" fillId="5" borderId="12" applyAlignment="1" pivotButton="0" quotePrefix="0" xfId="0">
      <alignment vertical="bottom"/>
    </xf>
    <xf numFmtId="0" fontId="9" fillId="2" borderId="18" applyAlignment="1" pivotButton="0" quotePrefix="0" xfId="0">
      <alignment vertical="bottom"/>
    </xf>
    <xf numFmtId="0" fontId="10" fillId="2" borderId="5" applyAlignment="1" pivotButton="0" quotePrefix="0" xfId="0">
      <alignment vertical="bottom"/>
    </xf>
    <xf numFmtId="0" fontId="7" fillId="3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2" borderId="12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4" fillId="2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95959"/>
      <rgbColor rgb="ffd0cbdd"/>
      <rgbColor rgb="ff3f2b6e"/>
      <rgbColor rgb="fff2eff7"/>
      <rgbColor rgb="ff0000ff"/>
      <rgbColor rgb="ffffff00"/>
      <rgbColor rgb="ff404040"/>
      <rgbColor rgb="ff808080"/>
      <rgbColor rgb="ff008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2" customWidth="1" style="81" min="1" max="1"/>
    <col width="96" customWidth="1" style="81" min="2" max="2"/>
    <col width="8.67188" customWidth="1" style="81" min="3" max="5"/>
    <col width="8.67188" customWidth="1" style="81" min="6" max="16384"/>
  </cols>
  <sheetData>
    <row r="1" ht="18.5" customHeight="1" s="90">
      <c r="A1" s="2" t="inlineStr">
        <is>
          <t>STORM SPLIT — Balance Model</t>
        </is>
      </c>
      <c r="B1" s="3" t="n"/>
      <c r="C1" s="3" t="n"/>
      <c r="D1" s="3" t="n"/>
      <c r="E1" s="4" t="n"/>
    </row>
    <row r="2" ht="13.65" customHeight="1" s="90">
      <c r="A2" s="5" t="inlineStr">
        <is>
          <t>Single source of truth for every number in the game. Verse reads constants exported from here.</t>
        </is>
      </c>
      <c r="B2" s="6" t="n"/>
      <c r="C2" s="6" t="n"/>
      <c r="D2" s="6" t="n"/>
      <c r="E2" s="7" t="n"/>
    </row>
    <row r="3" ht="13.55" customHeight="1" s="90">
      <c r="A3" s="8" t="n"/>
      <c r="B3" s="6" t="n"/>
      <c r="C3" s="6" t="n"/>
      <c r="D3" s="6" t="n"/>
      <c r="E3" s="7" t="n"/>
    </row>
    <row r="4" ht="13.65" customHeight="1" s="90">
      <c r="A4" s="9" t="n"/>
      <c r="B4" s="10" t="n"/>
      <c r="C4" s="6" t="n"/>
      <c r="D4" s="6" t="n"/>
      <c r="E4" s="7" t="n"/>
    </row>
    <row r="5" ht="14.6" customHeight="1" s="90">
      <c r="A5" s="11" t="inlineStr">
        <is>
          <t>HOW TO USE</t>
        </is>
      </c>
      <c r="B5" s="6" t="n"/>
      <c r="C5" s="6" t="n"/>
      <c r="D5" s="6" t="n"/>
      <c r="E5" s="7" t="n"/>
    </row>
    <row r="6" ht="13.65" customHeight="1" s="90">
      <c r="A6" s="12" t="inlineStr">
        <is>
          <t>Blue cells</t>
        </is>
      </c>
      <c r="B6" s="13" t="inlineStr">
        <is>
          <t>Inputs and levers. These are the ONLY cells you edit. Change one and everything recalculates.</t>
        </is>
      </c>
      <c r="C6" s="6" t="n"/>
      <c r="D6" s="6" t="n"/>
      <c r="E6" s="7" t="n"/>
    </row>
    <row r="7" ht="13.65" customHeight="1" s="90">
      <c r="A7" s="12" t="inlineStr">
        <is>
          <t>Black cells</t>
        </is>
      </c>
      <c r="B7" s="13" t="inlineStr">
        <is>
          <t>Formulas. Do not overwrite — you will silently break the model.</t>
        </is>
      </c>
      <c r="C7" s="6" t="n"/>
      <c r="D7" s="6" t="n"/>
      <c r="E7" s="7" t="n"/>
    </row>
    <row r="8" ht="13.65" customHeight="1" s="90">
      <c r="A8" s="12" t="inlineStr">
        <is>
          <t>Green cells</t>
        </is>
      </c>
      <c r="B8" s="13" t="inlineStr">
        <is>
          <t>Links pulling a value from another sheet.</t>
        </is>
      </c>
      <c r="C8" s="6" t="n"/>
      <c r="D8" s="6" t="n"/>
      <c r="E8" s="7" t="n"/>
    </row>
    <row r="9" ht="13.65" customHeight="1" s="90">
      <c r="A9" s="12" t="inlineStr">
        <is>
          <t>Yellow fill</t>
        </is>
      </c>
      <c r="B9" s="13" t="inlineStr">
        <is>
          <t>Key assumptions worth arguing about before you build anything on them.</t>
        </is>
      </c>
      <c r="C9" s="6" t="n"/>
      <c r="D9" s="6" t="n"/>
      <c r="E9" s="7" t="n"/>
    </row>
    <row r="10" ht="13.65" customHeight="1" s="90">
      <c r="A10" s="9" t="n"/>
      <c r="B10" s="10" t="n"/>
      <c r="C10" s="6" t="n"/>
      <c r="D10" s="6" t="n"/>
      <c r="E10" s="7" t="n"/>
    </row>
    <row r="11" ht="14.6" customHeight="1" s="90">
      <c r="A11" s="11" t="inlineStr">
        <is>
          <t>SHEETS</t>
        </is>
      </c>
      <c r="B11" s="6" t="n"/>
      <c r="C11" s="6" t="n"/>
      <c r="D11" s="6" t="n"/>
      <c r="E11" s="7" t="n"/>
    </row>
    <row r="12" ht="13.65" customHeight="1" s="90">
      <c r="A12" s="12" t="inlineStr">
        <is>
          <t>Tuning</t>
        </is>
      </c>
      <c r="B12" s="13" t="inlineStr">
        <is>
          <t>Master knobs. Start here. Almost every number downstream derives from this sheet.</t>
        </is>
      </c>
      <c r="C12" s="6" t="n"/>
      <c r="D12" s="6" t="n"/>
      <c r="E12" s="7" t="n"/>
    </row>
    <row r="13" ht="13.65" customHeight="1" s="90">
      <c r="A13" s="12" t="inlineStr">
        <is>
          <t>Towers</t>
        </is>
      </c>
      <c r="B13" s="13" t="inlineStr">
        <is>
          <t>The 5 base towers: purchase cost, damage, fire rate, range, whether they hit air.</t>
        </is>
      </c>
      <c r="C13" s="6" t="n"/>
      <c r="D13" s="6" t="n"/>
      <c r="E13" s="7" t="n"/>
    </row>
    <row r="14" ht="13.65" customHeight="1" s="90">
      <c r="A14" s="12" t="inlineStr">
        <is>
          <t>Tower Upgrades</t>
        </is>
      </c>
      <c r="B14" s="13" t="inlineStr">
        <is>
          <t>75 rows — 5 towers x 3 paths x 5 tiers. Costs and stat multipliers per tier.</t>
        </is>
      </c>
      <c r="C14" s="6" t="n"/>
      <c r="D14" s="6" t="n"/>
      <c r="E14" s="7" t="n"/>
    </row>
    <row r="15" ht="13.65" customHeight="1" s="90">
      <c r="A15" s="12" t="inlineStr">
        <is>
          <t>Heroes</t>
        </is>
      </c>
      <c r="B15" s="13" t="inlineStr">
        <is>
          <t>3 free heroes (Pistol, Assault Rifle, Shotgun): base gun and ability. Hero Upgrades: 3 paths x 5 tiers each.</t>
        </is>
      </c>
      <c r="C15" s="6" t="n"/>
      <c r="D15" s="6" t="n"/>
      <c r="E15" s="7" t="n"/>
    </row>
    <row r="16" ht="13.65" customHeight="1" s="90">
      <c r="A16" s="12" t="inlineStr">
        <is>
          <t>Mastery</t>
        </is>
      </c>
      <c r="B16" s="13" t="inlineStr">
        <is>
          <t>20 permanent levels per hero, bought with Amber. Cheaper upgrades, cooldowns, head starts — never damage.</t>
        </is>
      </c>
      <c r="C16" s="6" t="n"/>
      <c r="D16" s="6" t="n"/>
      <c r="E16" s="7" t="n"/>
    </row>
    <row r="17" ht="13.65" customHeight="1" s="90">
      <c r="A17" s="12" t="inlineStr">
        <is>
          <t>Enemies</t>
        </is>
      </c>
      <c r="B17" s="13" t="inlineStr">
        <is>
          <t>The splitting ladder. Effective HP is the important derived column — read its note.</t>
        </is>
      </c>
      <c r="C17" s="6" t="n"/>
      <c r="D17" s="6" t="n"/>
      <c r="E17" s="7" t="n"/>
    </row>
    <row r="18" ht="13.65" customHeight="1" s="90">
      <c r="A18" s="12" t="inlineStr">
        <is>
          <t>Rounds</t>
        </is>
      </c>
      <c r="B18" s="13" t="inlineStr">
        <is>
          <t>All 40 rounds: composition, income, required DPS.</t>
        </is>
      </c>
      <c r="C18" s="6" t="n"/>
      <c r="D18" s="6" t="n"/>
      <c r="E18" s="7" t="n"/>
    </row>
    <row r="19" ht="13.65" customHeight="1" s="90">
      <c r="A19" s="12" t="inlineStr">
        <is>
          <t>Balance Check</t>
        </is>
      </c>
      <c r="B19" s="13" t="inlineStr">
        <is>
          <t>The validator. Tells you which rounds are unwinnable. Check this after every change.</t>
        </is>
      </c>
      <c r="C19" s="6" t="n"/>
      <c r="D19" s="6" t="n"/>
      <c r="E19" s="7" t="n"/>
    </row>
    <row r="20" ht="13.65" customHeight="1" s="90">
      <c r="A20" s="9" t="n"/>
      <c r="B20" s="10" t="n"/>
      <c r="C20" s="6" t="n"/>
      <c r="D20" s="6" t="n"/>
      <c r="E20" s="7" t="n"/>
    </row>
    <row r="21" ht="14.6" customHeight="1" s="90">
      <c r="A21" s="11" t="inlineStr">
        <is>
          <t>WORKFLOW</t>
        </is>
      </c>
      <c r="B21" s="6" t="n"/>
      <c r="C21" s="6" t="n"/>
      <c r="D21" s="6" t="n"/>
      <c r="E21" s="7" t="n"/>
    </row>
    <row r="22" ht="13.65" customHeight="1" s="90">
      <c r="A22" s="12" t="inlineStr">
        <is>
          <t>1</t>
        </is>
      </c>
      <c r="B22" s="13" t="inlineStr">
        <is>
          <t>Tune a lever on the Tuning sheet.</t>
        </is>
      </c>
      <c r="C22" s="6" t="n"/>
      <c r="D22" s="6" t="n"/>
      <c r="E22" s="7" t="n"/>
    </row>
    <row r="23" ht="13.65" customHeight="1" s="90">
      <c r="A23" s="12" t="inlineStr">
        <is>
          <t>2</t>
        </is>
      </c>
      <c r="B23" s="13" t="inlineStr">
        <is>
          <t>Open Balance Check. Any round flagged TIGHT is one the player probably cannot afford to clear.</t>
        </is>
      </c>
      <c r="C23" s="6" t="n"/>
      <c r="D23" s="6" t="n"/>
      <c r="E23" s="7" t="n"/>
    </row>
    <row r="24" ht="13.65" customHeight="1" s="90">
      <c r="A24" s="12" t="inlineStr">
        <is>
          <t>3</t>
        </is>
      </c>
      <c r="B24" s="13" t="inlineStr">
        <is>
          <t>Adjust and repeat. Do not tune individual rounds until the curve is right.</t>
        </is>
      </c>
      <c r="C24" s="6" t="n"/>
      <c r="D24" s="6" t="n"/>
      <c r="E24" s="7" t="n"/>
    </row>
    <row r="25" ht="13.65" customHeight="1" s="90">
      <c r="A25" s="12" t="inlineStr">
        <is>
          <t>4</t>
        </is>
      </c>
      <c r="B25" s="13" t="inlineStr">
        <is>
          <t>Export the settled constants into the Verse constants file. Never hardcode a number in behavior scripts.</t>
        </is>
      </c>
      <c r="C25" s="6" t="n"/>
      <c r="D25" s="6" t="n"/>
      <c r="E25" s="7" t="n"/>
    </row>
    <row r="26" ht="13.65" customHeight="1" s="90">
      <c r="A26" s="9" t="n"/>
      <c r="B26" s="10" t="n"/>
      <c r="C26" s="6" t="n"/>
      <c r="D26" s="6" t="n"/>
      <c r="E26" s="7" t="n"/>
    </row>
    <row r="27" ht="14.6" customHeight="1" s="90">
      <c r="A27" s="11" t="inlineStr">
        <is>
          <t>WARNING</t>
        </is>
      </c>
      <c r="B27" s="6" t="n"/>
      <c r="C27" s="6" t="n"/>
      <c r="D27" s="6" t="n"/>
      <c r="E27" s="7" t="n"/>
    </row>
    <row r="28" ht="13.65" customHeight="1" s="90">
      <c r="A28" s="12" t="inlineStr">
        <is>
          <t>Seeded values</t>
        </is>
      </c>
      <c r="B28" s="13" t="inlineStr">
        <is>
          <t>Every number here is a defensible starting point, not a tested one. They came from design</t>
        </is>
      </c>
      <c r="C28" s="6" t="n"/>
      <c r="D28" s="6" t="n"/>
      <c r="E28" s="7" t="n"/>
    </row>
    <row r="29" ht="13.65" customHeight="1" s="90">
      <c r="A29" s="14" t="n"/>
      <c r="B29" s="15" t="inlineStr">
        <is>
          <t>reasoning, not playtesting. Expect to change most of them once the game is playable.</t>
        </is>
      </c>
      <c r="C29" s="16" t="n"/>
      <c r="D29" s="16" t="n"/>
      <c r="E29" s="1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2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34" customWidth="1" style="81" min="1" max="1"/>
    <col width="12" customWidth="1" style="81" min="2" max="3"/>
    <col width="74" customWidth="1" style="81" min="4" max="4"/>
    <col width="8.67188" customWidth="1" style="81" min="5" max="5"/>
    <col width="8.67188" customWidth="1" style="81" min="6" max="16384"/>
  </cols>
  <sheetData>
    <row r="1" ht="18.5" customHeight="1" s="90">
      <c r="A1" s="2" t="inlineStr">
        <is>
          <t>TUNING — master levers</t>
        </is>
      </c>
      <c r="B1" s="3" t="n"/>
      <c r="C1" s="3" t="n"/>
      <c r="D1" s="3" t="n"/>
      <c r="E1" s="4" t="n"/>
    </row>
    <row r="2" ht="13.65" customHeight="1" s="90">
      <c r="A2" s="5" t="inlineStr">
        <is>
          <t>Every blue cell here drives the rest of the workbook. Change these, not the downstream sheets.</t>
        </is>
      </c>
      <c r="B2" s="6" t="n"/>
      <c r="C2" s="6" t="n"/>
      <c r="D2" s="6" t="n"/>
      <c r="E2" s="7" t="n"/>
    </row>
    <row r="3" ht="13.55" customHeight="1" s="90">
      <c r="A3" s="19" t="n"/>
      <c r="B3" s="20" t="n"/>
      <c r="C3" s="20" t="n"/>
      <c r="D3" s="20" t="n"/>
      <c r="E3" s="7" t="n"/>
    </row>
    <row r="4" ht="27.75" customHeight="1" s="90">
      <c r="A4" s="21" t="inlineStr">
        <is>
          <t>Lever</t>
        </is>
      </c>
      <c r="B4" s="21" t="inlineStr">
        <is>
          <t>Value</t>
        </is>
      </c>
      <c r="C4" s="21" t="inlineStr">
        <is>
          <t>Unit</t>
        </is>
      </c>
      <c r="D4" s="21" t="inlineStr">
        <is>
          <t>What it controls</t>
        </is>
      </c>
      <c r="E4" s="22" t="n"/>
    </row>
    <row r="5" ht="14.6" customHeight="1" s="90">
      <c r="A5" s="23" t="inlineStr">
        <is>
          <t>ECONOMY</t>
        </is>
      </c>
      <c r="B5" s="24" t="n"/>
      <c r="C5" s="25" t="n"/>
      <c r="D5" s="25" t="n"/>
      <c r="E5" s="7" t="n"/>
    </row>
    <row r="6" ht="13.65" customHeight="1" s="90">
      <c r="A6" s="26" t="inlineStr">
        <is>
          <t>Starting cash</t>
        </is>
      </c>
      <c r="B6" s="27" t="n">
        <v>450</v>
      </c>
      <c r="C6" s="28" t="inlineStr">
        <is>
          <t>cash</t>
        </is>
      </c>
      <c r="D6" s="29" t="inlineStr">
        <is>
          <t>Default: what players have before round 1 on Easy. Each level's own is Difficulty → Starting cash; the exporter checks Easy equals this.</t>
        </is>
      </c>
      <c r="E6" s="7" t="n"/>
    </row>
    <row r="7" ht="13.65" customHeight="1" s="90">
      <c r="A7" s="26" t="inlineStr">
        <is>
          <t>Starting lives</t>
        </is>
      </c>
      <c r="B7" s="27" t="n">
        <v>40</v>
      </c>
      <c r="C7" s="28" t="inlineStr">
        <is>
          <t>lives</t>
        </is>
      </c>
      <c r="D7" s="29" t="inlineStr">
        <is>
          <t>Not used by the game: lives come from Difficulty → Starting lives (Easy 40).</t>
        </is>
      </c>
      <c r="E7" s="7" t="n"/>
    </row>
    <row r="8" ht="13.65" customHeight="1" s="90">
      <c r="A8" s="26" t="inlineStr">
        <is>
          <t>Cash per effective HP</t>
        </is>
      </c>
      <c r="B8" s="30" t="n">
        <v>0.43</v>
      </c>
      <c r="C8" s="28" t="inlineStr">
        <is>
          <t>cash</t>
        </is>
      </c>
      <c r="D8" s="29" t="inlineStr">
        <is>
          <t>Cash per point of enemy HP destroyed, counting every split layer. Solved to make late rounds tight.</t>
        </is>
      </c>
      <c r="E8" s="7" t="n"/>
    </row>
    <row r="9" ht="13.65" customHeight="1" s="90">
      <c r="A9" s="26" t="inlineStr">
        <is>
          <t>Round bonus base</t>
        </is>
      </c>
      <c r="B9" s="27" t="n">
        <v>60</v>
      </c>
      <c r="C9" s="28" t="inlineStr">
        <is>
          <t>cash</t>
        </is>
      </c>
      <c r="D9" s="29" t="inlineStr">
        <is>
          <t>Flat end-of-round payment.</t>
        </is>
      </c>
      <c r="E9" s="7" t="n"/>
    </row>
    <row r="10" ht="13.65" customHeight="1" s="90">
      <c r="A10" s="26" t="inlineStr">
        <is>
          <t>Round bonus per round</t>
        </is>
      </c>
      <c r="B10" s="30" t="n">
        <v>1</v>
      </c>
      <c r="C10" s="28" t="inlineStr">
        <is>
          <t>cash</t>
        </is>
      </c>
      <c r="D10" s="29" t="inlineStr">
        <is>
          <t>Added per round number, so round 30 pays base + 30.</t>
        </is>
      </c>
      <c r="E10" s="7" t="n"/>
    </row>
    <row r="11" ht="14.6" customHeight="1" s="90">
      <c r="A11" s="31" t="inlineStr">
        <is>
          <t>TOWERS</t>
        </is>
      </c>
      <c r="B11" s="24" t="n"/>
      <c r="C11" s="32" t="n"/>
      <c r="D11" s="32" t="n"/>
      <c r="E11" s="7" t="n"/>
    </row>
    <row r="12" ht="13.65" customHeight="1" s="90">
      <c r="A12" s="26" t="inlineStr">
        <is>
          <t>Tier cost growth</t>
        </is>
      </c>
      <c r="B12" s="30" t="n">
        <v>2.3</v>
      </c>
      <c r="C12" s="28" t="inlineStr">
        <is>
          <t>x</t>
        </is>
      </c>
      <c r="D12" s="29" t="inlineStr">
        <is>
          <t>Each upgrade tier costs this multiple of the tower's base cost, compounding.</t>
        </is>
      </c>
      <c r="E12" s="7" t="n"/>
    </row>
    <row r="13" ht="13.65" customHeight="1" s="90">
      <c r="A13" s="26" t="inlineStr">
        <is>
          <t>Tier damage growth</t>
        </is>
      </c>
      <c r="B13" s="30" t="n">
        <v>1.9</v>
      </c>
      <c r="C13" s="28" t="inlineStr">
        <is>
          <t>x</t>
        </is>
      </c>
      <c r="D13" s="29" t="inlineStr">
        <is>
          <t>Baseline damage multiple per tier before path character is applied.</t>
        </is>
      </c>
      <c r="E13" s="7" t="n"/>
    </row>
    <row r="14" ht="13.65" customHeight="1" s="90">
      <c r="A14" s="26" t="inlineStr">
        <is>
          <t>Sell refund</t>
        </is>
      </c>
      <c r="B14" s="30" t="n">
        <v>0.7</v>
      </c>
      <c r="C14" s="28" t="inlineStr">
        <is>
          <t>fraction</t>
        </is>
      </c>
      <c r="D14" s="29" t="inlineStr">
        <is>
          <t>Fraction of cash spent returned when selling a tower.</t>
        </is>
      </c>
      <c r="E14" s="7" t="n"/>
    </row>
    <row r="15" ht="14.6" customHeight="1" s="90">
      <c r="A15" s="31" t="inlineStr">
        <is>
          <t>ENEMIES</t>
        </is>
      </c>
      <c r="B15" s="24" t="n"/>
      <c r="C15" s="32" t="n"/>
      <c r="D15" s="32" t="n"/>
      <c r="E15" s="7" t="n"/>
    </row>
    <row r="16" ht="13.65" customHeight="1" s="90">
      <c r="A16" s="26" t="inlineStr">
        <is>
          <t>Global HP scalar</t>
        </is>
      </c>
      <c r="B16" s="30" t="n">
        <v>1</v>
      </c>
      <c r="C16" s="28" t="inlineStr">
        <is>
          <t>x</t>
        </is>
      </c>
      <c r="D16" s="29" t="inlineStr">
        <is>
          <t>Multiplies every enemy's base HP. The fastest single difficulty dial.</t>
        </is>
      </c>
      <c r="E16" s="7" t="n"/>
    </row>
    <row r="17" ht="13.65" customHeight="1" s="90">
      <c r="A17" s="26" t="inlineStr">
        <is>
          <t>Round HP ramp</t>
        </is>
      </c>
      <c r="B17" s="30" t="n">
        <v>1.052</v>
      </c>
      <c r="C17" s="28" t="inlineStr">
        <is>
          <t>x</t>
        </is>
      </c>
      <c r="D17" s="29" t="inlineStr">
        <is>
          <t>Enemy HP compounds by this much per round. THIS is what makes late rounds hard, not enemy count.</t>
        </is>
      </c>
      <c r="E17" s="7" t="n"/>
    </row>
    <row r="18" ht="13.65" customHeight="1" s="90">
      <c r="A18" s="26" t="inlineStr">
        <is>
          <t>Max concurrent enemies</t>
        </is>
      </c>
      <c r="B18" s="27" t="n">
        <v>130</v>
      </c>
      <c r="C18" s="28" t="inlineStr">
        <is>
          <t>count</t>
        </is>
      </c>
      <c r="D18" s="29" t="inlineStr">
        <is>
          <t>Hard ceiling on a round's spawn count. Set by UEFN performance, not by design. Validate in phase 1.</t>
        </is>
      </c>
      <c r="E18" s="7" t="n"/>
    </row>
    <row r="19" ht="13.65" customHeight="1" s="90">
      <c r="A19" s="26" t="inlineStr">
        <is>
          <t>Global speed scalar</t>
        </is>
      </c>
      <c r="B19" s="30" t="n">
        <v>1</v>
      </c>
      <c r="C19" s="28" t="inlineStr">
        <is>
          <t>x</t>
        </is>
      </c>
      <c r="D19" s="29" t="inlineStr">
        <is>
          <t>Multiplies every enemy's speed.</t>
        </is>
      </c>
      <c r="E19" s="7" t="n"/>
    </row>
    <row r="20" ht="14.6" customHeight="1" s="90">
      <c r="A20" s="31" t="inlineStr">
        <is>
          <t>PLAYER</t>
        </is>
      </c>
      <c r="B20" s="24" t="n"/>
      <c r="C20" s="32" t="n"/>
      <c r="D20" s="32" t="n"/>
      <c r="E20" s="7" t="n"/>
    </row>
    <row r="21" ht="13.65" customHeight="1" s="90">
      <c r="A21" s="26" t="inlineStr">
        <is>
          <t>Hero upgrade base cost</t>
        </is>
      </c>
      <c r="B21" s="27" t="n">
        <v>200</v>
      </c>
      <c r="C21" s="28" t="inlineStr">
        <is>
          <t>cash</t>
        </is>
      </c>
      <c r="D21" s="29" t="inlineStr">
        <is>
          <t>Tier 1 of any hero path. Picking a hero is free.</t>
        </is>
      </c>
      <c r="E21" s="7" t="n"/>
    </row>
    <row r="22" ht="13.65" customHeight="1" s="90">
      <c r="A22" s="26" t="inlineStr">
        <is>
          <t>Hero upgrade cost growth</t>
        </is>
      </c>
      <c r="B22" s="30" t="n">
        <v>2</v>
      </c>
      <c r="C22" s="28" t="inlineStr">
        <is>
          <t>x</t>
        </is>
      </c>
      <c r="D22" s="29" t="inlineStr">
        <is>
          <t>Each hero upgrade tier costs this multiple of the one before.</t>
        </is>
      </c>
      <c r="E22" s="7" t="n"/>
    </row>
    <row r="23" ht="13.65" customHeight="1" s="90">
      <c r="A23" s="26" t="n"/>
      <c r="B23" s="30" t="n"/>
      <c r="C23" s="28" t="n"/>
      <c r="D23" s="29" t="n"/>
      <c r="E23" s="7" t="n"/>
    </row>
    <row r="24" ht="14.6" customHeight="1" s="90">
      <c r="A24" s="31" t="inlineStr">
        <is>
          <t>PROGRESSION</t>
        </is>
      </c>
      <c r="B24" s="24" t="n"/>
      <c r="C24" s="32" t="n"/>
      <c r="D24" s="32" t="n"/>
      <c r="E24" s="7" t="n"/>
    </row>
    <row r="25" ht="13.65" customHeight="1" s="90">
      <c r="A25" s="26" t="inlineStr">
        <is>
          <t>Multiplayer loss payout</t>
        </is>
      </c>
      <c r="B25" s="27" t="n">
        <v>5</v>
      </c>
      <c r="C25" s="28" t="inlineStr">
        <is>
          <t>amber</t>
        </is>
      </c>
      <c r="D25" s="29" t="inlineStr">
        <is>
          <t>Every player in a multiplayer match that ends without a clear. Clears pay the Difficulty sheet reward; solo losses pay nothing.</t>
        </is>
      </c>
      <c r="E25" s="7" t="n"/>
    </row>
    <row r="26" ht="13.65" customHeight="1" s="90">
      <c r="A26" s="26" t="inlineStr">
        <is>
          <t>Typical amber per match</t>
        </is>
      </c>
      <c r="B26" s="30" t="n">
        <v>50</v>
      </c>
      <c r="C26" s="28" t="inlineStr">
        <is>
          <t>amber</t>
        </is>
      </c>
      <c r="D26" s="29" t="inlineStr">
        <is>
          <t>Planning estimate only (Mastery "Matches to earn"). Not paid out by the game.</t>
        </is>
      </c>
      <c r="E26" s="7" t="n"/>
    </row>
    <row r="27" ht="13.65" customHeight="1" s="90">
      <c r="A27" s="26" t="inlineStr">
        <is>
          <t>Mastery cost base</t>
        </is>
      </c>
      <c r="B27" s="27" t="n">
        <v>25</v>
      </c>
      <c r="C27" s="28" t="inlineStr">
        <is>
          <t>amber</t>
        </is>
      </c>
      <c r="D27" s="29" t="inlineStr">
        <is>
          <t>Cost of mastery level 1.</t>
        </is>
      </c>
      <c r="E27" s="7" t="n"/>
    </row>
    <row r="28" ht="13.65" customHeight="1" s="90">
      <c r="A28" s="26" t="inlineStr">
        <is>
          <t>Mastery cost growth</t>
        </is>
      </c>
      <c r="B28" s="30" t="n">
        <v>1.18</v>
      </c>
      <c r="C28" s="28" t="inlineStr">
        <is>
          <t>x</t>
        </is>
      </c>
      <c r="D28" s="29" t="inlineStr">
        <is>
          <t>Compounding cost per mastery level to 20.</t>
        </is>
      </c>
      <c r="E28" s="7" t="n"/>
    </row>
    <row r="29" ht="14.6" customHeight="1" s="90">
      <c r="A29" s="31" t="inlineStr">
        <is>
          <t>VALIDATION</t>
        </is>
      </c>
      <c r="B29" s="24" t="n"/>
      <c r="C29" s="32" t="n"/>
      <c r="D29" s="32" t="n"/>
      <c r="E29" s="7" t="n"/>
    </row>
    <row r="30" ht="13.65" customHeight="1" s="90">
      <c r="A30" s="26" t="inlineStr">
        <is>
          <t>Assumed spend on towers</t>
        </is>
      </c>
      <c r="B30" s="30" t="n">
        <v>0.75</v>
      </c>
      <c r="C30" s="28" t="inlineStr">
        <is>
          <t>fraction</t>
        </is>
      </c>
      <c r="D30" s="29" t="inlineStr">
        <is>
          <t>Share of cumulative cash a competent player puts into tower DPS.</t>
        </is>
      </c>
      <c r="E30" s="7" t="n"/>
    </row>
    <row r="31" ht="13.65" customHeight="1" s="90">
      <c r="A31" s="26" t="inlineStr">
        <is>
          <t>Expected efficiency</t>
        </is>
      </c>
      <c r="B31" s="30" t="n">
        <v>0.6</v>
      </c>
      <c r="C31" s="28" t="inlineStr">
        <is>
          <t>fraction</t>
        </is>
      </c>
      <c r="D31" s="29" t="inlineStr">
        <is>
          <t>Share of theoretical DPS actually landing, after targeting and travel-time losses.</t>
        </is>
      </c>
      <c r="E31" s="7" t="n"/>
    </row>
    <row r="32" ht="13.65" customHeight="1" s="90">
      <c r="A32" s="33" t="inlineStr">
        <is>
          <t>Rounds per tier</t>
        </is>
      </c>
      <c r="B32" s="27" t="n">
        <v>8</v>
      </c>
      <c r="C32" s="34" t="inlineStr">
        <is>
          <t>rounds</t>
        </is>
      </c>
      <c r="D32" s="35" t="inlineStr">
        <is>
          <t>How fast the reference build climbs tiers. Drives the rising cost per DPS.</t>
        </is>
      </c>
      <c r="E32" s="17" t="n"/>
    </row>
    <row r="33" ht="13.55" customHeight="1" s="90">
      <c r="A33" s="36" t="n"/>
      <c r="B33" s="37" t="n"/>
      <c r="C33" s="3" t="n"/>
      <c r="D33" s="3" t="n"/>
      <c r="E33" s="4" t="n"/>
    </row>
    <row r="34" ht="14.6" customHeight="1" s="90">
      <c r="A34" s="31" t="inlineStr">
        <is>
          <t>ABILITIES</t>
        </is>
      </c>
      <c r="B34" s="24" t="n"/>
      <c r="C34" s="32" t="n"/>
      <c r="D34" s="32" t="n"/>
      <c r="E34" s="7" t="n"/>
    </row>
    <row r="35" ht="13.65" customHeight="1" s="90">
      <c r="A35" s="26" t="inlineStr">
        <is>
          <t>Line pierce reach</t>
        </is>
      </c>
      <c r="B35" s="30" t="n">
        <v>30</v>
      </c>
      <c r="C35" s="28" t="inlineStr">
        <is>
          <t>studs</t>
        </is>
      </c>
      <c r="D35" s="29" t="inlineStr">
        <is>
          <t>How far behind its target a line-piercing shot keeps hitting.</t>
        </is>
      </c>
      <c r="E35" s="7" t="n"/>
    </row>
    <row r="36" ht="13.65" customHeight="1" s="90">
      <c r="A36" s="26" t="inlineStr">
        <is>
          <t>Mark duration</t>
        </is>
      </c>
      <c r="B36" s="30" t="n">
        <v>3</v>
      </c>
      <c r="C36" s="28" t="inlineStr">
        <is>
          <t>s</t>
        </is>
      </c>
      <c r="D36" s="29" t="inlineStr">
        <is>
          <t>How long a Spotter mark lasts on an enemy.</t>
        </is>
      </c>
      <c r="E36" s="7" t="n"/>
    </row>
    <row r="37" ht="13.65" customHeight="1" s="90">
      <c r="A37" s="26" t="inlineStr">
        <is>
          <t>Bomblet damage</t>
        </is>
      </c>
      <c r="B37" s="30" t="n">
        <v>0.5</v>
      </c>
      <c r="C37" s="28" t="inlineStr">
        <is>
          <t>fraction</t>
        </is>
      </c>
      <c r="D37" s="29" t="inlineStr">
        <is>
          <t>Each cluster bomblet deals this share of the shell's damage.</t>
        </is>
      </c>
      <c r="E37" s="7" t="n"/>
    </row>
    <row r="38" ht="13.65" customHeight="1" s="90">
      <c r="A38" s="33" t="inlineStr">
        <is>
          <t>Bomblet spread</t>
        </is>
      </c>
      <c r="B38" s="30" t="n">
        <v>5</v>
      </c>
      <c r="C38" s="34" t="inlineStr">
        <is>
          <t>studs</t>
        </is>
      </c>
      <c r="D38" s="35" t="inlineStr">
        <is>
          <t>How far bomblets scatter from the shell.</t>
        </is>
      </c>
      <c r="E38" s="17" t="n"/>
    </row>
    <row r="40">
      <c r="A40" s="31" t="inlineStr">
        <is>
          <t>CO-OP</t>
        </is>
      </c>
      <c r="B40" s="24" t="n"/>
      <c r="C40" s="32" t="n"/>
      <c r="D40" s="32" t="n"/>
    </row>
    <row r="41">
      <c r="A41" s="26" t="inlineStr">
        <is>
          <t>Extra enemies per player</t>
        </is>
      </c>
      <c r="B41" s="30" t="n">
        <v>0.35</v>
      </c>
      <c r="C41" s="28" t="inlineStr">
        <is>
          <t>x</t>
        </is>
      </c>
      <c r="D41" s="29" t="inlineStr">
        <is>
          <t>Enemy count x grows by this for each player beyond the first (10 players = x4.15).</t>
        </is>
      </c>
    </row>
    <row r="42">
      <c r="A42" s="26" t="inlineStr">
        <is>
          <t>Extra HP per player</t>
        </is>
      </c>
      <c r="B42" s="30" t="n">
        <v>0.08</v>
      </c>
      <c r="C42" s="28" t="inlineStr">
        <is>
          <t>x</t>
        </is>
      </c>
      <c r="D42" s="29" t="inlineStr">
        <is>
          <t>Enemy HP x grows by this for each player beyond the first.</t>
        </is>
      </c>
    </row>
    <row r="43">
      <c r="A43" s="26" t="inlineStr">
        <is>
          <t>Starting cash per extra player</t>
        </is>
      </c>
      <c r="B43" s="30" t="n">
        <v>200</v>
      </c>
      <c r="C43" s="28" t="inlineStr">
        <is>
          <t>cash</t>
        </is>
      </c>
      <c r="D43" s="29" t="inlineStr">
        <is>
          <t>Added to the shared pot once for each player beyond the first, whenever they join.</t>
        </is>
      </c>
    </row>
    <row r="45">
      <c r="A45" s="31" t="inlineStr">
        <is>
          <t>HERO</t>
        </is>
      </c>
      <c r="B45" s="24" t="n"/>
      <c r="C45" s="32" t="n"/>
      <c r="D45" s="32" t="n"/>
    </row>
    <row r="46">
      <c r="A46" s="26" t="inlineStr">
        <is>
          <t>Weapon aim assist</t>
        </is>
      </c>
      <c r="B46" s="30" t="n">
        <v>3</v>
      </c>
      <c r="C46" s="28" t="inlineStr">
        <is>
          <t>studs</t>
        </is>
      </c>
      <c r="D46" s="29" t="inlineStr">
        <is>
          <t>A shot hits the enemy nearest its (recoil-spread) ray, if one is this close to it.</t>
        </is>
      </c>
    </row>
    <row r="47">
      <c r="A47" s="26" t="inlineStr">
        <is>
          <t>Overdrive fire rate x</t>
        </is>
      </c>
      <c r="B47" s="30" t="n">
        <v>2</v>
      </c>
      <c r="C47" s="28" t="inlineStr">
        <is>
          <t>x</t>
        </is>
      </c>
      <c r="D47" s="29" t="inlineStr">
        <is>
          <t>Your own fire rate during Overdrive.</t>
        </is>
      </c>
    </row>
    <row r="48">
      <c r="A48" s="26" t="inlineStr">
        <is>
          <t>Spin-up time</t>
        </is>
      </c>
      <c r="B48" s="30" t="n">
        <v>2</v>
      </c>
      <c r="C48" s="28" t="inlineStr">
        <is>
          <t>s</t>
        </is>
      </c>
      <c r="D48" s="29" t="inlineStr">
        <is>
          <t>Holding the trigger this long takes Spin-Up to full speed.</t>
        </is>
      </c>
    </row>
    <row r="49">
      <c r="A49" s="26" t="inlineStr">
        <is>
          <t>Ricochet reach</t>
        </is>
      </c>
      <c r="B49" s="30" t="n">
        <v>12</v>
      </c>
      <c r="C49" s="28" t="inlineStr">
        <is>
          <t>studs</t>
        </is>
      </c>
      <c r="D49" s="29" t="inlineStr">
        <is>
          <t>How far a ricochet can jump to the next enemy.</t>
        </is>
      </c>
    </row>
    <row r="50">
      <c r="A50" s="26" t="inlineStr">
        <is>
          <t>Still speed</t>
        </is>
      </c>
      <c r="B50" s="30" t="n">
        <v>1</v>
      </c>
      <c r="C50" s="28" t="inlineStr">
        <is>
          <t>studs/s</t>
        </is>
      </c>
      <c r="D50" s="29" t="inlineStr">
        <is>
          <t>Moving slower than this counts as standing still (Bipod).</t>
        </is>
      </c>
    </row>
    <row r="51">
      <c r="A51" s="26" t="inlineStr">
        <is>
          <t>Airburst reach</t>
        </is>
      </c>
      <c r="B51" s="30" t="n">
        <v>50</v>
      </c>
      <c r="C51" s="28" t="inlineStr">
        <is>
          <t>studs</t>
        </is>
      </c>
      <c r="D51" s="29" t="inlineStr">
        <is>
          <t>How far from you an Airburst can be called in.</t>
        </is>
      </c>
    </row>
    <row r="52">
      <c r="A52" s="26" t="inlineStr">
        <is>
          <t>Airburst delay</t>
        </is>
      </c>
      <c r="B52" s="30" t="n">
        <v>1</v>
      </c>
      <c r="C52" s="28" t="inlineStr">
        <is>
          <t>s</t>
        </is>
      </c>
      <c r="D52" s="29" t="inlineStr">
        <is>
          <t>Time between calling an Airburst and the strike landing.</t>
        </is>
      </c>
    </row>
    <row r="54">
      <c r="A54" s="31" t="inlineStr">
        <is>
          <t>QUARTERMASTER / CHILLER</t>
        </is>
      </c>
      <c r="B54" s="24" t="n"/>
      <c r="C54" s="32" t="n"/>
      <c r="D54" s="32" t="n"/>
    </row>
    <row r="55">
      <c r="A55" s="26" t="inlineStr">
        <is>
          <t>Chest lifetime</t>
        </is>
      </c>
      <c r="B55" s="30" t="n">
        <v>20</v>
      </c>
      <c r="C55" s="28" t="inlineStr">
        <is>
          <t>s</t>
        </is>
      </c>
      <c r="D55" s="29" t="inlineStr">
        <is>
          <t>Airdrop chests vanish if nobody collects them in time.</t>
        </is>
      </c>
    </row>
    <row r="56">
      <c r="A56" s="26" t="inlineStr">
        <is>
          <t>Chest spread</t>
        </is>
      </c>
      <c r="B56" s="30" t="n">
        <v>25</v>
      </c>
      <c r="C56" s="28" t="inlineStr">
        <is>
          <t>studs</t>
        </is>
      </c>
      <c r="D56" s="29" t="inlineStr">
        <is>
          <t>Chests land this far around their Quartermaster at most.</t>
        </is>
      </c>
    </row>
    <row r="58">
      <c r="A58" s="31" t="inlineStr">
        <is>
          <t>HERO LEVELS</t>
        </is>
      </c>
      <c r="B58" s="24" t="n"/>
      <c r="C58" s="32" t="n"/>
      <c r="D58" s="32" t="n"/>
    </row>
    <row r="59">
      <c r="A59" s="26" t="inlineStr">
        <is>
          <t>Rounds per level</t>
        </is>
      </c>
      <c r="B59" s="30" t="n">
        <v>5</v>
      </c>
      <c r="C59" s="28" t="inlineStr">
        <is>
          <t>rounds</t>
        </is>
      </c>
      <c r="D59" s="29" t="inlineStr">
        <is>
          <t>Every this many rounds cleared, heroes level up and towers get stronger. (Later: hero XP from pops.)</t>
        </is>
      </c>
    </row>
    <row r="60">
      <c r="A60" s="26" t="inlineStr">
        <is>
          <t>Hero damage per level</t>
        </is>
      </c>
      <c r="B60" s="30" t="n">
        <v>0.25</v>
      </c>
      <c r="C60" s="28" t="inlineStr">
        <is>
          <t>x</t>
        </is>
      </c>
      <c r="D60" s="29" t="inlineStr">
        <is>
          <t>Each hero level multiplies all hero damage by 1 + this (compounding).</t>
        </is>
      </c>
    </row>
    <row r="61">
      <c r="A61" s="26" t="inlineStr">
        <is>
          <t>Tower damage per level</t>
        </is>
      </c>
      <c r="B61" s="30" t="n">
        <v>0.1</v>
      </c>
      <c r="C61" s="28" t="inlineStr">
        <is>
          <t>x</t>
        </is>
      </c>
      <c r="D61" s="29" t="inlineStr">
        <is>
          <t>Each level multiplies all tower damage by 1 + this (compounding).</t>
        </is>
      </c>
    </row>
    <row r="63">
      <c r="A63" s="31" t="inlineStr">
        <is>
          <t>MATCH FLOW</t>
        </is>
      </c>
      <c r="B63" s="24" t="n"/>
      <c r="C63" s="32" t="n"/>
      <c r="D63" s="32" t="n"/>
    </row>
    <row r="64">
      <c r="A64" s="26" t="inlineStr">
        <is>
          <t>Respawn time</t>
        </is>
      </c>
      <c r="B64" s="30" t="n">
        <v>3</v>
      </c>
      <c r="C64" s="28" t="inlineStr">
        <is>
          <t>s</t>
        </is>
      </c>
      <c r="D64" s="29" t="inlineStr">
        <is>
          <t>How long after dying a player respawns during a match.</t>
        </is>
      </c>
    </row>
    <row r="65">
      <c r="A65" s="26" t="inlineStr">
        <is>
          <t>Results time</t>
        </is>
      </c>
      <c r="B65" s="30" t="n">
        <v>8</v>
      </c>
      <c r="C65" s="28" t="inlineStr">
        <is>
          <t>s</t>
        </is>
      </c>
      <c r="D65" s="29" t="inlineStr">
        <is>
          <t>How long the result screen shows before everyone returns home.</t>
        </is>
      </c>
    </row>
    <row r="67">
      <c r="A67" s="31" t="inlineStr">
        <is>
          <t>PLAYER HEALTH / COMBAT</t>
        </is>
      </c>
      <c r="B67" s="24" t="n"/>
      <c r="C67" s="32" t="n"/>
      <c r="D67" s="32" t="n"/>
    </row>
    <row r="68">
      <c r="A68" s="26" t="inlineStr">
        <is>
          <t>Player max health</t>
        </is>
      </c>
      <c r="B68" s="30" t="n">
        <v>100</v>
      </c>
      <c r="C68" s="28" t="inlineStr">
        <is>
          <t>HP</t>
        </is>
      </c>
      <c r="D68" s="29" t="inlineStr">
        <is>
          <t>Every player's health. Fixed: harder rounds hurt through tougher dinos, not bigger numbers.</t>
        </is>
      </c>
    </row>
    <row r="69">
      <c r="A69" s="26" t="inlineStr">
        <is>
          <t>Heal per round</t>
        </is>
      </c>
      <c r="B69" s="30" t="n">
        <v>25</v>
      </c>
      <c r="C69" s="28" t="inlineStr">
        <is>
          <t>HP</t>
        </is>
      </c>
      <c r="D69" s="29" t="inlineStr">
        <is>
          <t>Every living player heals this much when a round is cleared (capped at max).</t>
        </is>
      </c>
    </row>
    <row r="70">
      <c r="A70" s="26" t="inlineStr">
        <is>
          <t>Spawn protection</t>
        </is>
      </c>
      <c r="B70" s="30" t="n">
        <v>3</v>
      </c>
      <c r="C70" s="28" t="inlineStr">
        <is>
          <t>s</t>
        </is>
      </c>
      <c r="D70" s="29" t="inlineStr">
        <is>
          <t>A force field on respawn, so a player isn't bitten again the instant they're back.</t>
        </is>
      </c>
    </row>
    <row r="71">
      <c r="A71" s="26" t="inlineStr">
        <is>
          <t>Max resist</t>
        </is>
      </c>
      <c r="B71" s="30" t="n">
        <v>60</v>
      </c>
      <c r="C71" s="28" t="inlineStr">
        <is>
          <t>%</t>
        </is>
      </c>
      <c r="D71" s="29" t="inlineStr">
        <is>
          <t>Damage resistance never goes above this. Sources don't stack: the strongest wins.</t>
        </is>
      </c>
    </row>
    <row r="72">
      <c r="A72" s="26" t="inlineStr">
        <is>
          <t>Max projectiles</t>
        </is>
      </c>
      <c r="B72" s="30" t="n">
        <v>80</v>
      </c>
      <c r="C72" s="28" t="inlineStr">
        <is>
          <t>count</t>
        </is>
      </c>
      <c r="D72" s="29" t="inlineStr">
        <is>
          <t>Dino projectiles in flight at once; past this the oldest is dropped.</t>
        </is>
      </c>
    </row>
    <row r="73">
      <c r="A73" s="26" t="inlineStr">
        <is>
          <t>Tower HP per tier</t>
        </is>
      </c>
      <c r="B73" s="30" t="n">
        <v>0.15</v>
      </c>
      <c r="C73" s="28" t="inlineStr">
        <is>
          <t>x base</t>
        </is>
      </c>
      <c r="D73" s="29" t="inlineStr">
        <is>
          <t>Each upgrade tier bought (any path) adds this share of the tower's base max HP.</t>
        </is>
      </c>
    </row>
    <row r="74">
      <c r="A74" s="26" t="inlineStr">
        <is>
          <t>Repair cost</t>
        </is>
      </c>
      <c r="B74" s="30" t="n">
        <v>0.3</v>
      </c>
      <c r="C74" s="28" t="inlineStr">
        <is>
          <t>x spent</t>
        </is>
      </c>
      <c r="D74" s="29" t="inlineStr">
        <is>
          <t>Repairing a tower from 0 HP costs this share of the cash put into it (less for partial damage).</t>
        </is>
      </c>
    </row>
    <row r="75">
      <c r="A75" s="26" t="inlineStr">
        <is>
          <t>Burn patch min reach</t>
        </is>
      </c>
      <c r="B75" s="30" t="n">
        <v>3</v>
      </c>
      <c r="C75" s="28" t="inlineStr">
        <is>
          <t>studs</t>
        </is>
      </c>
      <c r="D75" s="29" t="inlineStr">
        <is>
          <t>Burning ground is at least this wide either side, so a hero patch with no splash (Incendiary) is visible.</t>
        </is>
      </c>
    </row>
    <row r="76">
      <c r="A76" s="26" t="inlineStr">
        <is>
          <t>Boss jaw lock x</t>
        </is>
      </c>
      <c r="B76" s="30" t="n">
        <v>0.5</v>
      </c>
      <c r="C76" s="28" t="inlineStr">
        <is>
          <t>x</t>
        </is>
      </c>
      <c r="D76" s="29" t="inlineStr">
        <is>
          <t>A boss hit by Jaw Lock is locked this share of the lock time (bosses also ignore the Medic slow).</t>
        </is>
      </c>
    </row>
    <row r="78">
      <c r="A78" s="31" t="inlineStr">
        <is>
          <t>REWARDS</t>
        </is>
      </c>
    </row>
    <row r="79">
      <c r="A79" s="26" t="inlineStr">
        <is>
          <t>Daily bounties</t>
        </is>
      </c>
      <c r="B79" s="27" t="n">
        <v>3</v>
      </c>
      <c r="C79" s="28" t="inlineStr">
        <is>
          <t>count</t>
        </is>
      </c>
      <c r="D79" s="29" t="inlineStr">
        <is>
          <t>Daily bounties on the Hunt Board. Slots fill in the order easy, medium, hard, so 3 = one of each (DECISIONS #65).</t>
        </is>
      </c>
    </row>
    <row r="80">
      <c r="A80" s="26" t="inlineStr">
        <is>
          <t>Weekly bounties</t>
        </is>
      </c>
      <c r="B80" s="27" t="n">
        <v>3</v>
      </c>
      <c r="C80" s="28" t="inlineStr">
        <is>
          <t>count</t>
        </is>
      </c>
      <c r="D80" s="29" t="inlineStr">
        <is>
          <t>Weekly bounties on the Hunt Board, filled the same way.</t>
        </is>
      </c>
    </row>
    <row r="81">
      <c r="A81" s="26" t="inlineStr">
        <is>
          <t>Daily swaps</t>
        </is>
      </c>
      <c r="B81" s="27" t="n">
        <v>1</v>
      </c>
      <c r="C81" s="28" t="inlineStr">
        <is>
          <t>count</t>
        </is>
      </c>
      <c r="D81" s="29" t="inlineStr">
        <is>
          <t>Free swaps a day, only on an unfinished bounty; the new one comes from the same slot (DECISIONS #67).</t>
        </is>
      </c>
    </row>
    <row r="82">
      <c r="A82" s="26" t="inlineStr">
        <is>
          <t>Weekly swaps</t>
        </is>
      </c>
      <c r="B82" s="27" t="n">
        <v>1</v>
      </c>
      <c r="C82" s="28" t="inlineStr">
        <is>
          <t>count</t>
        </is>
      </c>
      <c r="D82" s="29" t="inlineStr">
        <is>
          <t>Free swaps a week on the weekly bounties.</t>
        </is>
      </c>
    </row>
    <row r="83">
      <c r="A83" s="26" t="inlineStr">
        <is>
          <t>Haul resets after missed days</t>
        </is>
      </c>
      <c r="B83" s="27" t="n">
        <v>0</v>
      </c>
      <c r="C83" s="28" t="inlineStr">
        <is>
          <t>days</t>
        </is>
      </c>
      <c r="D83" s="29" t="inlineStr">
        <is>
          <t>0 = never: a missed day only pauses the Daily Haul. 1 = miss one day and it starts again at day 1 (DECISIONS #64).</t>
        </is>
      </c>
    </row>
    <row r="84">
      <c r="A84" s="26" t="inlineStr">
        <is>
          <t>Daily reset hour UTC</t>
        </is>
      </c>
      <c r="B84" s="27" t="n">
        <v>0</v>
      </c>
      <c r="C84" s="28" t="inlineStr">
        <is>
          <t>hour</t>
        </is>
      </c>
      <c r="D84" s="29" t="inlineStr">
        <is>
          <t>The hour (0-23, UTC) a new day starts for the Daily Haul and the daily bounties (DECISIONS #68).</t>
        </is>
      </c>
    </row>
    <row r="85">
      <c r="A85" s="26" t="inlineStr">
        <is>
          <t>Weekly reset day</t>
        </is>
      </c>
      <c r="B85" s="27" t="n">
        <v>1</v>
      </c>
      <c r="C85" s="28" t="inlineStr">
        <is>
          <t>day</t>
        </is>
      </c>
      <c r="D85" s="29" t="inlineStr">
        <is>
          <t>The day the weekly bounties reset, at the daily reset hour: 1 = Monday ... 7 = Sunday.</t>
        </is>
      </c>
    </row>
    <row r="87">
      <c r="A87" s="31" t="inlineStr">
        <is>
          <t>HERO XP</t>
        </is>
      </c>
    </row>
    <row r="88">
      <c r="A88" s="26" t="inlineStr">
        <is>
          <t>XP per level</t>
        </is>
      </c>
      <c r="B88" s="27" t="n">
        <v>500</v>
      </c>
      <c r="C88" s="28" t="inlineStr">
        <is>
          <t>XP</t>
        </is>
      </c>
      <c r="D88" s="29" t="inlineStr">
        <is>
          <t>XP for one hero level: level = 1 + XP / this, rounded down. Must be a whole multiple of Rounds per level, so a cleared round is worth a whole Round XP (DECISIONS #100).</t>
        </is>
      </c>
    </row>
    <row r="89">
      <c r="A89" s="26" t="inlineStr">
        <is>
          <t>XP per pop</t>
        </is>
      </c>
      <c r="B89" s="27" t="n">
        <v>0.25</v>
      </c>
      <c r="C89" s="28" t="inlineStr">
        <is>
          <t>XP</t>
        </is>
      </c>
      <c r="D89" s="29" t="inlineStr">
        <is>
          <t>Pop XP for each take-down credited to the hunter (gun, towers, fire). Pending until the round is cleared.</t>
        </is>
      </c>
    </row>
    <row r="90">
      <c r="A90" s="26" t="inlineStr">
        <is>
          <t>Pop XP cap per round</t>
        </is>
      </c>
      <c r="B90" s="27" t="n">
        <v>15</v>
      </c>
      <c r="C90" s="28" t="inlineStr">
        <is>
          <t>XP</t>
        </is>
      </c>
      <c r="D90" s="29" t="inlineStr">
        <is>
          <t>The most pop XP one round can bank. 0 = the old every-5-rounds curve exactly.</t>
        </is>
      </c>
    </row>
    <row r="91">
      <c r="A91" s="26" t="inlineStr">
        <is>
          <t>Team pop share</t>
        </is>
      </c>
      <c r="B91" s="27" t="n">
        <v>0.25</v>
      </c>
      <c r="C91" s="28" t="inlineStr">
        <is>
          <t>x</t>
        </is>
      </c>
      <c r="D91" s="29" t="inlineStr">
        <is>
          <t>Share of teammates' take-downs that counts toward your pop XP (DECISIONS #102). 0 = own only, 1 = fully shared.</t>
        </is>
      </c>
    </row>
    <row r="92">
      <c r="A92" s="26" t="inlineStr">
        <is>
          <t>Hero level lead cap</t>
        </is>
      </c>
      <c r="B92" s="27" t="n">
        <v>1</v>
      </c>
      <c r="C92" s="28" t="inlineStr">
        <is>
          <t>levels</t>
        </is>
      </c>
      <c r="D92" s="29" t="inlineStr">
        <is>
          <t>A hunter is never more than this many levels above the round level (DECISIONS #101). The export fails if the seeds alone would beat it.</t>
        </is>
      </c>
    </row>
    <row r="94" s="90">
      <c r="A94" s="31" t="inlineStr">
        <is>
          <t>MASTERY PERKS</t>
        </is>
      </c>
    </row>
    <row r="95" s="90">
      <c r="A95" s="26" t="inlineStr">
        <is>
          <t>Mastery perk worth cap</t>
        </is>
      </c>
      <c r="B95" s="27" t="n">
        <v>40</v>
      </c>
      <c r="C95" s="28" t="inlineStr">
        <is>
          <t>%</t>
        </is>
      </c>
      <c r="D95" s="29" t="inlineStr">
        <is>
          <t>The most a mastery perk may be worth, in % of one cast (Mastery Perks sheet, DECISIONS #99). Read by the exporter only.</t>
        </is>
      </c>
    </row>
    <row r="97">
      <c r="A97" s="31" t="inlineStr">
        <is>
          <t>BOSS THROWS</t>
        </is>
      </c>
    </row>
    <row r="98">
      <c r="A98" s="26" t="inlineStr">
        <is>
          <t>Boss ranged vs towers x</t>
        </is>
      </c>
      <c r="B98" s="27" t="n">
        <v>0.3</v>
      </c>
      <c r="C98" s="28" t="inlineStr">
        <is>
          <t>x</t>
        </is>
      </c>
      <c r="D98" s="29" t="inlineStr">
        <is>
          <t>A Boss species' projectile damage to a tower is multiplied by this; hunters take full damage (they can dodge). DECISIONS #138, #154. 1 = off.</t>
        </is>
      </c>
    </row>
    <row r="100">
      <c r="A100" s="99" t="inlineStr">
        <is>
          <t>PIERCE-THROUGH</t>
        </is>
      </c>
    </row>
    <row r="101">
      <c r="A101" s="100" t="inlineStr">
        <is>
          <t>Break level step</t>
        </is>
      </c>
      <c r="B101" s="101" t="n">
        <v>3</v>
      </c>
      <c r="C101" s="102" t="inlineStr">
        <is>
          <t>levels</t>
        </is>
      </c>
      <c r="D101" s="103" t="inlineStr">
        <is>
          <t>Raw-damage tiers (Size breaks 2+) break one more size per this many tower levels above 1: +1 at level 4, +2 at level 7. Heroes never. DECISIONS #126.</t>
        </is>
      </c>
    </row>
    <row r="102">
      <c r="A102" s="100" t="inlineStr">
        <is>
          <t>Max size breaks</t>
        </is>
      </c>
      <c r="B102" s="101" t="n">
        <v>4</v>
      </c>
      <c r="C102" s="102" t="inlineStr">
        <is>
          <t>sizes</t>
        </is>
      </c>
      <c r="D102" s="103" t="inlineStr">
        <is>
          <t>The most sizes one hit may drop (pierce-through cap). 1 = off everywhere. DECISIONS #126.</t>
        </is>
      </c>
    </row>
    <row r="104">
      <c r="A104" s="99" t="inlineStr">
        <is>
          <t>PLAYER LEVEL</t>
        </is>
      </c>
      <c r="B104" s="105" t="n"/>
      <c r="C104" s="105" t="n"/>
      <c r="D104" s="105" t="n"/>
    </row>
    <row r="105">
      <c r="A105" s="100" t="inlineStr">
        <is>
          <t>Player XP base</t>
        </is>
      </c>
      <c r="B105" s="101" t="n">
        <v>500</v>
      </c>
      <c r="C105" s="102" t="inlineStr">
        <is>
          <t>XP</t>
        </is>
      </c>
      <c r="D105" s="103" t="inlineStr">
        <is>
          <t>Player level 1 -&gt; 2 costs this much player XP (DECISIONS #120). Saved between matches; rewards are cosmetic only.</t>
        </is>
      </c>
    </row>
    <row r="106">
      <c r="A106" s="100" t="inlineStr">
        <is>
          <t>Player XP step</t>
        </is>
      </c>
      <c r="B106" s="101" t="n">
        <v>50</v>
      </c>
      <c r="C106" s="102" t="inlineStr">
        <is>
          <t>XP</t>
        </is>
      </c>
      <c r="D106" s="103" t="inlineStr">
        <is>
          <t>Each player level costs this much more than the one before: level n -&gt; n+1 = base + step x (n-1) (DECISIONS #120).</t>
        </is>
      </c>
    </row>
    <row r="107">
      <c r="A107" s="100" t="inlineStr">
        <is>
          <t>Player XP per level max</t>
        </is>
      </c>
      <c r="B107" s="101" t="n">
        <v>10000</v>
      </c>
      <c r="C107" s="102" t="inlineStr">
        <is>
          <t>XP</t>
        </is>
      </c>
      <c r="D107" s="103" t="inlineStr">
        <is>
          <t>No player level costs more than this (reached at level 191 with the seeds); levels never end (DECISIONS #120).</t>
        </is>
      </c>
    </row>
    <row r="108">
      <c r="A108" s="100" t="inlineStr">
        <is>
          <t>Solo take-down XP x</t>
        </is>
      </c>
      <c r="B108" s="101" t="n">
        <v>2</v>
      </c>
      <c r="C108" s="102" t="inlineStr">
        <is>
          <t>x</t>
        </is>
      </c>
      <c r="D108" s="103" t="inlineStr">
        <is>
          <t>In solo, the take-down part of the match's hero XP counts this many times toward player XP only; co-op and the hunter level are unchanged (DECISIONS #124). 1 = off.</t>
        </is>
      </c>
    </row>
    <row r="110">
      <c r="A110" s="99" t="inlineStr">
        <is>
          <t>STORM COIL</t>
        </is>
      </c>
    </row>
    <row r="111">
      <c r="A111" s="100" t="inlineStr">
        <is>
          <t>Coil arcs</t>
        </is>
      </c>
      <c r="B111" s="101" t="n">
        <v>4</v>
      </c>
      <c r="C111" s="102" t="inlineStr">
        <is>
          <t>arcs after the first hit (Copper Wire raises it)</t>
        </is>
      </c>
    </row>
    <row r="112">
      <c r="A112" s="100" t="inlineStr">
        <is>
          <t>Coil arc reach</t>
        </is>
      </c>
      <c r="B112" s="101" t="n">
        <v>10</v>
      </c>
      <c r="C112" s="102" t="inlineStr">
        <is>
          <t>studs from one dino to the next</t>
        </is>
      </c>
    </row>
    <row r="113">
      <c r="A113" s="100" t="inlineStr">
        <is>
          <t>Coil arc falloff</t>
        </is>
      </c>
      <c r="B113" s="101" t="n">
        <v>0.8</v>
      </c>
      <c r="C113" s="102" t="inlineStr">
        <is>
          <t>each arc x this of the last</t>
        </is>
      </c>
    </row>
    <row r="114">
      <c r="A114" s="100" t="inlineStr">
        <is>
          <t>Power Grid range per coil</t>
        </is>
      </c>
      <c r="B114" s="101" t="n">
        <v>0.15</v>
      </c>
      <c r="C114" s="102" t="inlineStr">
        <is>
          <t>range x (1 + this x (n - 1)), DECISIONS #151</t>
        </is>
      </c>
    </row>
    <row r="115">
      <c r="A115" s="100" t="inlineStr">
        <is>
          <t>Power Grid damage base</t>
        </is>
      </c>
      <c r="B115" s="101" t="n">
        <v>0.5</v>
      </c>
      <c r="C115" s="102" t="inlineStr">
        <is>
          <t>damage x (base + per coil x n)</t>
        </is>
      </c>
    </row>
    <row r="116">
      <c r="A116" s="100" t="inlineStr">
        <is>
          <t>Power Grid damage per coil</t>
        </is>
      </c>
      <c r="B116" s="101" t="n">
        <v>0.25</v>
      </c>
    </row>
    <row r="117">
      <c r="A117" s="100" t="inlineStr">
        <is>
          <t>Power Grid coil cap</t>
        </is>
      </c>
      <c r="B117" s="101" t="n">
        <v>6</v>
      </c>
      <c r="C117" s="102" t="inlineStr">
        <is>
          <t>n counted up to this</t>
        </is>
      </c>
    </row>
    <row r="118">
      <c r="A118" s="100" t="inlineStr">
        <is>
          <t>Power Grid every</t>
        </is>
      </c>
      <c r="B118" s="101" t="n">
        <v>6</v>
      </c>
      <c r="C118" s="102" t="inlineStr">
        <is>
          <t>s, one shared grid strike</t>
        </is>
      </c>
    </row>
    <row r="119">
      <c r="A119" s="100" t="inlineStr">
        <is>
          <t>Judgement Bolt every</t>
        </is>
      </c>
      <c r="B119" s="101" t="n">
        <v>10</v>
      </c>
      <c r="C119" s="102" t="inlineStr">
        <is>
          <t>s</t>
        </is>
      </c>
    </row>
    <row r="120">
      <c r="A120" s="100" t="inlineStr">
        <is>
          <t>Judgement Bolt x</t>
        </is>
      </c>
      <c r="B120" s="101" t="n">
        <v>8</v>
      </c>
      <c r="C120" s="102" t="inlineStr">
        <is>
          <t>x the coil damage, biggest dino in range</t>
        </is>
      </c>
    </row>
    <row r="121">
      <c r="A121" s="100" t="inlineStr">
        <is>
          <t>Judgement Bolt breaks</t>
        </is>
      </c>
      <c r="B121" s="101" t="n">
        <v>3</v>
      </c>
      <c r="C121" s="102" t="inlineStr">
        <is>
          <t>sizes (pierce-through)</t>
        </is>
      </c>
    </row>
    <row r="122">
      <c r="A122" s="100" t="inlineStr">
        <is>
          <t>Judgement Bolt stun</t>
        </is>
      </c>
      <c r="B122" s="101" t="n">
        <v>0.5</v>
      </c>
      <c r="C122" s="102" t="inlineStr">
        <is>
          <t>s, bosses too</t>
        </is>
      </c>
    </row>
    <row r="124">
      <c r="A124" s="99" t="inlineStr">
        <is>
          <t>FALCON ROOST</t>
        </is>
      </c>
      <c r="C124" s="102" t="n"/>
    </row>
    <row r="125">
      <c r="A125" s="81" t="inlineStr">
        <is>
          <t>Falcon speed</t>
        </is>
      </c>
      <c r="B125" s="81" t="n">
        <v>40</v>
      </c>
      <c r="C125" s="81" t="inlineStr">
        <is>
          <t>studs/s a bird flies out and back (travel time)</t>
        </is>
      </c>
    </row>
    <row r="126">
      <c r="A126" s="81" t="inlineStr">
        <is>
          <t>Eagle dive x</t>
        </is>
      </c>
      <c r="B126" s="81" t="n">
        <v>6</v>
      </c>
      <c r="C126" s="81" t="inlineStr">
        <is>
          <t>x the roost's damage, Eagle of the Peak's one bird</t>
        </is>
      </c>
    </row>
    <row r="127">
      <c r="A127" s="81" t="inlineStr">
        <is>
          <t>Falcon Bells mark</t>
        </is>
      </c>
      <c r="B127" s="81" t="n">
        <v>2</v>
      </c>
      <c r="C127" s="81" t="inlineStr">
        <is>
          <t>s a struck dino stays marked (Falcon Bells)</t>
        </is>
      </c>
    </row>
    <row r="129">
      <c r="A129" s="99" t="inlineStr">
        <is>
          <t>TAR PIT</t>
        </is>
      </c>
    </row>
    <row r="130">
      <c r="A130" s="100" t="inlineStr">
        <is>
          <t>Eruption every</t>
        </is>
      </c>
      <c r="B130" s="101" t="n">
        <v>10</v>
      </c>
      <c r="C130" s="102" t="inlineStr">
        <is>
          <t>s, DECISIONS #150</t>
        </is>
      </c>
    </row>
    <row r="131">
      <c r="A131" s="100" t="inlineStr">
        <is>
          <t>Eruption sizes</t>
        </is>
      </c>
      <c r="B131" s="101" t="n">
        <v>2</v>
      </c>
      <c r="C131" s="102" t="inlineStr">
        <is>
          <t>sizes dropped outright, Break resist ignored</t>
        </is>
      </c>
    </row>
    <row r="132">
      <c r="A132" s="100" t="inlineStr">
        <is>
          <t>Tar sink seconds</t>
        </is>
      </c>
      <c r="B132" s="101" t="n">
        <v>1</v>
      </c>
      <c r="C132" s="102" t="inlineStr">
        <is>
          <t>s a last-size dino stays in the tar before it sinks (Fast Sink lowers it)</t>
        </is>
      </c>
    </row>
    <row r="133">
      <c r="A133" s="100" t="inlineStr">
        <is>
          <t>Tar Tracks length</t>
        </is>
      </c>
      <c r="B133" s="101" t="n">
        <v>12</v>
      </c>
      <c r="C133" s="102" t="inlineStr">
        <is>
          <t>studs of track past the pool that Tar Tracks' footprints cover</t>
        </is>
      </c>
    </row>
    <row r="134">
      <c r="A134" s="100" t="inlineStr">
        <is>
          <t>Tar Tracks seconds</t>
        </is>
      </c>
      <c r="B134" s="101" t="n">
        <v>3</v>
      </c>
      <c r="C134" s="102" t="inlineStr">
        <is>
          <t>s the footprints stay after a dino walks out</t>
        </is>
      </c>
    </row>
    <row r="135">
      <c r="A135" s="100" t="n"/>
      <c r="B135" s="101" t="n"/>
      <c r="C135" s="102" t="n"/>
    </row>
    <row r="136">
      <c r="A136" s="99" t="inlineStr">
        <is>
          <t>HARPOON BALLISTA</t>
        </is>
      </c>
    </row>
    <row r="137">
      <c r="A137" s="100" t="inlineStr">
        <is>
          <t>Tow Line every</t>
        </is>
      </c>
      <c r="B137" s="101" t="n">
        <v>15</v>
      </c>
      <c r="C137" s="102" t="inlineStr">
        <is>
          <t>s</t>
        </is>
      </c>
    </row>
    <row r="138">
      <c r="A138" s="100" t="inlineStr">
        <is>
          <t>Tow Line pull</t>
        </is>
      </c>
      <c r="B138" s="101" t="n">
        <v>10</v>
      </c>
      <c r="C138" s="102" t="inlineStr">
        <is>
          <t>studs back along the track (bosses)</t>
        </is>
      </c>
    </row>
    <row r="139">
      <c r="A139" s="100" t="inlineStr">
        <is>
          <t>Bolt width</t>
        </is>
      </c>
      <c r="B139" s="101" t="n">
        <v>3</v>
      </c>
      <c r="C139" s="102" t="inlineStr">
        <is>
          <t>studs from a bolt's line (Skewer) or a chain (Chain Harpoons) that still counts as hit</t>
        </is>
      </c>
    </row>
    <row r="141">
      <c r="A141" s="99" t="inlineStr">
        <is>
          <t>BATTLE MODES</t>
        </is>
      </c>
    </row>
    <row r="142">
      <c r="A142" s="100" t="inlineStr">
        <is>
          <t>Battle build time</t>
        </is>
      </c>
      <c r="B142" s="101" t="n">
        <v>30</v>
      </c>
      <c r="C142" s="102" t="inlineStr">
        <is>
          <t>s, the one build phase before the rounds (no per-side Start; DECISIONS #210)</t>
        </is>
      </c>
    </row>
    <row r="143">
      <c r="A143" s="100" t="inlineStr">
        <is>
          <t>Battle round time</t>
        </is>
      </c>
      <c r="B143" s="101" t="n">
        <v>60</v>
      </c>
      <c r="C143" s="102" t="inlineStr">
        <is>
          <t>s after a round starts, the next starts for every live side even if not all cleared (lockstep; ≥ the longest paced Normal and Chaos round, 56 s; DECISIONS #251)</t>
        </is>
      </c>
    </row>
    <row r="144">
      <c r="A144" s="100" t="inlineStr">
        <is>
          <t>Battle side density</t>
        </is>
      </c>
      <c r="B144" s="101" t="n">
        <v>0.6</v>
      </c>
      <c r="C144" s="102" t="inlineStr">
        <is>
          <t>x dinos per side in Royale and 3-side Team, so every track fits the live cap</t>
        </is>
      </c>
    </row>
    <row r="145">
      <c r="A145" s="100" t="inlineStr">
        <is>
          <t>PvP tower damage</t>
        </is>
      </c>
      <c r="B145" s="101" t="n">
        <v>0.35</v>
      </c>
      <c r="C145" s="102" t="inlineStr">
        <is>
          <t>x a hunter's damage on an enemy side's tower (0 &lt; x &lt;= 1)</t>
        </is>
      </c>
    </row>
    <row r="146">
      <c r="A146" s="100" t="inlineStr">
        <is>
          <t>PvP hunter damage</t>
        </is>
      </c>
      <c r="B146" s="101" t="n">
        <v>0.5</v>
      </c>
      <c r="C146" s="102" t="inlineStr">
        <is>
          <t>x a hunter's damage on an enemy hunter (0 &lt; x &lt;= 1)</t>
        </is>
      </c>
    </row>
    <row r="147">
      <c r="A147" s="100" t="inlineStr">
        <is>
          <t>Spawn shield</t>
        </is>
      </c>
      <c r="B147" s="101" t="n">
        <v>3</v>
      </c>
      <c r="C147" s="102" t="inlineStr">
        <is>
          <t>s of no damage after a battle respawn</t>
        </is>
      </c>
    </row>
    <row r="148">
      <c r="A148" s="100" t="inlineStr">
        <is>
          <t>Overtime HP step</t>
        </is>
      </c>
      <c r="B148" s="101" t="n">
        <v>1.25</v>
      </c>
      <c r="C148" s="102" t="inlineStr">
        <is>
          <t>x dino HP per Team overtime repeat after the last round, compounding</t>
        </is>
      </c>
    </row>
    <row r="149">
      <c r="A149" s="100" t="inlineStr">
        <is>
          <t>Survivor bonus</t>
        </is>
      </c>
      <c r="B149" s="101" t="n">
        <v>0.1</v>
      </c>
      <c r="C149" s="102" t="inlineStr">
        <is>
          <t>x Bones added for the last Royale hunter alive</t>
        </is>
      </c>
    </row>
    <row r="150">
      <c r="A150" s="100" t="inlineStr">
        <is>
          <t>Raid bones</t>
        </is>
      </c>
      <c r="B150" s="101" t="n">
        <v>0</v>
      </c>
      <c r="C150" s="102" t="inlineStr">
        <is>
          <t>Bones for knocking out an enemy tower</t>
        </is>
      </c>
    </row>
    <row r="151">
      <c r="A151" s="100" t="inlineStr">
        <is>
          <t>Team min players</t>
        </is>
      </c>
      <c r="B151" s="101" t="n">
        <v>2</v>
      </c>
      <c r="C151" s="102" t="inlineStr">
        <is>
          <t>players for a Team Battle (1v1 allowed); 3 sides need 3</t>
        </is>
      </c>
    </row>
    <row r="152">
      <c r="A152" s="100" t="inlineStr">
        <is>
          <t>Royale min players</t>
        </is>
      </c>
      <c r="B152" s="101" t="n">
        <v>3</v>
      </c>
      <c r="C152" s="102" t="inlineStr">
        <is>
          <t>players for a competitive Royale (72/23/5 needs 3)</t>
        </is>
      </c>
    </row>
    <row r="153">
      <c r="A153" s="100" t="inlineStr">
        <is>
          <t>Battle max players</t>
        </is>
      </c>
      <c r="B153" s="101" t="n">
        <v>10</v>
      </c>
      <c r="C153" s="102" t="inlineStr">
        <is>
          <t>players in one battle (Royale: one side each)</t>
        </is>
      </c>
    </row>
    <row r="154">
      <c r="A154" s="100" t="inlineStr">
        <is>
          <t>Competitive buy-in</t>
        </is>
      </c>
      <c r="B154" s="101" t="n">
        <v>15</v>
      </c>
      <c r="C154" s="102" t="inlineStr">
        <is>
          <t>Amber each player stakes (exporter: 10-20)</t>
        </is>
      </c>
    </row>
    <row r="155">
      <c r="A155" s="100" t="inlineStr">
        <is>
          <t>Team win payout</t>
        </is>
      </c>
      <c r="B155" s="101" t="n">
        <v>50</v>
      </c>
      <c r="C155" s="102" t="inlineStr">
        <is>
          <t>Amber, casual Team Battle, each winner (competitive adds the pot share)</t>
        </is>
      </c>
    </row>
    <row r="156">
      <c r="A156" s="100" t="inlineStr">
        <is>
          <t>Team loss payout</t>
        </is>
      </c>
      <c r="B156" s="101" t="n">
        <v>5</v>
      </c>
      <c r="C156" s="102" t="inlineStr">
        <is>
          <t>Amber, casual Team Battle, each loser</t>
        </is>
      </c>
    </row>
    <row r="157">
      <c r="A157" s="100" t="inlineStr">
        <is>
          <t>Royale 1st payout</t>
        </is>
      </c>
      <c r="B157" s="101" t="n">
        <v>60</v>
      </c>
      <c r="C157" s="102" t="inlineStr">
        <is>
          <t>Amber, casual Royale 1st (competitive adds the pot share)</t>
        </is>
      </c>
    </row>
    <row r="158">
      <c r="A158" s="100" t="inlineStr">
        <is>
          <t>Royale 2nd payout</t>
        </is>
      </c>
      <c r="B158" s="101" t="n">
        <v>30</v>
      </c>
      <c r="C158" s="102" t="inlineStr">
        <is>
          <t>Amber, casual Royale 2nd</t>
        </is>
      </c>
    </row>
    <row r="159">
      <c r="A159" s="100" t="inlineStr">
        <is>
          <t>Royale 3rd payout</t>
        </is>
      </c>
      <c r="B159" s="101" t="n">
        <v>10</v>
      </c>
      <c r="C159" s="102" t="inlineStr">
        <is>
          <t>Amber, casual Royale 3rd</t>
        </is>
      </c>
    </row>
    <row r="160">
      <c r="A160" s="100" t="inlineStr">
        <is>
          <t>Royale rest payout</t>
        </is>
      </c>
      <c r="B160" s="101" t="n">
        <v>5</v>
      </c>
      <c r="C160" s="102" t="inlineStr">
        <is>
          <t>Amber, casual Royale 4th and below</t>
        </is>
      </c>
    </row>
    <row r="161">
      <c r="A161" s="100" t="inlineStr">
        <is>
          <t>Royale pot 1st</t>
        </is>
      </c>
      <c r="B161" s="101" t="n">
        <v>72</v>
      </c>
      <c r="C161" s="102" t="inlineStr">
        <is>
          <t>% of the competitive pot, rounded down (the three add to 100)</t>
        </is>
      </c>
    </row>
    <row r="162">
      <c r="A162" s="100" t="inlineStr">
        <is>
          <t>Royale pot 2nd</t>
        </is>
      </c>
      <c r="B162" s="101" t="n">
        <v>23</v>
      </c>
      <c r="C162" s="102" t="inlineStr">
        <is>
          <t>% of the pot, rounded down</t>
        </is>
      </c>
    </row>
    <row r="163">
      <c r="A163" s="100" t="inlineStr">
        <is>
          <t>Royale pot 3rd</t>
        </is>
      </c>
      <c r="B163" s="101" t="n">
        <v>5</v>
      </c>
      <c r="C163" s="102" t="inlineStr">
        <is>
          <t>% of the pot, rounded down; unused shares go to 1st</t>
        </is>
      </c>
    </row>
    <row r="164">
      <c r="A164" s="100" t="inlineStr">
        <is>
          <t>Team win trophies</t>
        </is>
      </c>
      <c r="B164" s="101" t="n">
        <v>30</v>
      </c>
      <c r="C164" s="102" t="inlineStr">
        <is>
          <t>Trophies each winner gains (competitive only)</t>
        </is>
      </c>
    </row>
    <row r="165">
      <c r="A165" s="100" t="inlineStr">
        <is>
          <t>Team loss trophies</t>
        </is>
      </c>
      <c r="B165" s="101" t="n">
        <v>-30</v>
      </c>
      <c r="C165" s="102" t="inlineStr">
        <is>
          <t>Trophies each loser gains (negative = lost)</t>
        </is>
      </c>
    </row>
    <row r="166">
      <c r="A166" s="100" t="inlineStr">
        <is>
          <t>Royale 1st trophies</t>
        </is>
      </c>
      <c r="B166" s="101" t="n">
        <v>30</v>
      </c>
      <c r="C166" s="102" t="inlineStr">
        <is>
          <t>Trophies 1st gains; the rest of the top third less, the middle 0</t>
        </is>
      </c>
    </row>
    <row r="167">
      <c r="A167" s="100" t="inlineStr">
        <is>
          <t>Royale last trophies</t>
        </is>
      </c>
      <c r="B167" s="101" t="n">
        <v>-20</v>
      </c>
      <c r="C167" s="102" t="inlineStr">
        <is>
          <t>Trophies last gains (negative = lost); the rest of the bottom third less</t>
        </is>
      </c>
    </row>
    <row r="168">
      <c r="A168" s="100" t="inlineStr">
        <is>
          <t>Competitive edge max</t>
        </is>
      </c>
      <c r="B168" s="101" t="n">
        <v>0.1</v>
      </c>
      <c r="C168" s="102" t="inlineStr">
        <is>
          <t>x most a maxed hunter's perks may add over mastery 0 (PvP parity bar, T84)</t>
        </is>
      </c>
    </row>
    <row r="169">
      <c r="A169" s="100" t="inlineStr">
        <is>
          <t>Perk parity band</t>
        </is>
      </c>
      <c r="B169" s="101" t="n">
        <v>0.15</v>
      </c>
      <c r="C169" s="102" t="inlineStr">
        <is>
          <t>x every hero's perks within this of each other at mastery 10/15/20 (T84)</t>
        </is>
      </c>
    </row>
    <row r="170">
      <c r="A170" s="81" t="inlineStr">
        <is>
          <t>Battle round break</t>
        </is>
      </c>
      <c r="B170" s="81" t="n">
        <v>5</v>
      </c>
      <c r="C170" s="81" t="inlineStr">
        <is>
          <t>s after the last living side clears a round before the next starts (battles only; the round time still caps it, DECISIONS #232)</t>
        </is>
      </c>
    </row>
    <row r="171">
      <c r="A171" s="81" t="inlineStr">
        <is>
          <t>Battle results time</t>
        </is>
      </c>
      <c r="B171" s="81" t="n">
        <v>15</v>
      </c>
      <c r="C171" s="81" t="inlineStr">
        <is>
          <t>s the battle results card shows before everyone returns home (battles only; co-op keeps Results time, DECISIONS #236)</t>
        </is>
      </c>
    </row>
    <row r="172">
      <c r="A172" s="81" t="inlineStr">
        <is>
          <t>Round pace</t>
        </is>
      </c>
      <c r="B172" s="81" t="n">
        <v>0.4</v>
      </c>
      <c r="C172" s="81" t="inlineStr">
        <is>
          <t>x every species' count per round (half up, min 1; bosses kept), spawn gaps unchanged; dino HP x (unpaced round EHP x the pace factor (pace·S + W) / (S + W)) / paced round EHP, kill cash x the count ratio; S = enemies x spawn gap, W = Track walk seconds / difficulty speed; every mode (DECISIONS #250, #258)</t>
        </is>
      </c>
    </row>
    <row r="173">
      <c r="A173" s="81" t="inlineStr">
        <is>
          <t>Track walk seconds</t>
        </is>
      </c>
      <c r="B173" s="81" t="n">
        <v>14</v>
      </c>
      <c r="C173" s="81" t="inlineStr">
        <is>
          <t>s, the Rounds sheet's round length = enemies x spawn gap + this; W in the pace factor and the models (DECISIONS #250)</t>
        </is>
      </c>
    </row>
    <row r="174">
      <c r="A174" s="81" t="inlineStr">
        <is>
          <t>Casual round step</t>
        </is>
      </c>
      <c r="B174" s="81" t="n">
        <v>3</v>
      </c>
      <c r="C174" s="81" t="inlineStr">
        <is>
          <t>casual battles play every 3rd round, ending at the last: 1, 4, 7 … 40 (DECISIONS #251)</t>
        </is>
      </c>
    </row>
    <row r="175">
      <c r="A175" s="81" t="inlineStr">
        <is>
          <t>Ranked round step</t>
        </is>
      </c>
      <c r="B175" s="81" t="n">
        <v>2</v>
      </c>
      <c r="C175" s="81" t="inlineStr">
        <is>
          <t>Ranked battles play every 2nd round: 2, 4 … 40 (DECISIONS #251)</t>
        </is>
      </c>
    </row>
    <row r="176">
      <c r="A176" s="81" t="inlineStr">
        <is>
          <t>Casual match cap</t>
        </is>
      </c>
      <c r="B176" s="81" t="n">
        <v>900</v>
      </c>
      <c r="C176" s="81" t="inlineStr">
        <is>
          <t>s from Building: casual battles end here at the latest, the tie-break chain ranks everyone standing (DECISIONS #252)</t>
        </is>
      </c>
    </row>
    <row r="177">
      <c r="A177" s="81" t="inlineStr">
        <is>
          <t>Ranked match cap</t>
        </is>
      </c>
      <c r="B177" s="81" t="n">
        <v>1800</v>
      </c>
      <c r="C177" s="81" t="inlineStr">
        <is>
          <t>s from Building, Final Stampede included (DECISIONS #252)</t>
        </is>
      </c>
    </row>
    <row r="178">
      <c r="A178" s="81" t="inlineStr">
        <is>
          <t>Clock warning</t>
        </is>
      </c>
      <c r="B178" s="81" t="n">
        <v>60</v>
      </c>
      <c r="C178" s="81" t="inlineStr">
        <is>
          <t>s before the match cap: a warning banner (DECISIONS #252)</t>
        </is>
      </c>
    </row>
    <row r="179">
      <c r="A179" s="81" t="inlineStr">
        <is>
          <t>Late join cash x</t>
        </is>
      </c>
      <c r="B179" s="81" t="n">
        <v>1.1</v>
      </c>
      <c r="C179" s="81" t="inlineStr">
        <is>
          <t>x one more hunter's expected income for the rounds before the join; at least Starting cash per extra player (DECISIONS #254)</t>
        </is>
      </c>
    </row>
    <row r="180">
      <c r="A180" s="81" t="inlineStr">
        <is>
          <t>Late join last round</t>
        </is>
      </c>
      <c r="B180" s="81" t="n">
        <v>30</v>
      </c>
      <c r="C180" s="81" t="inlineStr">
        <is>
          <t>casual battles seat joiners until the end of this round (DECISIONS #254)</t>
        </is>
      </c>
    </row>
    <row r="181">
      <c r="A181" s="81" t="inlineStr">
        <is>
          <t>Bone Rush spare plots</t>
        </is>
      </c>
      <c r="B181" s="81" t="n">
        <v>2</v>
      </c>
      <c r="C181" s="81" t="inlineStr">
        <is>
          <t>extra Bone Rush plots for late joiners, within Battle max players (DECISIONS #254)</t>
        </is>
      </c>
    </row>
    <row r="182">
      <c r="A182" s="81" t="inlineStr">
        <is>
          <t>Co-op length max</t>
        </is>
      </c>
      <c r="B182" s="81" t="n">
        <v>2100</v>
      </c>
      <c r="C182" s="81" t="inlineStr">
        <is>
          <t>s, model bar only (value.py --pacing: Normal solo, 40 rounds with breaks); not a game clock (DECISIONS #250)</t>
        </is>
      </c>
    </row>
    <row r="183">
      <c r="A183" s="81" t="inlineStr">
        <is>
          <t>Battle crowd x</t>
        </is>
      </c>
      <c r="B183" s="81" t="n">
        <v>0.7</v>
      </c>
      <c r="C183" s="81" t="inlineStr">
        <is>
          <t>x every battle round's dino counts on top of Round pace (bosses kept); HP and kill cash scaled so round EHP and cash are unchanged; keeps peak live dinos under Max concurrent enemies (DECISIONS #258)</t>
        </is>
      </c>
    </row>
    <row r="184">
      <c r="A184" s="81" t="inlineStr">
        <is>
          <t>Ability tempo</t>
        </is>
      </c>
      <c r="B184" s="81" t="n">
        <v>2</v>
      </c>
      <c r="C184" s="81" t="inlineStr">
        <is>
          <t>hero ability cooldowns / this (on top of mastery), Field Hospital heal rate x this: paced rounds are shorter (DECISIONS #259); 1 to 1 / Round pace</t>
        </is>
      </c>
    </row>
    <row r="185">
      <c r="A185" s="109" t="inlineStr">
        <is>
          <t>Battle Fence drain</t>
        </is>
      </c>
      <c r="B185" s="109" t="n">
        <v>4</v>
      </c>
      <c r="C185" s="109" t="inlineStr">
        <is>
          <t>Fence per second, per side: battles only; a leak adds its cost to the side's pending loss, which comes off the Fence at most this fast and is applied in full before any match-end ranking (DECISIONS #267); co-op unchanged</t>
        </is>
      </c>
    </row>
    <row r="186">
      <c r="A186" s="109" t="inlineStr">
        <is>
          <t>Strip (s)</t>
        </is>
      </c>
      <c r="B186" s="109" t="n">
        <v>3</v>
      </c>
      <c r="C186" s="109" t="inlineStr">
        <is>
          <t>s a dino hit by a Strips armour shot stays unarmoured (Blind, Perch, Mortar options; PLAN 9c, #290); bosses half of it, as Jaw Lock (#307)</t>
        </is>
      </c>
    </row>
    <row r="187">
      <c r="A187" s="81" t="inlineStr">
        <is>
          <t>Raider sting cooldown (s)</t>
        </is>
      </c>
      <c r="B187" s="81" t="n">
        <v>3</v>
      </c>
      <c r="C187" s="81" t="inlineStr">
        <is>
          <t>s before the same enemy hunter can be stung again by this side's Raider towers (Sleeper Darts, Barbed Wire; battles only; PLAN 9d, #294)</t>
        </is>
      </c>
    </row>
    <row r="188">
      <c r="A188" s="81" t="inlineStr">
        <is>
          <t>Chain stun cap (s)</t>
        </is>
      </c>
      <c r="B188" s="81" t="n">
        <v>0.3</v>
      </c>
      <c r="C188" s="81" t="inlineStr">
        <is>
          <t>s: an arc's stun on a Chain effects coil (Supercell, Superconductor) is capped at this; the first target keeps its full stun (PLAN 9e, #297)</t>
        </is>
      </c>
    </row>
    <row r="189">
      <c r="A189" s="81" t="inlineStr">
        <is>
          <t>Bomblet fires per shell</t>
        </is>
      </c>
      <c r="B189" s="81" t="n">
        <v>6</v>
      </c>
      <c r="C189" s="81" t="inlineStr">
        <is>
          <t>fires a Fire Bomblets shell lights at most (first generation first, then the next); the rest of its bomblets still hit (Fire Bomblets, Firecracker Rain; PLAN T115b, #306)</t>
        </is>
      </c>
    </row>
    <row r="190">
      <c r="A190" s="81" t="inlineStr">
        <is>
          <t>Pool sting reach (studs)</t>
        </is>
      </c>
      <c r="B190" s="81" t="n">
        <v>12</v>
      </c>
      <c r="C190" s="81" t="inlineStr">
        <is>
          <t>studs: an on-track Raider tower (Bog Boots) stings a raider within this of the nearest point of its pool (its current length, Tar Lake included), not the whole pool; off-track Raider towers keep their range (PLAN T120b, #321)</t>
        </is>
      </c>
    </row>
    <row r="192">
      <c r="A192" s="81" t="inlineStr">
        <is>
          <t>4× TOWERS</t>
        </is>
      </c>
    </row>
    <row r="193">
      <c r="A193" s="81" t="inlineStr">
        <is>
          <t>Boss hard stop x</t>
        </is>
      </c>
      <c r="B193" s="81" t="n">
        <v>0.5</v>
      </c>
      <c r="C193" s="81" t="inlineStr">
        <is>
          <t>x a 4x hard stop (entomb, walls, nets, holds) on a boss unless the option says otherwise; hard stops never stack, the longer remaining wins (PLAN 9g common rule 4, #316)</t>
        </is>
      </c>
    </row>
    <row r="194">
      <c r="A194" s="81" t="inlineStr">
        <is>
          <t>Small size</t>
        </is>
      </c>
      <c r="B194" s="81" t="n">
        <v>2</v>
      </c>
      <c r="C194" s="81" t="inlineStr">
        <is>
          <t>"small dinos" = a non-boss at its last this many sizes (#316)</t>
        </is>
      </c>
    </row>
    <row r="195">
      <c r="A195" s="81" t="inlineStr">
        <is>
          <t>Wall min bunch</t>
        </is>
      </c>
      <c r="B195" s="81" t="n">
        <v>6</v>
      </c>
      <c r="C195" s="81" t="inlineStr">
        <is>
          <t>dinos in an area that set off a once-a-round effect at once (Shared/AutoFire, #316)</t>
        </is>
      </c>
    </row>
    <row r="196">
      <c r="A196" s="81" t="inlineStr">
        <is>
          <t>Wall reach (studs)</t>
        </is>
      </c>
      <c r="B196" s="81" t="n">
        <v>10</v>
      </c>
      <c r="C196" s="81" t="inlineStr">
        <is>
          <t>studs of track around a point counted as one bunch (Shared/AutoFire: the densest bunch)</t>
        </is>
      </c>
    </row>
    <row r="197">
      <c r="A197" s="81" t="inlineStr">
        <is>
          <t>Take-down mark radius</t>
        </is>
      </c>
      <c r="B197" s="81" t="n">
        <v>6</v>
      </c>
      <c r="C197" s="81" t="inlineStr">
        <is>
          <t>studs: a Take-down mark % take-down marks the dinos this near (Mark duration 3 s)</t>
        </is>
      </c>
    </row>
    <row r="198">
      <c r="A198" s="81" t="inlineStr">
        <is>
          <t>Round seconds (model)</t>
        </is>
      </c>
      <c r="B198" s="81" t="n">
        <v>50</v>
      </c>
      <c r="C198" s="81" t="inlineStr">
        <is>
          <t>s a round lasts in the value.py 4x metrics (per-round effects and cash a round; #313)</t>
        </is>
      </c>
    </row>
    <row r="199">
      <c r="A199" s="81" t="inlineStr">
        <is>
          <t>Walker cap per side</t>
        </is>
      </c>
      <c r="B199" s="81" t="n">
        <v>24</v>
      </c>
      <c r="C199" s="81" t="inlineStr">
        <is>
          <t>walkers (raptors, later paratroopers, rangers) a side may have out; past it none spawn (Shared/Walker, #315)</t>
        </is>
      </c>
    </row>
    <row r="201">
      <c r="A201" s="81" t="inlineStr">
        <is>
          <t>AMBER RESIN CANNON</t>
        </is>
      </c>
    </row>
    <row r="202">
      <c r="A202" s="81" t="inlineStr">
        <is>
          <t>Resin hits to entomb</t>
        </is>
      </c>
      <c r="B202" s="81" t="n">
        <v>6</v>
      </c>
      <c r="C202" s="81" t="inlineStr">
        <is>
          <t>resin a full-HP dino needs before it is entombed (x Entomb hits x x its HP-left share, at least 1; Shared/Resin)</t>
        </is>
      </c>
    </row>
    <row r="203">
      <c r="A203" s="81" t="inlineStr">
        <is>
          <t>Entomb base (s)</t>
        </is>
      </c>
      <c r="B203" s="81" t="n">
        <v>0.8</v>
      </c>
      <c r="C203" s="81" t="inlineStr">
        <is>
          <t>s an entomb holds when the build sets no Entomb (s) (a hard stop; bosses x Boss hard stop x)</t>
        </is>
      </c>
    </row>
    <row r="204">
      <c r="A204" s="81" t="inlineStr">
        <is>
          <t>Resin hit slow %</t>
        </is>
      </c>
      <c r="B204" s="81" t="n">
        <v>20</v>
      </c>
      <c r="C204" s="81" t="inlineStr">
        <is>
          <t>% slower after each resin hit (not bosses)</t>
        </is>
      </c>
    </row>
    <row r="205">
      <c r="A205" s="81" t="inlineStr">
        <is>
          <t>Resin hit slow (s)</t>
        </is>
      </c>
      <c r="B205" s="81" t="n">
        <v>1</v>
      </c>
      <c r="C205" s="81" t="inlineStr">
        <is>
          <t>s the resin-hit slow lasts</t>
        </is>
      </c>
    </row>
    <row r="206">
      <c r="A206" s="81" t="inlineStr">
        <is>
          <t>Boss entomb every (s)</t>
        </is>
      </c>
      <c r="B206" s="81" t="n">
        <v>10</v>
      </c>
      <c r="C206" s="81" t="inlineStr">
        <is>
          <t>s: a boss is entombed at most once per this, per boss</t>
        </is>
      </c>
    </row>
    <row r="207">
      <c r="A207" s="81" t="inlineStr">
        <is>
          <t>Spread reach (studs)</t>
        </is>
      </c>
      <c r="B207" s="81" t="n">
        <v>6</v>
      </c>
      <c r="C207" s="81" t="inlineStr">
        <is>
          <t>studs: Spreading Amber takes the nearest dinos this close</t>
        </is>
      </c>
    </row>
    <row r="208">
      <c r="A208" s="81" t="inlineStr">
        <is>
          <t>Sticky bed reach (studs)</t>
        </is>
      </c>
      <c r="B208" s="81" t="n">
        <v>6</v>
      </c>
      <c r="C208" s="81" t="inlineStr">
        <is>
          <t>studs: Sticky Bed slows dinos this close to an entombed one</t>
        </is>
      </c>
    </row>
    <row r="209">
      <c r="A209" s="81" t="inlineStr">
        <is>
          <t>Fossil Fuel cap %</t>
        </is>
      </c>
      <c r="B209" s="81" t="n">
        <v>30</v>
      </c>
      <c r="C209" s="81" t="inlineStr">
        <is>
          <t>% attack speed Fossil Fuel's stack reaches at most (per round)</t>
        </is>
      </c>
    </row>
    <row r="210">
      <c r="A210" s="81" t="inlineStr">
        <is>
          <t>RAPTOR PEN</t>
        </is>
      </c>
    </row>
    <row r="211">
      <c r="A211" s="81" t="inlineStr">
        <is>
          <t>Raptor HP</t>
        </is>
      </c>
      <c r="B211" s="81" t="n">
        <v>60</v>
      </c>
      <c r="C211" s="81" t="inlineStr">
        <is>
          <t>a raptor's HP (x Walker HP x x (1 + Tower HP per tier x tiers bought), as towers; Shared/Walker)</t>
        </is>
      </c>
    </row>
    <row r="212">
      <c r="A212" s="81" t="inlineStr">
        <is>
          <t>Raptor speed</t>
        </is>
      </c>
      <c r="B212" s="81" t="n">
        <v>30</v>
      </c>
      <c r="C212" s="81" t="inlineStr">
        <is>
          <t>studs/s a raptor runs along the track (home at x1.5)</t>
        </is>
      </c>
    </row>
    <row r="213">
      <c r="A213" s="81" t="inlineStr">
        <is>
          <t>Raptor reach</t>
        </is>
      </c>
      <c r="B213" s="81" t="n">
        <v>4</v>
      </c>
      <c r="C213" s="81" t="inlineStr">
        <is>
          <t>studs: a raptor this close to its target pounces / bites</t>
        </is>
      </c>
    </row>
    <row r="214">
      <c r="A214" s="81" t="inlineStr">
        <is>
          <t>Pounce hold (s)</t>
        </is>
      </c>
      <c r="B214" s="81" t="n">
        <v>0.5</v>
      </c>
      <c r="C214" s="81" t="inlineStr">
        <is>
          <t>s a pounce holds a non-boss when the build sets no Hold (s)</t>
        </is>
      </c>
    </row>
    <row r="215">
      <c r="A215" s="81" t="inlineStr">
        <is>
          <t>Retreat HP share</t>
        </is>
      </c>
      <c r="B215" s="81" t="n">
        <v>0.3</v>
      </c>
      <c r="C215" s="81" t="inlineStr">
        <is>
          <t>a raptor at or below this share of its HP runs home</t>
        </is>
      </c>
    </row>
    <row r="216">
      <c r="A216" s="81" t="inlineStr">
        <is>
          <t>Raptor respawn (s)</t>
        </is>
      </c>
      <c r="B216" s="81" t="n">
        <v>8</v>
      </c>
      <c r="C216" s="81" t="inlineStr">
        <is>
          <t>s a raptor bitten to 0 HP is gone (x Walker respawn x)</t>
        </is>
      </c>
    </row>
    <row r="217">
      <c r="A217" s="81" t="inlineStr">
        <is>
          <t>Pen heal (HP/s)</t>
        </is>
      </c>
      <c r="B217" s="81" t="n">
        <v>15</v>
      </c>
      <c r="C217" s="81" t="inlineStr">
        <is>
          <t>HP/s a raptor heals at home (it runs out again at 80 %)</t>
        </is>
      </c>
    </row>
    <row r="218">
      <c r="A218" s="81" t="inlineStr">
        <is>
          <t>Leash x</t>
        </is>
      </c>
      <c r="B218" s="81" t="n">
        <v>1.5</v>
      </c>
      <c r="C218" s="81" t="inlineStr">
        <is>
          <t>x range: a target further than this from the pen is let go</t>
        </is>
      </c>
    </row>
    <row r="219">
      <c r="A219" s="81" t="inlineStr">
        <is>
          <t>Trample size</t>
        </is>
      </c>
      <c r="B219" s="81" t="n">
        <v>3</v>
      </c>
      <c r="C219" s="81" t="inlineStr">
        <is>
          <t>a dino with at least this many sizes left tramples a raptor in its path</t>
        </is>
      </c>
    </row>
    <row r="220">
      <c r="A220" s="81" t="inlineStr">
        <is>
          <t>Trample share</t>
        </is>
      </c>
      <c r="B220" s="81" t="n">
        <v>0.25</v>
      </c>
      <c r="C220" s="81" t="inlineStr">
        <is>
          <t>x a raptor's max HP a trample takes (once per dino)</t>
        </is>
      </c>
    </row>
    <row r="221">
      <c r="A221" s="81" t="inlineStr">
        <is>
          <t>Dodge every (s)</t>
        </is>
      </c>
      <c r="B221" s="81" t="n">
        <v>3</v>
      </c>
      <c r="C221" s="81" t="inlineStr">
        <is>
          <t>Clever Girls: a raptor ignores one bite per this many s</t>
        </is>
      </c>
    </row>
    <row r="222">
      <c r="A222" s="81" t="inlineStr">
        <is>
          <t>Swarm raptors</t>
        </is>
      </c>
      <c r="B222" s="81" t="n">
        <v>10</v>
      </c>
      <c r="C222" s="81" t="inlineStr">
        <is>
          <t>Raptor Swarm: small raptors that pour out once a round</t>
        </is>
      </c>
    </row>
    <row r="223">
      <c r="A223" s="81" t="inlineStr">
        <is>
          <t>Swarm share</t>
        </is>
      </c>
      <c r="B223" s="81" t="n">
        <v>0.4</v>
      </c>
      <c r="C223" s="81" t="inlineStr">
        <is>
          <t>x a raptor's HP and bite for a Swarm raptor</t>
        </is>
      </c>
    </row>
    <row r="224">
      <c r="A224" s="81" t="inlineStr">
        <is>
          <t>Swarm (s)</t>
        </is>
      </c>
      <c r="B224" s="81" t="n">
        <v>15</v>
      </c>
      <c r="C224" s="81" t="inlineStr">
        <is>
          <t>s the Swarm hunts anywhere on your side's track, then vanishes</t>
        </is>
      </c>
    </row>
    <row r="225">
      <c r="A225" s="81" t="inlineStr">
        <is>
          <t>Charge knockback (studs)</t>
        </is>
      </c>
      <c r="B225" s="81" t="n">
        <v>6</v>
      </c>
      <c r="C225" s="81" t="inlineStr">
        <is>
          <t>Raptor Charge: small dinos a charging raptor passes are knocked back this far (not bosses)</t>
        </is>
      </c>
    </row>
    <row r="226">
      <c r="A226" s="81" t="inlineStr">
        <is>
          <t>Guard reach (studs)</t>
        </is>
      </c>
      <c r="B226" s="81" t="n">
        <v>10</v>
      </c>
      <c r="C226" s="81" t="inlineStr">
        <is>
          <t>Guard Raptors: a dino this close to a guarded tower that bites or throws at it is attacked</t>
        </is>
      </c>
    </row>
    <row r="227">
      <c r="A227" s="81" t="inlineStr">
        <is>
          <t>Roar reach (studs)</t>
        </is>
      </c>
      <c r="B227" s="81" t="n">
        <v>10</v>
      </c>
      <c r="C227" s="81" t="inlineStr">
        <is>
          <t>Rex Tamer: small dinos this close to the alpha are stunned by its roar</t>
        </is>
      </c>
    </row>
    <row r="228">
      <c r="A228" s="81" t="inlineStr">
        <is>
          <t>Hungry Alpha cap %</t>
        </is>
      </c>
      <c r="B228" s="81" t="n">
        <v>50</v>
      </c>
      <c r="C228" s="81" t="inlineStr">
        <is>
          <t>Hungry Alpha: the most its take-down stack adds this round</t>
        </is>
      </c>
    </row>
    <row r="230">
      <c r="A230" s="81" t="inlineStr">
        <is>
          <t>BONE TOTEM</t>
        </is>
      </c>
    </row>
    <row r="231">
      <c r="A231" s="81" t="inlineStr">
        <is>
          <t>Totem charge (Bones)</t>
        </is>
      </c>
      <c r="B231" s="81" t="n">
        <v>3</v>
      </c>
      <c r="C231" s="81" t="inlineStr">
        <is>
          <t>pops (a dino losing a size) inside a Bone Totem's range that fill it (x Charge needed x; Shared/Totem)</t>
        </is>
      </c>
    </row>
    <row r="232">
      <c r="A232" s="81" t="inlineStr">
        <is>
          <t>Roar breaks</t>
        </is>
      </c>
      <c r="B232" s="81" t="n">
        <v>2</v>
      </c>
      <c r="C232" s="81" t="inlineStr">
        <is>
          <t>sizes the Spirit Roar may drop on each dino it hits (a Size breaks tier raises it)</t>
        </is>
      </c>
    </row>
    <row r="233">
      <c r="A233" s="81" t="inlineStr">
        <is>
          <t>Fear knockback (studs)</t>
        </is>
      </c>
      <c r="B233" s="81" t="n">
        <v>8</v>
      </c>
      <c r="C233" s="81" t="inlineStr">
        <is>
          <t>the most the roar knocks a small dino back (Fear: Knockback (studs); never a boss)</t>
        </is>
      </c>
    </row>
    <row r="234">
      <c r="A234" s="81" t="inlineStr">
        <is>
          <t>Shatter strip (s)</t>
        </is>
      </c>
      <c r="B234" s="81" t="n">
        <v>4</v>
      </c>
      <c r="C234" s="81" t="inlineStr">
        <is>
          <t>s a dino hit by a Shatter Roar stays unarmoured (bosses half, as Strip (s))</t>
        </is>
      </c>
    </row>
    <row r="235">
      <c r="A235" s="81" t="inlineStr">
        <is>
          <t>Skull x</t>
        </is>
      </c>
      <c r="B235" s="81" t="n">
        <v>0.6</v>
      </c>
      <c r="C235" s="81" t="inlineStr">
        <is>
          <t>x the roar's damage for each Skull Storm skull (one dino each, breaks 1)</t>
        </is>
      </c>
    </row>
    <row r="236">
      <c r="A236" s="81" t="inlineStr">
        <is>
          <t>Spirit hunters</t>
        </is>
      </c>
      <c r="B236" s="81" t="n">
        <v>3</v>
      </c>
      <c r="C236" s="81" t="inlineStr">
        <is>
          <t>ghost hunters a full Spirit Hunters totem calls</t>
        </is>
      </c>
    </row>
    <row r="237">
      <c r="A237" s="81" t="inlineStr">
        <is>
          <t>Spirit hunter damage</t>
        </is>
      </c>
      <c r="B237" s="81" t="n">
        <v>8</v>
      </c>
      <c r="C237" s="81" t="inlineStr">
        <is>
          <t>a ghost hunter's shot (x the team's level)</t>
        </is>
      </c>
    </row>
    <row r="238">
      <c r="A238" s="81" t="inlineStr">
        <is>
          <t>Spirit hunter rate</t>
        </is>
      </c>
      <c r="B238" s="81" t="n">
        <v>2</v>
      </c>
      <c r="C238" s="81" t="inlineStr">
        <is>
          <t>shots a second per ghost hunter</t>
        </is>
      </c>
    </row>
    <row r="239">
      <c r="A239" s="81" t="inlineStr">
        <is>
          <t>Spirit (s)</t>
        </is>
      </c>
      <c r="B239" s="81" t="n">
        <v>6</v>
      </c>
      <c r="C239" s="81" t="inlineStr">
        <is>
          <t>s the ghost hunters stay</t>
        </is>
      </c>
    </row>
    <row r="240">
      <c r="A240" s="81" t="inlineStr">
        <is>
          <t>Full buff (s)</t>
        </is>
      </c>
      <c r="B240" s="81" t="n">
        <v>6</v>
      </c>
      <c r="C240" s="81" t="inlineStr">
        <is>
          <t>s War Paint's hunter buff lasts after a full charge</t>
        </is>
      </c>
    </row>
    <row r="241">
      <c r="A241" s="81" t="inlineStr">
        <is>
          <t>Finisher %</t>
        </is>
      </c>
      <c r="B241" s="81" t="n">
        <v>25</v>
      </c>
      <c r="C241" s="81" t="inlineStr">
        <is>
          <t>Finishing Roar: a boss in range dropping below this % of its HP gets one free roar (once per boss)</t>
        </is>
      </c>
    </row>
    <row r="242">
      <c r="A242" s="81" t="inlineStr">
        <is>
          <t>Treasure cash</t>
        </is>
      </c>
      <c r="B242" s="81" t="n">
        <v>1500</v>
      </c>
      <c r="C242" s="81" t="inlineStr">
        <is>
          <t>Ancient Treasure: the first full charge of the match also drops a chest worth this</t>
        </is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15" customWidth="1" style="81" min="1" max="1"/>
    <col width="24" customWidth="1" style="81" min="2" max="2"/>
    <col width="9" customWidth="1" style="81" min="3" max="3"/>
    <col width="10" customWidth="1" style="81" min="4" max="4"/>
    <col width="12" customWidth="1" style="81" min="5" max="5"/>
    <col width="11" customWidth="1" style="81" min="6" max="6"/>
    <col width="10" customWidth="1" style="81" min="7" max="7"/>
    <col width="11" customWidth="1" style="81" min="8" max="8"/>
    <col width="9" customWidth="1" style="81" min="9" max="9"/>
    <col width="13" customWidth="1" style="81" min="10" max="10"/>
    <col width="54" customWidth="1" style="81" min="11" max="11"/>
    <col width="8.67188" customWidth="1" style="81" min="12" max="12"/>
    <col width="8.67188" customWidth="1" style="81" min="13" max="16384"/>
    <col width="13" customWidth="1" style="90" min="14" max="14"/>
    <col width="13" customWidth="1" style="90" min="16" max="16"/>
    <col width="13" customWidth="1" style="90" min="17" max="17"/>
    <col width="13" customWidth="1" style="90" min="18" max="18"/>
  </cols>
  <sheetData>
    <row r="1" ht="18.5" customHeight="1" s="90">
      <c r="A1" s="2" t="inlineStr">
        <is>
          <t>TOWERS — base stats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  <c r="L1" s="39" t="n"/>
    </row>
    <row r="2" ht="13.65" customHeight="1" s="90">
      <c r="A2" s="5" t="inlineStr">
        <is>
          <t>Purchase cost and tier-0 stats. Upgrade scaling lives on the Tower Upgrades sheet.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7" t="n"/>
      <c r="L2" s="40" t="n"/>
    </row>
    <row r="3" ht="13.55" customHeight="1" s="90">
      <c r="A3" s="19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41" t="n"/>
      <c r="L3" s="42" t="n"/>
    </row>
    <row r="4" ht="27.75" customHeight="1" s="90">
      <c r="A4" s="21" t="inlineStr">
        <is>
          <t>Tower</t>
        </is>
      </c>
      <c r="B4" s="21" t="inlineStr">
        <is>
          <t>Role</t>
        </is>
      </c>
      <c r="C4" s="21" t="inlineStr">
        <is>
          <t>Cost</t>
        </is>
      </c>
      <c r="D4" s="21" t="inlineStr">
        <is>
          <t>Damage</t>
        </is>
      </c>
      <c r="E4" s="21" t="inlineStr">
        <is>
          <t>Fire rate /s</t>
        </is>
      </c>
      <c r="F4" s="21" t="inlineStr">
        <is>
          <t>Targets hit</t>
        </is>
      </c>
      <c r="G4" s="21" t="inlineStr">
        <is>
          <t>Base DPS</t>
        </is>
      </c>
      <c r="H4" s="21" t="inlineStr">
        <is>
          <t>Range (m)</t>
        </is>
      </c>
      <c r="I4" s="21" t="inlineStr">
        <is>
          <t>Hits air</t>
        </is>
      </c>
      <c r="J4" s="21" t="inlineStr">
        <is>
          <t>Income/round</t>
        </is>
      </c>
      <c r="K4" s="21" t="inlineStr">
        <is>
          <t>Design note</t>
        </is>
      </c>
      <c r="L4" s="21" t="inlineStr">
        <is>
          <t>Splash radius (m)</t>
        </is>
      </c>
      <c r="M4" s="21" t="inlineStr">
        <is>
          <t>Slow %</t>
        </is>
      </c>
      <c r="N4" s="21" t="inlineStr">
        <is>
          <t>Unlock cost (amber)</t>
        </is>
      </c>
      <c r="O4" s="21" t="inlineStr">
        <is>
          <t>Key</t>
        </is>
      </c>
      <c r="P4" s="21" t="inlineStr">
        <is>
          <t>Max HP</t>
        </is>
      </c>
      <c r="Q4" s="21" t="inlineStr">
        <is>
          <t>Heal /s</t>
        </is>
      </c>
      <c r="R4" s="21" t="inlineStr">
        <is>
          <t>Resist %</t>
        </is>
      </c>
      <c r="S4" s="21" t="inlineStr">
        <is>
          <t>Upgrade cost growth</t>
        </is>
      </c>
      <c r="T4" s="21" t="inlineStr">
        <is>
          <t>Untouchable</t>
        </is>
      </c>
      <c r="U4" s="21" t="inlineStr">
        <is>
          <t>On track</t>
        </is>
      </c>
      <c r="V4" s="21" t="inlineStr">
        <is>
          <t>Chains</t>
        </is>
      </c>
      <c r="W4" s="81" t="inlineStr">
        <is>
          <t>Birds</t>
        </is>
      </c>
      <c r="X4" s="81" t="inlineStr">
        <is>
          <t>Harpoons</t>
        </is>
      </c>
      <c r="Y4" s="81" t="inlineStr">
        <is>
          <t>Resin</t>
        </is>
      </c>
      <c r="Z4" s="81" t="inlineStr">
        <is>
          <t>Walkers</t>
        </is>
      </c>
    </row>
    <row r="5" ht="13.65" customHeight="1" s="90">
      <c r="A5" s="43" t="inlineStr">
        <is>
          <t>Hunting Blind</t>
        </is>
      </c>
      <c r="B5" s="43" t="inlineStr">
        <is>
          <t>Cheap single-target DPS</t>
        </is>
      </c>
      <c r="C5" s="27" t="n">
        <v>200</v>
      </c>
      <c r="D5" s="91" t="n">
        <v>1</v>
      </c>
      <c r="E5" s="30" t="n">
        <v>3</v>
      </c>
      <c r="F5" s="27" t="n">
        <v>1</v>
      </c>
      <c r="G5" s="92">
        <f t="array" ref="G5">D5*E5*F5</f>
        <v/>
      </c>
      <c r="H5" s="27" t="n">
        <v>20</v>
      </c>
      <c r="I5" s="46" t="inlineStr">
        <is>
          <t>Yes</t>
        </is>
      </c>
      <c r="J5" s="27" t="n">
        <v>0</v>
      </c>
      <c r="K5" s="47" t="inlineStr">
        <is>
          <t>Spam early, never stop buying. The DPS baseline everything else is measured against.</t>
        </is>
      </c>
      <c r="L5" s="27" t="n">
        <v>0</v>
      </c>
      <c r="M5" s="27" t="n">
        <v>0</v>
      </c>
      <c r="N5" s="27" t="n">
        <v>0</v>
      </c>
      <c r="O5" s="43" t="inlineStr">
        <is>
          <t>SCOUT</t>
        </is>
      </c>
      <c r="P5" s="27" t="n">
        <v>100</v>
      </c>
      <c r="Q5" s="27" t="n">
        <v>0</v>
      </c>
      <c r="R5" s="27" t="n">
        <v>0</v>
      </c>
    </row>
    <row r="6" ht="13.65" customHeight="1" s="90">
      <c r="A6" s="43" t="inlineStr">
        <is>
          <t>Longshot Perch</t>
        </is>
      </c>
      <c r="B6" s="43" t="inlineStr">
        <is>
          <t>Global range, slow</t>
        </is>
      </c>
      <c r="C6" s="27" t="n">
        <v>350</v>
      </c>
      <c r="D6" s="91" t="n">
        <v>9</v>
      </c>
      <c r="E6" s="30" t="n">
        <v>0.45</v>
      </c>
      <c r="F6" s="27" t="n">
        <v>1</v>
      </c>
      <c r="G6" s="92">
        <f t="array" ref="G6">D6*E6*F6</f>
        <v/>
      </c>
      <c r="H6" s="27" t="n">
        <v>999</v>
      </c>
      <c r="I6" s="46" t="inlineStr">
        <is>
          <t>Yes</t>
        </is>
      </c>
      <c r="J6" s="27" t="n">
        <v>0</v>
      </c>
      <c r="K6" s="47" t="inlineStr">
        <is>
          <t>Range covers the whole map. Your answer to anything the ground towers cannot reach.</t>
        </is>
      </c>
      <c r="L6" s="27" t="n">
        <v>0</v>
      </c>
      <c r="M6" s="27" t="n">
        <v>0</v>
      </c>
      <c r="N6" s="27" t="n">
        <v>0</v>
      </c>
      <c r="O6" s="43" t="inlineStr">
        <is>
          <t>SNIPER</t>
        </is>
      </c>
      <c r="P6" s="27" t="n">
        <v>80</v>
      </c>
      <c r="Q6" s="27" t="n">
        <v>0</v>
      </c>
      <c r="R6" s="27" t="n">
        <v>0</v>
      </c>
    </row>
    <row r="7" ht="13.65" customHeight="1" s="90">
      <c r="A7" s="43" t="inlineStr">
        <is>
          <t>Mortar Pit</t>
        </is>
      </c>
      <c r="B7" s="43" t="inlineStr">
        <is>
          <t>Area damage, ground only</t>
        </is>
      </c>
      <c r="C7" s="27" t="n">
        <v>550</v>
      </c>
      <c r="D7" s="91" t="n">
        <v>5</v>
      </c>
      <c r="E7" s="30" t="n">
        <v>1</v>
      </c>
      <c r="F7" s="27" t="n">
        <v>3</v>
      </c>
      <c r="G7" s="92">
        <f t="array" ref="G7">D7*E7*F7</f>
        <v/>
      </c>
      <c r="H7" s="27" t="n">
        <v>18</v>
      </c>
      <c r="I7" s="46" t="inlineStr">
        <is>
          <t>No</t>
        </is>
      </c>
      <c r="J7" s="27" t="n">
        <v>0</v>
      </c>
      <c r="K7" s="47" t="inlineStr">
        <is>
          <t>Targets hit = average enemies caught per blast. Cannot hit air at all, by design.</t>
        </is>
      </c>
      <c r="L7" s="27" t="n">
        <v>6</v>
      </c>
      <c r="M7" s="27" t="n">
        <v>0</v>
      </c>
      <c r="N7" s="27" t="n">
        <v>0</v>
      </c>
      <c r="O7" s="43" t="inlineStr">
        <is>
          <t>GRENADIER</t>
        </is>
      </c>
      <c r="P7" s="27" t="n">
        <v>150</v>
      </c>
      <c r="Q7" s="27" t="n">
        <v>0</v>
      </c>
      <c r="R7" s="27" t="n">
        <v>0</v>
      </c>
    </row>
    <row r="8" ht="13.65" customHeight="1" s="90">
      <c r="A8" s="43" t="inlineStr">
        <is>
          <t>Tranq Station</t>
        </is>
      </c>
      <c r="B8" s="43" t="inlineStr">
        <is>
          <t>Tranquilizer darts: slows and knocks out</t>
        </is>
      </c>
      <c r="C8" s="27" t="n">
        <v>400</v>
      </c>
      <c r="D8" s="91" t="n">
        <v>0.5</v>
      </c>
      <c r="E8" s="30" t="n">
        <v>1</v>
      </c>
      <c r="F8" s="27" t="n">
        <v>4</v>
      </c>
      <c r="G8" s="92">
        <f t="array" ref="G8">D8*E8*F8</f>
        <v/>
      </c>
      <c r="H8" s="27" t="n">
        <v>12</v>
      </c>
      <c r="I8" s="46" t="inlineStr">
        <is>
          <t>Yes</t>
        </is>
      </c>
      <c r="J8" s="27" t="n">
        <v>0</v>
      </c>
      <c r="K8" s="47" t="inlineStr">
        <is>
          <t>Damage is nearly irrelevant. Its value is the slow, which multiplies every tower nearby.</t>
        </is>
      </c>
      <c r="L8" s="27" t="n">
        <v>6</v>
      </c>
      <c r="M8" s="27" t="n">
        <v>40</v>
      </c>
      <c r="N8" s="27" t="n">
        <v>100</v>
      </c>
      <c r="O8" s="43" t="inlineStr">
        <is>
          <t>CHILLER</t>
        </is>
      </c>
      <c r="P8" s="27" t="n">
        <v>120</v>
      </c>
      <c r="Q8" s="27" t="n">
        <v>0</v>
      </c>
      <c r="R8" s="27" t="n">
        <v>0</v>
      </c>
    </row>
    <row r="9" ht="13.65" customHeight="1" s="90">
      <c r="A9" s="43" t="inlineStr">
        <is>
          <t>Supply Camp</t>
        </is>
      </c>
      <c r="B9" s="43" t="inlineStr">
        <is>
          <t>Economy, no attack</t>
        </is>
      </c>
      <c r="C9" s="27" t="n">
        <v>1000</v>
      </c>
      <c r="D9" s="91" t="n">
        <v>0</v>
      </c>
      <c r="E9" s="30" t="n">
        <v>0</v>
      </c>
      <c r="F9" s="27" t="n">
        <v>0</v>
      </c>
      <c r="G9" s="92">
        <f t="array" ref="G9">D9*E9*F9</f>
        <v/>
      </c>
      <c r="H9" s="27" t="n">
        <v>20</v>
      </c>
      <c r="I9" s="46" t="inlineStr">
        <is>
          <t>No</t>
        </is>
      </c>
      <c r="J9" s="27" t="n">
        <v>150</v>
      </c>
      <c r="K9" s="47" t="inlineStr">
        <is>
          <t>Never shoots. Decides whether round 35 is affordable.</t>
        </is>
      </c>
      <c r="L9" s="27" t="n">
        <v>0</v>
      </c>
      <c r="M9" s="27" t="n">
        <v>0</v>
      </c>
      <c r="N9" s="27" t="n">
        <v>150</v>
      </c>
      <c r="O9" s="43" t="inlineStr">
        <is>
          <t>QUARTERMASTER</t>
        </is>
      </c>
      <c r="P9" s="27" t="n">
        <v>200</v>
      </c>
      <c r="Q9" s="27" t="n">
        <v>0</v>
      </c>
      <c r="R9" s="27" t="n">
        <v>0</v>
      </c>
      <c r="S9" s="98" t="n">
        <v>1.6</v>
      </c>
    </row>
    <row r="10" ht="13.55" customHeight="1" s="90">
      <c r="A10" s="43" t="inlineStr">
        <is>
          <t>Field Hospital</t>
        </is>
      </c>
      <c r="B10" s="43" t="inlineStr">
        <is>
          <t>Support: heals towers and hunters, no attack</t>
        </is>
      </c>
      <c r="C10" s="27" t="n">
        <v>450</v>
      </c>
      <c r="D10" s="91" t="n">
        <v>0</v>
      </c>
      <c r="E10" s="30" t="n">
        <v>0</v>
      </c>
      <c r="F10" s="27" t="n">
        <v>0</v>
      </c>
      <c r="G10" s="92">
        <f t="array" ref="G10">D10*E10*F10</f>
        <v/>
      </c>
      <c r="H10" s="27" t="n">
        <v>15</v>
      </c>
      <c r="I10" s="46" t="inlineStr">
        <is>
          <t>No</t>
        </is>
      </c>
      <c r="J10" s="27" t="n">
        <v>0</v>
      </c>
      <c r="K10" s="47" t="inlineStr">
        <is>
          <t>Never shoots. Heals standing towers and hunters in range; its paths revive trampled towers, drop med kits and toughen towers.</t>
        </is>
      </c>
      <c r="L10" s="27" t="n">
        <v>0</v>
      </c>
      <c r="M10" s="27" t="n">
        <v>0</v>
      </c>
      <c r="N10" s="27" t="n">
        <v>100</v>
      </c>
      <c r="O10" s="43" t="inlineStr">
        <is>
          <t>HOSPITAL</t>
        </is>
      </c>
      <c r="P10" s="27" t="n">
        <v>150</v>
      </c>
      <c r="Q10" s="27" t="n">
        <v>3</v>
      </c>
      <c r="R10" s="27" t="n">
        <v>0</v>
      </c>
    </row>
    <row r="11" ht="13.65" customHeight="1" s="90">
      <c r="A11" s="43" t="inlineStr">
        <is>
          <t>Armory</t>
        </is>
      </c>
      <c r="B11" s="43" t="inlineStr">
        <is>
          <t>Defence: damage resistance, no attack</t>
        </is>
      </c>
      <c r="C11" s="27" t="n">
        <v>600</v>
      </c>
      <c r="D11" s="91" t="n">
        <v>0</v>
      </c>
      <c r="E11" s="30" t="n">
        <v>0</v>
      </c>
      <c r="F11" s="27" t="n">
        <v>0</v>
      </c>
      <c r="G11" s="92">
        <f t="array" ref="G11">D11*E11*F11</f>
        <v/>
      </c>
      <c r="H11" s="27" t="n">
        <v>15</v>
      </c>
      <c r="I11" s="46" t="inlineStr">
        <is>
          <t>No</t>
        </is>
      </c>
      <c r="J11" s="27" t="n">
        <v>0</v>
      </c>
      <c r="K11" s="47" t="inlineStr">
        <is>
          <t>Never shoots. Towers and hunters in range take less damage; its paths add thorns, tower buffs and hunter handling.</t>
        </is>
      </c>
      <c r="L11" s="27" t="n">
        <v>0</v>
      </c>
      <c r="M11" s="27" t="n">
        <v>0</v>
      </c>
      <c r="N11" s="27" t="n">
        <v>150</v>
      </c>
      <c r="O11" s="43" t="inlineStr">
        <is>
          <t>ARMORY</t>
        </is>
      </c>
      <c r="P11" s="27" t="n">
        <v>250</v>
      </c>
      <c r="Q11" s="27" t="n">
        <v>0</v>
      </c>
      <c r="R11" s="27" t="n">
        <v>15</v>
      </c>
    </row>
    <row r="13">
      <c r="A13" s="43" t="inlineStr">
        <is>
          <t>Cost per DPS (Scout baseline)</t>
        </is>
      </c>
      <c r="B13" s="52" t="n"/>
      <c r="C13" s="92">
        <f t="array" ref="C13">C5/G5</f>
        <v/>
      </c>
      <c r="D13" s="53" t="inlineStr">
        <is>
          <t>Cash needed to buy 1 DPS at tier 0. Balance Check uses this.</t>
        </is>
      </c>
    </row>
    <row r="15">
      <c r="A15" s="43" t="inlineStr">
        <is>
          <t>Storm Coil</t>
        </is>
      </c>
      <c r="B15" s="43" t="inlineStr">
        <is>
          <t>Chain lightning: crowds and air</t>
        </is>
      </c>
      <c r="C15" s="27" t="n">
        <v>400</v>
      </c>
      <c r="D15" s="91" t="n">
        <v>6</v>
      </c>
      <c r="E15" s="30" t="n">
        <v>1</v>
      </c>
      <c r="F15" s="27" t="n">
        <v>1</v>
      </c>
      <c r="G15" s="92">
        <f>D15*E15*F15</f>
        <v/>
      </c>
      <c r="H15" s="27" t="n">
        <v>14</v>
      </c>
      <c r="I15" s="46" t="inlineStr">
        <is>
          <t>Yes</t>
        </is>
      </c>
      <c r="J15" s="27" t="n">
        <v>0</v>
      </c>
      <c r="K15" s="47" t="inlineStr">
        <is>
          <t>Each strike arcs from dino to dino (falloff per arc, breaks 1). Short own range. TOWERS_NEXT.md.</t>
        </is>
      </c>
      <c r="L15" s="27" t="n">
        <v>0</v>
      </c>
      <c r="M15" s="27" t="n">
        <v>0</v>
      </c>
      <c r="N15" s="27" t="n">
        <v>300</v>
      </c>
      <c r="O15" s="43" t="inlineStr">
        <is>
          <t>COIL</t>
        </is>
      </c>
      <c r="P15" s="27" t="n">
        <v>150</v>
      </c>
      <c r="Q15" s="27" t="n">
        <v>0</v>
      </c>
      <c r="R15" s="27" t="n">
        <v>0</v>
      </c>
      <c r="V15" s="46" t="inlineStr">
        <is>
          <t>Yes</t>
        </is>
      </c>
    </row>
    <row r="16">
      <c r="A16" s="43" t="inlineStr">
        <is>
          <t>Falcon Roost</t>
        </is>
      </c>
      <c r="B16" s="43" t="inlineStr">
        <is>
          <t>Birds of prey: huge range, can't be damaged</t>
        </is>
      </c>
      <c r="C16" s="27" t="n">
        <v>400</v>
      </c>
      <c r="D16" s="91" t="n">
        <v>3</v>
      </c>
      <c r="E16" s="30" t="n">
        <v>1.33</v>
      </c>
      <c r="F16" s="27" t="n">
        <v>1</v>
      </c>
      <c r="G16" s="92">
        <f>D16*E16*F16</f>
        <v/>
      </c>
      <c r="H16" s="27" t="n">
        <v>40</v>
      </c>
      <c r="I16" s="46" t="inlineStr">
        <is>
          <t>Yes</t>
        </is>
      </c>
      <c r="J16" s="27" t="n">
        <v>0</v>
      </c>
      <c r="K16" s="47" t="inlineStr">
        <is>
          <t>Falcons fly out, dive and return. No HP: dinos ignore it, never repaired (DECISIONS #148).</t>
        </is>
      </c>
      <c r="L16" s="27" t="n">
        <v>0</v>
      </c>
      <c r="M16" s="27" t="n">
        <v>0</v>
      </c>
      <c r="N16" s="27" t="n">
        <v>200</v>
      </c>
      <c r="O16" s="43" t="inlineStr">
        <is>
          <t>FALCON</t>
        </is>
      </c>
      <c r="P16" s="27" t="n">
        <v>0</v>
      </c>
      <c r="Q16" s="27" t="n">
        <v>0</v>
      </c>
      <c r="R16" s="27" t="n">
        <v>0</v>
      </c>
      <c r="T16" s="46" t="inlineStr">
        <is>
          <t>Yes</t>
        </is>
      </c>
      <c r="W16" s="81" t="n">
        <v>2</v>
      </c>
    </row>
    <row r="17">
      <c r="A17" s="43" t="inlineStr">
        <is>
          <t>Tar Pit</t>
        </is>
      </c>
      <c r="B17" s="43" t="inlineStr">
        <is>
          <t>Tar on the track: slows and sinks, can't be damaged</t>
        </is>
      </c>
      <c r="C17" s="27" t="n">
        <v>450</v>
      </c>
      <c r="D17" s="91" t="n">
        <v>0</v>
      </c>
      <c r="E17" s="30" t="n">
        <v>0</v>
      </c>
      <c r="F17" s="27" t="n">
        <v>0</v>
      </c>
      <c r="G17" s="92">
        <f>D17*E17*F17</f>
        <v/>
      </c>
      <c r="H17" s="27" t="n">
        <v>12</v>
      </c>
      <c r="I17" s="46" t="inlineStr">
        <is>
          <t>No</t>
        </is>
      </c>
      <c r="J17" s="27" t="n">
        <v>0</v>
      </c>
      <c r="K17" s="47" t="inlineStr">
        <is>
          <t>Placed ON the track (DECISIONS #152); Range = the pool's length of track. No HP (#148).</t>
        </is>
      </c>
      <c r="L17" s="27" t="n">
        <v>0</v>
      </c>
      <c r="M17" s="27" t="n">
        <v>25</v>
      </c>
      <c r="N17" s="27" t="n">
        <v>250</v>
      </c>
      <c r="O17" s="43" t="inlineStr">
        <is>
          <t>TARPIT</t>
        </is>
      </c>
      <c r="P17" s="27" t="n">
        <v>0</v>
      </c>
      <c r="Q17" s="27" t="n">
        <v>0</v>
      </c>
      <c r="R17" s="27" t="n">
        <v>0</v>
      </c>
      <c r="T17" s="46" t="inlineStr">
        <is>
          <t>Yes</t>
        </is>
      </c>
      <c r="U17" s="46" t="inlineStr">
        <is>
          <t>Yes</t>
        </is>
      </c>
    </row>
    <row r="18">
      <c r="A18" s="43" t="inlineStr">
        <is>
          <t>Harpoon Ballista</t>
        </is>
      </c>
      <c r="B18" s="43" t="inlineStr">
        <is>
          <t>The heaviest single hit: pierce-through</t>
        </is>
      </c>
      <c r="C18" s="27" t="n">
        <v>500</v>
      </c>
      <c r="D18" s="91" t="n">
        <v>12</v>
      </c>
      <c r="E18" s="30" t="n">
        <v>0.5</v>
      </c>
      <c r="F18" s="27" t="n">
        <v>1</v>
      </c>
      <c r="G18" s="92">
        <f>D18*E18*F18</f>
        <v/>
      </c>
      <c r="H18" s="27" t="n">
        <v>24</v>
      </c>
      <c r="I18" s="46" t="inlineStr">
        <is>
          <t>Yes</t>
        </is>
      </c>
      <c r="J18" s="27" t="n">
        <v>0</v>
      </c>
      <c r="K18" s="47" t="inlineStr">
        <is>
          <t>One heavy bolt every 2.5 s; its Spearhead path breaks several sizes (pierce-through).</t>
        </is>
      </c>
      <c r="L18" s="27" t="n">
        <v>0</v>
      </c>
      <c r="M18" s="27" t="n">
        <v>0</v>
      </c>
      <c r="N18" s="27" t="n">
        <v>300</v>
      </c>
      <c r="O18" s="43" t="inlineStr">
        <is>
          <t>BALLISTA</t>
        </is>
      </c>
      <c r="P18" s="27" t="n">
        <v>150</v>
      </c>
      <c r="Q18" s="27" t="n">
        <v>0</v>
      </c>
      <c r="R18" s="27" t="n">
        <v>0</v>
      </c>
      <c r="X18" s="81" t="inlineStr">
        <is>
          <t>Yes</t>
        </is>
      </c>
    </row>
    <row r="19">
      <c r="A19" s="81" t="inlineStr">
        <is>
          <t>Amber Resin Cannon</t>
        </is>
      </c>
      <c r="B19" s="81" t="inlineStr">
        <is>
          <t>Control: resin slows, entombs and fossilizes</t>
        </is>
      </c>
      <c r="C19" s="81" t="n">
        <v>800</v>
      </c>
      <c r="D19" s="81" t="n">
        <v>2</v>
      </c>
      <c r="E19" s="81" t="n">
        <v>1</v>
      </c>
      <c r="F19" s="81" t="n">
        <v>1</v>
      </c>
      <c r="G19" s="81">
        <f>D19*E19*F19</f>
        <v/>
      </c>
      <c r="H19" s="81" t="n">
        <v>18</v>
      </c>
      <c r="I19" s="81" t="inlineStr">
        <is>
          <t>No</t>
        </is>
      </c>
      <c r="J19" s="81" t="n">
        <v>0</v>
      </c>
      <c r="K19" s="81" t="inlineStr">
        <is>
          <t>Resin globs: slows, entombs (hard stop), fossils. TOWERS_LATER.md.</t>
        </is>
      </c>
      <c r="L19" s="81" t="n">
        <v>0</v>
      </c>
      <c r="M19" s="81" t="n">
        <v>0</v>
      </c>
      <c r="N19" s="81" t="n">
        <v>500</v>
      </c>
      <c r="O19" s="81" t="inlineStr">
        <is>
          <t>RESIN</t>
        </is>
      </c>
      <c r="P19" s="81" t="n">
        <v>150</v>
      </c>
      <c r="Q19" s="81" t="n">
        <v>0</v>
      </c>
      <c r="R19" s="81" t="n">
        <v>0</v>
      </c>
      <c r="Y19" s="81" t="inlineStr">
        <is>
          <t>Yes</t>
        </is>
      </c>
    </row>
    <row r="20">
      <c r="A20" s="81" t="inlineStr">
        <is>
          <t>Raptor Pen</t>
        </is>
      </c>
      <c r="B20" s="81" t="inlineStr">
        <is>
          <t>Tamed raptors: they run out, bite and come back</t>
        </is>
      </c>
      <c r="C20" s="81" t="n">
        <v>600</v>
      </c>
      <c r="D20" s="81" t="n">
        <v>10</v>
      </c>
      <c r="E20" s="81" t="n">
        <v>2.3</v>
      </c>
      <c r="F20" s="81" t="n">
        <v>1</v>
      </c>
      <c r="G20" s="81">
        <f>D20*E20*F20</f>
        <v/>
      </c>
      <c r="H20" s="81" t="n">
        <v>22</v>
      </c>
      <c r="I20" s="81" t="inlineStr">
        <is>
          <t>No</t>
        </is>
      </c>
      <c r="J20" s="81" t="n">
        <v>0</v>
      </c>
      <c r="K20" s="81" t="inlineStr">
        <is>
          <t>Tamed raptors sprint out, pounce, bite and come back; they can be bitten. TOWERS_LATER.md.</t>
        </is>
      </c>
      <c r="L20" s="81" t="n">
        <v>0</v>
      </c>
      <c r="M20" s="81" t="n">
        <v>0</v>
      </c>
      <c r="N20" s="81" t="n">
        <v>500</v>
      </c>
      <c r="O20" s="81" t="inlineStr">
        <is>
          <t>RAPTOR</t>
        </is>
      </c>
      <c r="P20" s="81" t="n">
        <v>150</v>
      </c>
      <c r="Q20" s="81" t="n">
        <v>0</v>
      </c>
      <c r="R20" s="81" t="n">
        <v>0</v>
      </c>
      <c r="Z20" s="81" t="n">
        <v>1</v>
      </c>
    </row>
    <row r="21">
      <c r="A21" s="81" t="inlineStr">
        <is>
          <t>Bone Totem</t>
        </is>
      </c>
      <c r="B21" s="81" t="inlineStr">
        <is>
          <t>Bones charge it: a roar, buffs or cash</t>
        </is>
      </c>
      <c r="C21" s="81" t="n">
        <v>600</v>
      </c>
      <c r="D21" s="81" t="n">
        <v>60</v>
      </c>
      <c r="E21" s="81" t="n">
        <v>0</v>
      </c>
      <c r="F21" s="81" t="n">
        <v>1</v>
      </c>
      <c r="G21" s="81">
        <f>D21*E21*F21</f>
        <v/>
      </c>
      <c r="H21" s="81" t="n">
        <v>24</v>
      </c>
      <c r="I21" s="81" t="inlineStr">
        <is>
          <t>Yes</t>
        </is>
      </c>
      <c r="J21" s="81" t="n">
        <v>0</v>
      </c>
      <c r="K21" s="81" t="inlineStr">
        <is>
          <t>Bones taken near it charge it; full = Spirit Roar (area, breaks 2). Never adds Bones to any score. TOWERS_LATER.md.</t>
        </is>
      </c>
      <c r="L21" s="81" t="n">
        <v>0</v>
      </c>
      <c r="M21" s="81" t="n">
        <v>0</v>
      </c>
      <c r="N21" s="81" t="n">
        <v>450</v>
      </c>
      <c r="O21" s="81" t="inlineStr">
        <is>
          <t>TOTEM</t>
        </is>
      </c>
      <c r="P21" s="81" t="n">
        <v>200</v>
      </c>
      <c r="Q21" s="81" t="n">
        <v>0</v>
      </c>
      <c r="R21" s="81" t="n">
        <v>0</v>
      </c>
      <c r="Z21" s="81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382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15" customWidth="1" style="81" min="1" max="1"/>
    <col width="14" customWidth="1" style="81" min="2" max="2"/>
    <col width="16" customWidth="1" style="81" min="3" max="3"/>
    <col width="7" customWidth="1" style="81" min="4" max="4"/>
    <col width="13" customWidth="1" style="81" min="5" max="5"/>
    <col width="15" customWidth="1" style="81" min="6" max="6"/>
    <col width="10" customWidth="1" style="81" min="7" max="7"/>
    <col width="9" customWidth="1" style="81" min="8" max="8"/>
    <col width="10" customWidth="1" style="81" min="9" max="9"/>
    <col width="13" customWidth="1" style="81" min="10" max="10"/>
    <col width="12" customWidth="1" style="81" min="11" max="11"/>
    <col width="10" customWidth="1" style="81" min="12" max="12"/>
    <col width="22" customWidth="1" style="81" min="13" max="13"/>
    <col width="12" customWidth="1" style="81" min="14" max="30"/>
    <col width="12" customWidth="1" style="81" min="31" max="16384"/>
    <col width="12" customWidth="1" style="90" min="32" max="32"/>
    <col width="12" customWidth="1" style="90" min="33" max="33"/>
    <col width="12" customWidth="1" style="90" min="34" max="34"/>
    <col width="12" customWidth="1" style="90" min="35" max="35"/>
    <col width="12" customWidth="1" style="90" min="36" max="36"/>
    <col width="12" customWidth="1" style="90" min="37" max="37"/>
    <col width="12" customWidth="1" style="90" min="38" max="38"/>
    <col width="12" customWidth="1" style="90" min="39" max="39"/>
    <col width="12" customWidth="1" style="90" min="40" max="40"/>
    <col width="12" customWidth="1" style="90" min="41" max="41"/>
    <col width="12" customWidth="1" style="90" min="42" max="42"/>
    <col width="12" customWidth="1" style="90" min="43" max="43"/>
    <col width="12" customWidth="1" style="90" min="44" max="44"/>
    <col width="12" customWidth="1" style="90" min="45" max="45"/>
    <col width="12" customWidth="1" style="90" min="46" max="46"/>
  </cols>
  <sheetData>
    <row r="1" ht="18.5" customHeight="1" s="90">
      <c r="A1" s="2" t="inlineStr">
        <is>
          <t>TOWER UPGRADES — 11 towers x 3 paths x 5 tiers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  <c r="L1" s="39" t="n"/>
      <c r="M1" s="39" t="n"/>
      <c r="N1" s="36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</row>
    <row r="2" ht="13.65" customHeight="1" s="90">
      <c r="A2" s="5" t="inlineStr">
        <is>
          <t>Multipliers are blue because they define each path's character. Costs are formulas off Tuning. Range x multiplies the tower's base range (range-focus paths only). Name is the tier's in-game name (full design: UPGRADES.md). Columns from 'Pierces armour' on are ability values, cumulative per tier; blank = none. A/B/C (PLAN Phase 9, DECISIONS #275): tiers 1-3 rows are cumulative; a tier-4 or tier-5 row is one option (Option A/B/C, Blurb = its card line, max 60 chars) and holds ONLY ITS OWN STEP over the tier below (x columns multiply, amounts take the higher, flags add, overrides replace; blank = no change). The exporter composes every build. New options are appended at the bottom.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7" t="n"/>
      <c r="L2" s="40" t="n"/>
      <c r="M2" s="40" t="n"/>
      <c r="N2" s="8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7" t="n"/>
    </row>
    <row r="3" ht="13.55" customHeight="1" s="90">
      <c r="A3" s="19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41" t="n"/>
      <c r="L3" s="42" t="n"/>
      <c r="M3" s="42" t="n"/>
      <c r="N3" s="19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41" t="n"/>
    </row>
    <row r="4" ht="27.75" customHeight="1" s="90">
      <c r="A4" s="21" t="inlineStr">
        <is>
          <t>Tower</t>
        </is>
      </c>
      <c r="B4" s="21" t="inlineStr">
        <is>
          <t>Path</t>
        </is>
      </c>
      <c r="C4" s="21" t="inlineStr">
        <is>
          <t>Path focus</t>
        </is>
      </c>
      <c r="D4" s="21" t="inlineStr">
        <is>
          <t>Tier</t>
        </is>
      </c>
      <c r="E4" s="21" t="inlineStr">
        <is>
          <t>Upgrade cost</t>
        </is>
      </c>
      <c r="F4" s="21" t="inlineStr">
        <is>
          <t>Cumulative cost</t>
        </is>
      </c>
      <c r="G4" s="21" t="inlineStr">
        <is>
          <t>Damage x</t>
        </is>
      </c>
      <c r="H4" s="21" t="inlineStr">
        <is>
          <t>Rate x</t>
        </is>
      </c>
      <c r="I4" s="21" t="inlineStr">
        <is>
          <t>Targets x</t>
        </is>
      </c>
      <c r="J4" s="21" t="inlineStr">
        <is>
          <t>Resulting DPS</t>
        </is>
      </c>
      <c r="K4" s="21" t="inlineStr">
        <is>
          <t>Cost per DPS</t>
        </is>
      </c>
      <c r="L4" s="21" t="inlineStr">
        <is>
          <t>Range x</t>
        </is>
      </c>
      <c r="M4" s="21" t="inlineStr">
        <is>
          <t>Name</t>
        </is>
      </c>
      <c r="N4" s="21" t="inlineStr">
        <is>
          <t>Pierces armour</t>
        </is>
      </c>
      <c r="O4" s="21" t="inlineStr">
        <is>
          <t>Armoured x</t>
        </is>
      </c>
      <c r="P4" s="21" t="inlineStr">
        <is>
          <t>Boss x</t>
        </is>
      </c>
      <c r="Q4" s="21" t="inlineStr">
        <is>
          <t>Shots</t>
        </is>
      </c>
      <c r="R4" s="21" t="inlineStr">
        <is>
          <t>Line hits</t>
        </is>
      </c>
      <c r="S4" s="21" t="inlineStr">
        <is>
          <t>Splash x</t>
        </is>
      </c>
      <c r="T4" s="21" t="inlineStr">
        <is>
          <t>Mark %</t>
        </is>
      </c>
      <c r="U4" s="21" t="inlineStr">
        <is>
          <t>Stun (s)</t>
        </is>
      </c>
      <c r="V4" s="21" t="inlineStr">
        <is>
          <t>Stuns bosses</t>
        </is>
      </c>
      <c r="W4" s="21" t="inlineStr">
        <is>
          <t>Knockback (studs)</t>
        </is>
      </c>
      <c r="X4" s="21" t="inlineStr">
        <is>
          <t>Burn DPS</t>
        </is>
      </c>
      <c r="Y4" s="21" t="inlineStr">
        <is>
          <t>Burn (s)</t>
        </is>
      </c>
      <c r="Z4" s="21" t="inlineStr">
        <is>
          <t>Bomblets</t>
        </is>
      </c>
      <c r="AA4" s="21" t="inlineStr">
        <is>
          <t>Bomblet generations</t>
        </is>
      </c>
      <c r="AB4" s="21" t="inlineStr">
        <is>
          <t>Aura rate %</t>
        </is>
      </c>
      <c r="AC4" s="21" t="inlineStr">
        <is>
          <t>Aura damage %</t>
        </is>
      </c>
      <c r="AD4" s="21" t="inlineStr">
        <is>
          <t>Aura pierces armour</t>
        </is>
      </c>
      <c r="AE4" s="21" t="inlineStr">
        <is>
          <t>Slow %</t>
        </is>
      </c>
      <c r="AF4" s="21" t="inlineStr">
        <is>
          <t>Slow linger (s)</t>
        </is>
      </c>
      <c r="AG4" s="21" t="inlineStr">
        <is>
          <t>Slows bosses</t>
        </is>
      </c>
      <c r="AH4" s="21" t="inlineStr">
        <is>
          <t>Freeze every (s)</t>
        </is>
      </c>
      <c r="AI4" s="21" t="inlineStr">
        <is>
          <t>Freeze (s)</t>
        </is>
      </c>
      <c r="AJ4" s="21" t="inlineStr">
        <is>
          <t>Freeze damage</t>
        </is>
      </c>
      <c r="AK4" s="21" t="inlineStr">
        <is>
          <t>Freeze holds bosses</t>
        </is>
      </c>
      <c r="AL4" s="21" t="inlineStr">
        <is>
          <t>Brittle %</t>
        </is>
      </c>
      <c r="AM4" s="21" t="inlineStr">
        <is>
          <t>Strips armour</t>
        </is>
      </c>
      <c r="AN4" s="21" t="inlineStr">
        <is>
          <t>Income x</t>
        </is>
      </c>
      <c r="AO4" s="21" t="inlineStr">
        <is>
          <t>Interest %</t>
        </is>
      </c>
      <c r="AP4" s="21" t="inlineStr">
        <is>
          <t>Interest cap</t>
        </is>
      </c>
      <c r="AQ4" s="21" t="inlineStr">
        <is>
          <t>Chests</t>
        </is>
      </c>
      <c r="AR4" s="21" t="inlineStr">
        <is>
          <t>Chest cash</t>
        </is>
      </c>
      <c r="AS4" s="21" t="inlineStr">
        <is>
          <t>Upgrade discount %</t>
        </is>
      </c>
      <c r="AT4" s="21" t="inlineStr">
        <is>
          <t>Sell refund</t>
        </is>
      </c>
      <c r="AU4" s="21" t="inlineStr">
        <is>
          <t>Resist %</t>
        </is>
      </c>
      <c r="AV4" s="21" t="inlineStr">
        <is>
          <t>Thorns damage</t>
        </is>
      </c>
      <c r="AW4" s="21" t="inlineStr">
        <is>
          <t>Stuns biters (s)</t>
        </is>
      </c>
      <c r="AX4" s="21" t="inlineStr">
        <is>
          <t>Hunter recoil x</t>
        </is>
      </c>
      <c r="AY4" s="21" t="inlineStr">
        <is>
          <t>Hunter reload x</t>
        </is>
      </c>
      <c r="AZ4" s="21" t="inlineStr">
        <is>
          <t>Hunter spread x</t>
        </is>
      </c>
      <c r="BA4" s="21" t="inlineStr">
        <is>
          <t>Hunter fire rate %</t>
        </is>
      </c>
      <c r="BB4" s="21" t="inlineStr">
        <is>
          <t>Heal x</t>
        </is>
      </c>
      <c r="BC4" s="21" t="inlineStr">
        <is>
          <t>Revives</t>
        </is>
      </c>
      <c r="BD4" s="21" t="inlineStr">
        <is>
          <t>Revive speed x</t>
        </is>
      </c>
      <c r="BE4" s="21" t="inlineStr">
        <is>
          <t>Med kits</t>
        </is>
      </c>
      <c r="BF4" s="21" t="inlineStr">
        <is>
          <t>Med kit heal</t>
        </is>
      </c>
      <c r="BG4" s="21" t="inlineStr">
        <is>
          <t>Rescue beacon (respawn x)</t>
        </is>
      </c>
      <c r="BH4" s="21" t="inlineStr">
        <is>
          <t>Aura HP %</t>
        </is>
      </c>
      <c r="BI4" s="21" t="inlineStr">
        <is>
          <t>Last stand</t>
        </is>
      </c>
      <c r="BJ4" s="104" t="inlineStr">
        <is>
          <t>Size breaks</t>
        </is>
      </c>
      <c r="BK4" s="104" t="inlineStr">
        <is>
          <t>Arcs</t>
        </is>
      </c>
      <c r="BL4" s="104" t="inlineStr">
        <is>
          <t>Arc reach</t>
        </is>
      </c>
      <c r="BM4" s="104" t="inlineStr">
        <is>
          <t>Arc forks</t>
        </is>
      </c>
      <c r="BN4" s="104" t="inlineStr">
        <is>
          <t>Arc jumps</t>
        </is>
      </c>
      <c r="BO4" s="104" t="inlineStr">
        <is>
          <t>Power grid</t>
        </is>
      </c>
      <c r="BP4" s="104" t="inlineStr">
        <is>
          <t>Static %</t>
        </is>
      </c>
      <c r="BQ4" s="104" t="inlineStr">
        <is>
          <t>Judgement bolt</t>
        </is>
      </c>
      <c r="BR4" s="104" t="inlineStr">
        <is>
          <t>Grounding every (s)</t>
        </is>
      </c>
      <c r="BS4" s="104" t="inlineStr">
        <is>
          <t>Aura arc %</t>
        </is>
      </c>
      <c r="BT4" s="81" t="inlineStr">
        <is>
          <t>Birds</t>
        </is>
      </c>
      <c r="BU4" s="81" t="inlineStr">
        <is>
          <t>First dive x</t>
        </is>
      </c>
      <c r="BV4" s="81" t="inlineStr">
        <is>
          <t>Eagle</t>
        </is>
      </c>
      <c r="BW4" s="81" t="inlineStr">
        <is>
          <t>Murmuration</t>
        </is>
      </c>
      <c r="BX4" s="81" t="inlineStr">
        <is>
          <t>Boss mark %</t>
        </is>
      </c>
      <c r="BY4" s="81" t="inlineStr">
        <is>
          <t>Dive aura rate %</t>
        </is>
      </c>
      <c r="BZ4" s="81" t="inlineStr">
        <is>
          <t>Skewer</t>
        </is>
      </c>
      <c r="CA4" s="81" t="inlineStr">
        <is>
          <t>Tow line</t>
        </is>
      </c>
      <c r="CB4" s="81" t="inlineStr">
        <is>
          <t>Chain harpoons</t>
        </is>
      </c>
      <c r="CC4" s="81" t="inlineStr">
        <is>
          <t>Sink seconds</t>
        </is>
      </c>
      <c r="CD4" s="81" t="inlineStr">
        <is>
          <t>Sink cash</t>
        </is>
      </c>
      <c r="CE4" s="81" t="inlineStr">
        <is>
          <t>Sink chest cash</t>
        </is>
      </c>
      <c r="CF4" s="81" t="inlineStr">
        <is>
          <t>Eruption</t>
        </is>
      </c>
      <c r="CG4" s="81" t="inlineStr">
        <is>
          <t>Tracks slow %</t>
        </is>
      </c>
      <c r="CH4" s="81" t="inlineStr">
        <is>
          <t>Aura vs slowed %</t>
        </is>
      </c>
      <c r="CI4" s="81" t="inlineStr">
        <is>
          <t>Option</t>
        </is>
      </c>
      <c r="CJ4" s="81" t="inlineStr">
        <is>
          <t>Blurb</t>
        </is>
      </c>
      <c r="CK4" s="109" t="inlineStr">
        <is>
          <t>PvP effect</t>
        </is>
      </c>
      <c r="CL4" s="81" t="inlineStr">
        <is>
          <t>Raider slow %</t>
        </is>
      </c>
      <c r="CM4" s="81" t="inlineStr">
        <is>
          <t>Raider slow (s)</t>
        </is>
      </c>
      <c r="CN4" s="81" t="inlineStr">
        <is>
          <t>Raider damage</t>
        </is>
      </c>
      <c r="CO4" s="81" t="inlineStr">
        <is>
          <t>Bounty cash</t>
        </is>
      </c>
      <c r="CP4" s="81" t="inlineStr">
        <is>
          <t>Biter slow %</t>
        </is>
      </c>
      <c r="CQ4" s="81" t="inlineStr">
        <is>
          <t>Biter slow (s)</t>
        </is>
      </c>
      <c r="CR4" s="81" t="inlineStr">
        <is>
          <t>Field strike every (s)</t>
        </is>
      </c>
      <c r="CS4" s="81" t="inlineStr">
        <is>
          <t>Field strike x</t>
        </is>
      </c>
      <c r="CT4" s="81" t="inlineStr">
        <is>
          <t>Chain effects</t>
        </is>
      </c>
      <c r="CU4" s="81" t="inlineStr">
        <is>
          <t>Targets biggest</t>
        </is>
      </c>
      <c r="CV4" s="81" t="inlineStr">
        <is>
          <t>Entomb (s)</t>
        </is>
      </c>
      <c r="CW4" s="81" t="inlineStr">
        <is>
          <t>Entomb hits x</t>
        </is>
      </c>
      <c r="CX4" s="81" t="inlineStr">
        <is>
          <t>Entomb amp %</t>
        </is>
      </c>
      <c r="CY4" s="81" t="inlineStr">
        <is>
          <t>Entomb spread</t>
        </is>
      </c>
      <c r="CZ4" s="81" t="inlineStr">
        <is>
          <t>Entomb slow %</t>
        </is>
      </c>
      <c r="DA4" s="81" t="inlineStr">
        <is>
          <t>Entomb all every (s)</t>
        </is>
      </c>
      <c r="DB4" s="81" t="inlineStr">
        <is>
          <t>Boss entomb (s)</t>
        </is>
      </c>
      <c r="DC4" s="81" t="inlineStr">
        <is>
          <t>Send back (studs)</t>
        </is>
      </c>
      <c r="DD4" s="81" t="inlineStr">
        <is>
          <t>Fossil below %</t>
        </is>
      </c>
      <c r="DE4" s="81" t="inlineStr">
        <is>
          <t>Fossil rate %</t>
        </is>
      </c>
      <c r="DF4" s="81" t="inlineStr">
        <is>
          <t>Bounty fossils x</t>
        </is>
      </c>
      <c r="DG4" s="81" t="inlineStr">
        <is>
          <t>Heart every (fossils)</t>
        </is>
      </c>
      <c r="DH4" s="81" t="inlineStr">
        <is>
          <t>Seal (s)</t>
        </is>
      </c>
      <c r="DI4" s="81" t="inlineStr">
        <is>
          <t>Seal every (s)</t>
        </is>
      </c>
      <c r="DJ4" s="81" t="inlineStr">
        <is>
          <t>Seal heal %</t>
        </is>
      </c>
      <c r="DK4" s="81" t="inlineStr">
        <is>
          <t>Reflect damage</t>
        </is>
      </c>
      <c r="DL4" s="81" t="inlineStr">
        <is>
          <t>Wall (s)</t>
        </is>
      </c>
      <c r="DM4" s="81" t="inlineStr">
        <is>
          <t>Take-down mark %</t>
        </is>
      </c>
      <c r="DN4" s="81" t="inlineStr">
        <is>
          <t>Walkers</t>
        </is>
      </c>
      <c r="DO4" s="81" t="inlineStr">
        <is>
          <t>Walker HP x</t>
        </is>
      </c>
      <c r="DP4" s="81" t="inlineStr">
        <is>
          <t>Walker speed x</t>
        </is>
      </c>
      <c r="DQ4" s="81" t="inlineStr">
        <is>
          <t>Walker resist %</t>
        </is>
      </c>
      <c r="DR4" s="81" t="inlineStr">
        <is>
          <t>Walker respawn x</t>
        </is>
      </c>
      <c r="DS4" s="81" t="inlineStr">
        <is>
          <t>Hold (s)</t>
        </is>
      </c>
      <c r="DT4" s="81" t="inlineStr">
        <is>
          <t>Boss hold (s)</t>
        </is>
      </c>
      <c r="DU4" s="81" t="inlineStr">
        <is>
          <t>Flanking</t>
        </is>
      </c>
      <c r="DV4" s="81" t="inlineStr">
        <is>
          <t>Targets first</t>
        </is>
      </c>
      <c r="DW4" s="81" t="inlineStr">
        <is>
          <t>Hits air</t>
        </is>
      </c>
      <c r="DX4" s="81" t="inlineStr">
        <is>
          <t>Heals between rounds</t>
        </is>
      </c>
      <c r="DY4" s="81" t="inlineStr">
        <is>
          <t>Dodge</t>
        </is>
      </c>
      <c r="DZ4" s="81" t="inlineStr">
        <is>
          <t>Alpha</t>
        </is>
      </c>
      <c r="EA4" s="81" t="inlineStr">
        <is>
          <t>Swarm</t>
        </is>
      </c>
      <c r="EB4" s="81" t="inlineStr">
        <is>
          <t>Charge</t>
        </is>
      </c>
      <c r="EC4" s="81" t="inlineStr">
        <is>
          <t>Guard</t>
        </is>
      </c>
      <c r="ED4" s="81" t="inlineStr">
        <is>
          <t>Stun roar every (s)</t>
        </is>
      </c>
      <c r="EE4" s="81" t="inlineStr">
        <is>
          <t>Take-down stack %</t>
        </is>
      </c>
      <c r="EF4" s="81" t="inlineStr">
        <is>
          <t>Avenger x</t>
        </is>
      </c>
      <c r="EG4" s="81" t="inlineStr">
        <is>
          <t>Hunter damage %</t>
        </is>
      </c>
      <c r="EH4" s="81" t="inlineStr">
        <is>
          <t>Charge x</t>
        </is>
      </c>
      <c r="EI4" s="81" t="inlineStr">
        <is>
          <t>Hunter charge x</t>
        </is>
      </c>
      <c r="EJ4" s="81" t="inlineStr">
        <is>
          <t>Boss charge %</t>
        </is>
      </c>
      <c r="EK4" s="81" t="inlineStr">
        <is>
          <t>Bounty charge x</t>
        </is>
      </c>
      <c r="EL4" s="81" t="inlineStr">
        <is>
          <t>Charge needed x</t>
        </is>
      </c>
      <c r="EM4" s="81" t="inlineStr">
        <is>
          <t>Roar echoes</t>
        </is>
      </c>
      <c r="EN4" s="81" t="inlineStr">
        <is>
          <t>Roar whole track</t>
        </is>
      </c>
      <c r="EO4" s="81" t="inlineStr">
        <is>
          <t>Skulls</t>
        </is>
      </c>
      <c r="EP4" s="81" t="inlineStr">
        <is>
          <t>Full guard (s)</t>
        </is>
      </c>
      <c r="EQ4" s="81" t="inlineStr">
        <is>
          <t>Spirit hunters</t>
        </is>
      </c>
      <c r="ER4" s="81" t="inlineStr">
        <is>
          <t>Full cash</t>
        </is>
      </c>
      <c r="ES4" s="81" t="inlineStr">
        <is>
          <t>Payday cash</t>
        </is>
      </c>
      <c r="ET4" s="81" t="inlineStr">
        <is>
          <t>Treasure</t>
        </is>
      </c>
      <c r="EU4" s="81" t="inlineStr">
        <is>
          <t>Charge aura damage %</t>
        </is>
      </c>
      <c r="EV4" s="81" t="inlineStr">
        <is>
          <t>Hunter ability cooldown x</t>
        </is>
      </c>
      <c r="EW4" s="81" t="inlineStr">
        <is>
          <t>Side aura half</t>
        </is>
      </c>
      <c r="EX4" s="81" t="inlineStr">
        <is>
          <t>Bone cash</t>
        </is>
      </c>
      <c r="EY4" s="81" t="inlineStr">
        <is>
          <t>Bank cash per charge</t>
        </is>
      </c>
      <c r="EZ4" s="81" t="inlineStr">
        <is>
          <t>Finishing roar</t>
        </is>
      </c>
      <c r="FA4" s="81" t="inlineStr">
        <is>
          <t>Aura range %</t>
        </is>
      </c>
    </row>
    <row r="5" ht="13.65" customHeight="1" s="90">
      <c r="A5" s="43" t="inlineStr">
        <is>
          <t>Hunting Blind</t>
        </is>
      </c>
      <c r="B5" s="43" t="inlineStr">
        <is>
          <t>Lookout</t>
        </is>
      </c>
      <c r="C5" s="43" t="inlineStr">
        <is>
          <t>range</t>
        </is>
      </c>
      <c r="D5" s="56" t="n">
        <v>1</v>
      </c>
      <c r="E5" s="56">
        <f t="array" ref="E5">ROUND('Towers'!$C$5*POWER('Tuning'!$B$12,D5),0)</f>
        <v/>
      </c>
      <c r="F5" s="56">
        <f t="array" ref="F5">'Towers'!$C$5+E5</f>
        <v/>
      </c>
      <c r="G5" s="57" t="n">
        <v>1.3</v>
      </c>
      <c r="H5" s="57" t="n">
        <v>1.15</v>
      </c>
      <c r="I5" s="57" t="n">
        <v>1</v>
      </c>
      <c r="J5" s="92">
        <f t="array" ref="J5">'Towers'!$G$5*G5*H5*I5</f>
        <v/>
      </c>
      <c r="K5" s="92">
        <f t="array" ref="K5">IF(J5=0,0,F5/J5)</f>
        <v/>
      </c>
      <c r="L5" s="57" t="n">
        <v>1.15</v>
      </c>
      <c r="M5" s="43" t="inlineStr">
        <is>
          <t>Keen Eyes</t>
        </is>
      </c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</row>
    <row r="6" ht="13.65" customHeight="1" s="90">
      <c r="A6" s="43" t="inlineStr">
        <is>
          <t>Hunting Blind</t>
        </is>
      </c>
      <c r="B6" s="43" t="inlineStr">
        <is>
          <t>Lookout</t>
        </is>
      </c>
      <c r="C6" s="43" t="inlineStr">
        <is>
          <t>range</t>
        </is>
      </c>
      <c r="D6" s="56" t="n">
        <v>2</v>
      </c>
      <c r="E6" s="56">
        <f t="array" ref="E6">ROUND('Towers'!$C$5*POWER('Tuning'!$B$12,D6),0)</f>
        <v/>
      </c>
      <c r="F6" s="56">
        <f t="array" ref="F6">F5+E6</f>
        <v/>
      </c>
      <c r="G6" s="57" t="n">
        <v>1.69</v>
      </c>
      <c r="H6" s="57" t="n">
        <v>1.32</v>
      </c>
      <c r="I6" s="57" t="n">
        <v>1</v>
      </c>
      <c r="J6" s="92">
        <f t="array" ref="J6">'Towers'!$G$5*G6*H6*I6</f>
        <v/>
      </c>
      <c r="K6" s="92">
        <f t="array" ref="K6">IF(J6=0,0,F6/J6)</f>
        <v/>
      </c>
      <c r="L6" s="57" t="n">
        <v>1.3</v>
      </c>
      <c r="M6" s="43" t="inlineStr">
        <is>
          <t>Spyglass</t>
        </is>
      </c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  <c r="AJ6" s="57" t="n"/>
      <c r="AK6" s="57" t="n"/>
      <c r="AL6" s="57" t="n"/>
      <c r="AM6" s="57" t="n"/>
      <c r="AN6" s="57" t="n"/>
      <c r="AO6" s="57" t="n"/>
      <c r="AP6" s="57" t="n"/>
      <c r="AQ6" s="57" t="n"/>
      <c r="AR6" s="57" t="n"/>
      <c r="AS6" s="57" t="n"/>
      <c r="AT6" s="57" t="n"/>
    </row>
    <row r="7" ht="13.65" customHeight="1" s="90">
      <c r="A7" s="43" t="inlineStr">
        <is>
          <t>Hunting Blind</t>
        </is>
      </c>
      <c r="B7" s="43" t="inlineStr">
        <is>
          <t>Lookout</t>
        </is>
      </c>
      <c r="C7" s="43" t="inlineStr">
        <is>
          <t>range</t>
        </is>
      </c>
      <c r="D7" s="56" t="n">
        <v>3</v>
      </c>
      <c r="E7" s="56">
        <f t="array" ref="E7">ROUND('Towers'!$C$5*POWER('Tuning'!$B$12,D7),0)</f>
        <v/>
      </c>
      <c r="F7" s="56">
        <f t="array" ref="F7">F6+E7</f>
        <v/>
      </c>
      <c r="G7" s="57" t="n">
        <v>2.2</v>
      </c>
      <c r="H7" s="57" t="n">
        <v>1.52</v>
      </c>
      <c r="I7" s="57" t="n">
        <v>1</v>
      </c>
      <c r="J7" s="92">
        <f t="array" ref="J7">'Towers'!$G$5*G7*H7*I7</f>
        <v/>
      </c>
      <c r="K7" s="92">
        <f t="array" ref="K7">IF(J7=0,0,F7/J7)</f>
        <v/>
      </c>
      <c r="L7" s="57" t="n">
        <v>1.5</v>
      </c>
      <c r="M7" s="43" t="inlineStr">
        <is>
          <t>Flare Gun</t>
        </is>
      </c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>
        <v>10</v>
      </c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</row>
    <row r="8" ht="13.65" customHeight="1" s="90">
      <c r="A8" s="43" t="inlineStr">
        <is>
          <t>Hunting Blind</t>
        </is>
      </c>
      <c r="B8" s="43" t="inlineStr">
        <is>
          <t>Lookout</t>
        </is>
      </c>
      <c r="C8" s="43" t="inlineStr">
        <is>
          <t>range</t>
        </is>
      </c>
      <c r="D8" s="56" t="n">
        <v>4</v>
      </c>
      <c r="E8" s="56">
        <f t="array" ref="E8">ROUND('Towers'!$C$5*POWER('Tuning'!$B$12,D8),0)</f>
        <v/>
      </c>
      <c r="F8" s="56">
        <f t="array" ref="F8">F7+E8</f>
        <v/>
      </c>
      <c r="G8" s="57" t="n">
        <v>1.3</v>
      </c>
      <c r="H8" s="57" t="n">
        <v>1.151315789474</v>
      </c>
      <c r="I8" s="57" t="n">
        <v>1</v>
      </c>
      <c r="J8" s="92">
        <f t="array" ref="J8">'Towers'!$G$5*G8*H8*I8</f>
        <v/>
      </c>
      <c r="K8" s="92">
        <f t="array" ref="K8">IF(J8=0,0,F8/J8)</f>
        <v/>
      </c>
      <c r="L8" s="57" t="n">
        <v>1.166666666667</v>
      </c>
      <c r="M8" s="43" t="inlineStr">
        <is>
          <t>Watch Post</t>
        </is>
      </c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CI8" s="81" t="inlineStr">
        <is>
          <t>A</t>
        </is>
      </c>
      <c r="CJ8" s="81" t="inlineStr">
        <is>
          <t>Sees further, and shoots faster and harder</t>
        </is>
      </c>
    </row>
    <row r="9" ht="13.65" customHeight="1" s="90">
      <c r="A9" s="43" t="inlineStr">
        <is>
          <t>Hunting Blind</t>
        </is>
      </c>
      <c r="B9" s="43" t="inlineStr">
        <is>
          <t>Lookout</t>
        </is>
      </c>
      <c r="C9" s="43" t="inlineStr">
        <is>
          <t>range</t>
        </is>
      </c>
      <c r="D9" s="56" t="n">
        <v>5</v>
      </c>
      <c r="E9" s="56">
        <f t="array" ref="E9">ROUND('Towers'!$C$5*POWER('Tuning'!$B$12,D9),0)</f>
        <v/>
      </c>
      <c r="F9" s="56">
        <f t="array" ref="F9">F8+E9</f>
        <v/>
      </c>
      <c r="G9" s="57" t="n">
        <v>1.297202797203</v>
      </c>
      <c r="H9" s="57" t="n">
        <v>1.148571428571</v>
      </c>
      <c r="I9" s="57" t="n">
        <v>1</v>
      </c>
      <c r="J9" s="92">
        <f t="array" ref="J9">'Towers'!$G$5*G9*H9*I9</f>
        <v/>
      </c>
      <c r="K9" s="92">
        <f t="array" ref="K9">IF(J9=0,0,F9/J9)</f>
        <v/>
      </c>
      <c r="L9" s="57" t="n">
        <v>1.142857142857</v>
      </c>
      <c r="M9" s="43" t="inlineStr">
        <is>
          <t>Signal Tower</t>
        </is>
      </c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>
        <v>20</v>
      </c>
      <c r="AD9" s="46" t="inlineStr">
        <is>
          <t>Yes</t>
        </is>
      </c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CI9" s="81" t="inlineStr">
        <is>
          <t>A</t>
        </is>
      </c>
      <c r="CJ9" s="81" t="inlineStr">
        <is>
          <t>Towers in range hit harder and can hurt armour</t>
        </is>
      </c>
    </row>
    <row r="10" ht="13.65" customHeight="1" s="90">
      <c r="A10" s="43" t="inlineStr">
        <is>
          <t>Hunting Blind</t>
        </is>
      </c>
      <c r="B10" s="43" t="inlineStr">
        <is>
          <t>Trigger Happy</t>
        </is>
      </c>
      <c r="C10" s="43" t="inlineStr">
        <is>
          <t>rate</t>
        </is>
      </c>
      <c r="D10" s="56" t="n">
        <v>1</v>
      </c>
      <c r="E10" s="56">
        <f t="array" ref="E10">ROUND('Towers'!$C$5*POWER('Tuning'!$B$12,D10),0)</f>
        <v/>
      </c>
      <c r="F10" s="56">
        <f t="array" ref="F10">'Towers'!$C$5+E10</f>
        <v/>
      </c>
      <c r="G10" s="57" t="n">
        <v>1.35</v>
      </c>
      <c r="H10" s="57" t="n">
        <v>1.42</v>
      </c>
      <c r="I10" s="57" t="n">
        <v>1</v>
      </c>
      <c r="J10" s="92">
        <f t="array" ref="J10">'Towers'!$G$5*G10*H10*I10</f>
        <v/>
      </c>
      <c r="K10" s="92">
        <f t="array" ref="K10">IF(J10=0,0,F10/J10)</f>
        <v/>
      </c>
      <c r="L10" s="57" t="n">
        <v>1</v>
      </c>
      <c r="M10" s="43" t="inlineStr">
        <is>
          <t>Quick Hands</t>
        </is>
      </c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  <c r="AG10" s="57" t="n"/>
      <c r="AH10" s="57" t="n"/>
      <c r="AI10" s="57" t="n"/>
      <c r="AJ10" s="57" t="n"/>
      <c r="AK10" s="57" t="n"/>
      <c r="AL10" s="57" t="n"/>
      <c r="AM10" s="57" t="n"/>
      <c r="AN10" s="57" t="n"/>
      <c r="AO10" s="57" t="n"/>
      <c r="AP10" s="57" t="n"/>
      <c r="AQ10" s="57" t="n"/>
      <c r="AR10" s="57" t="n"/>
      <c r="AS10" s="57" t="n"/>
      <c r="AT10" s="57" t="n"/>
    </row>
    <row r="11" ht="13.65" customHeight="1" s="90">
      <c r="A11" s="43" t="inlineStr">
        <is>
          <t>Hunting Blind</t>
        </is>
      </c>
      <c r="B11" s="43" t="inlineStr">
        <is>
          <t>Trigger Happy</t>
        </is>
      </c>
      <c r="C11" s="43" t="inlineStr">
        <is>
          <t>rate</t>
        </is>
      </c>
      <c r="D11" s="56" t="n">
        <v>2</v>
      </c>
      <c r="E11" s="56">
        <f t="array" ref="E11">ROUND('Towers'!$C$5*POWER('Tuning'!$B$12,D11),0)</f>
        <v/>
      </c>
      <c r="F11" s="56">
        <f t="array" ref="F11">F10+E11</f>
        <v/>
      </c>
      <c r="G11" s="57" t="n">
        <v>1.82</v>
      </c>
      <c r="H11" s="57" t="n">
        <v>2.02</v>
      </c>
      <c r="I11" s="57" t="n">
        <v>1</v>
      </c>
      <c r="J11" s="92">
        <f t="array" ref="J11">'Towers'!$G$5*G11*H11*I11</f>
        <v/>
      </c>
      <c r="K11" s="92">
        <f t="array" ref="K11">IF(J11=0,0,F11/J11)</f>
        <v/>
      </c>
      <c r="L11" s="57" t="n">
        <v>1</v>
      </c>
      <c r="M11" s="43" t="inlineStr">
        <is>
          <t>Extended Mag</t>
        </is>
      </c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</row>
    <row r="12" ht="13.65" customHeight="1" s="90">
      <c r="A12" s="43" t="inlineStr">
        <is>
          <t>Hunting Blind</t>
        </is>
      </c>
      <c r="B12" s="43" t="inlineStr">
        <is>
          <t>Trigger Happy</t>
        </is>
      </c>
      <c r="C12" s="43" t="inlineStr">
        <is>
          <t>rate</t>
        </is>
      </c>
      <c r="D12" s="56" t="n">
        <v>3</v>
      </c>
      <c r="E12" s="56">
        <f t="array" ref="E12">ROUND('Towers'!$C$5*POWER('Tuning'!$B$12,D12),0)</f>
        <v/>
      </c>
      <c r="F12" s="56">
        <f t="array" ref="F12">F11+E12</f>
        <v/>
      </c>
      <c r="G12" s="57" t="n">
        <v>2.46</v>
      </c>
      <c r="H12" s="57" t="n">
        <v>2.86</v>
      </c>
      <c r="I12" s="57" t="n">
        <v>1</v>
      </c>
      <c r="J12" s="92">
        <f t="array" ref="J12">'Towers'!$G$5*G12*H12*I12</f>
        <v/>
      </c>
      <c r="K12" s="92">
        <f t="array" ref="K12">IF(J12=0,0,F12/J12)</f>
        <v/>
      </c>
      <c r="L12" s="57" t="n">
        <v>1</v>
      </c>
      <c r="M12" s="43" t="inlineStr">
        <is>
          <t>Double Tap</t>
        </is>
      </c>
      <c r="N12" s="57" t="n"/>
      <c r="O12" s="57" t="n"/>
      <c r="P12" s="57" t="n"/>
      <c r="Q12" s="57" t="n">
        <v>2</v>
      </c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  <c r="AG12" s="57" t="n"/>
      <c r="AH12" s="57" t="n"/>
      <c r="AI12" s="57" t="n"/>
      <c r="AJ12" s="57" t="n"/>
      <c r="AK12" s="57" t="n"/>
      <c r="AL12" s="57" t="n"/>
      <c r="AM12" s="57" t="n"/>
      <c r="AN12" s="57" t="n"/>
      <c r="AO12" s="57" t="n"/>
      <c r="AP12" s="57" t="n"/>
      <c r="AQ12" s="57" t="n"/>
      <c r="AR12" s="57" t="n"/>
      <c r="AS12" s="57" t="n"/>
      <c r="AT12" s="57" t="n"/>
    </row>
    <row r="13" ht="13.65" customHeight="1" s="90">
      <c r="A13" s="43" t="inlineStr">
        <is>
          <t>Hunting Blind</t>
        </is>
      </c>
      <c r="B13" s="43" t="inlineStr">
        <is>
          <t>Trigger Happy</t>
        </is>
      </c>
      <c r="C13" s="43" t="inlineStr">
        <is>
          <t>rate</t>
        </is>
      </c>
      <c r="D13" s="56" t="n">
        <v>4</v>
      </c>
      <c r="E13" s="56">
        <f t="array" ref="E13">ROUND('Towers'!$C$5*POWER('Tuning'!$B$12,D13),0)</f>
        <v/>
      </c>
      <c r="F13" s="56">
        <f t="array" ref="F13">F12+E13</f>
        <v/>
      </c>
      <c r="G13" s="57" t="n">
        <v>1.349593495935</v>
      </c>
      <c r="H13" s="57" t="n">
        <v>1.423076923077</v>
      </c>
      <c r="I13" s="57" t="n">
        <v>1</v>
      </c>
      <c r="J13" s="92">
        <f t="array" ref="J13">'Towers'!$G$5*G13*H13*I13</f>
        <v/>
      </c>
      <c r="K13" s="92">
        <f t="array" ref="K13">IF(J13=0,0,F13/J13)</f>
        <v/>
      </c>
      <c r="L13" s="57" t="n">
        <v>1</v>
      </c>
      <c r="M13" s="43" t="inlineStr">
        <is>
          <t>Bullet Hose</t>
        </is>
      </c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CI13" s="81" t="inlineStr">
        <is>
          <t>A</t>
        </is>
      </c>
      <c r="CJ13" s="81" t="inlineStr">
        <is>
          <t>Fires much faster and hits harder</t>
        </is>
      </c>
    </row>
    <row r="14" ht="13.65" customHeight="1" s="90">
      <c r="A14" s="43" t="inlineStr">
        <is>
          <t>Hunting Blind</t>
        </is>
      </c>
      <c r="B14" s="43" t="inlineStr">
        <is>
          <t>Trigger Happy</t>
        </is>
      </c>
      <c r="C14" s="43" t="inlineStr">
        <is>
          <t>rate</t>
        </is>
      </c>
      <c r="D14" s="56" t="n">
        <v>5</v>
      </c>
      <c r="E14" s="56">
        <f t="array" ref="E14">ROUND('Towers'!$C$5*POWER('Tuning'!$B$12,D14),0)</f>
        <v/>
      </c>
      <c r="F14" s="56">
        <f t="array" ref="F14">F13+E14</f>
        <v/>
      </c>
      <c r="G14" s="57" t="n">
        <v>1.349397590361</v>
      </c>
      <c r="H14" s="57" t="n">
        <v>1.41769041769</v>
      </c>
      <c r="I14" s="57" t="n">
        <v>1</v>
      </c>
      <c r="J14" s="92">
        <f t="array" ref="J14">'Towers'!$G$5*G14*H14*I14</f>
        <v/>
      </c>
      <c r="K14" s="92">
        <f t="array" ref="K14">IF(J14=0,0,F14/J14)</f>
        <v/>
      </c>
      <c r="L14" s="57" t="n">
        <v>1</v>
      </c>
      <c r="M14" s="43" t="inlineStr">
        <is>
          <t>Lead Rain</t>
        </is>
      </c>
      <c r="N14" s="57" t="n"/>
      <c r="O14" s="57" t="n"/>
      <c r="P14" s="57" t="n"/>
      <c r="Q14" s="57" t="n">
        <v>3</v>
      </c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  <c r="AG14" s="57" t="n"/>
      <c r="AH14" s="57" t="n"/>
      <c r="AI14" s="57" t="n"/>
      <c r="AJ14" s="57" t="n"/>
      <c r="AK14" s="57" t="n"/>
      <c r="AL14" s="57" t="n"/>
      <c r="AM14" s="57" t="n"/>
      <c r="AN14" s="57" t="n"/>
      <c r="AO14" s="57" t="n"/>
      <c r="AP14" s="57" t="n"/>
      <c r="AQ14" s="57" t="n"/>
      <c r="AR14" s="57" t="n"/>
      <c r="AS14" s="57" t="n"/>
      <c r="AT14" s="57" t="n"/>
      <c r="CI14" s="81" t="inlineStr">
        <is>
          <t>A</t>
        </is>
      </c>
      <c r="CJ14" s="81" t="inlineStr">
        <is>
          <t>The fastest fire in the game</t>
        </is>
      </c>
    </row>
    <row r="15" ht="13.65" customHeight="1" s="90">
      <c r="A15" s="43" t="inlineStr">
        <is>
          <t>Hunting Blind</t>
        </is>
      </c>
      <c r="B15" s="43" t="inlineStr">
        <is>
          <t>Hardliner</t>
        </is>
      </c>
      <c r="C15" s="43" t="inlineStr">
        <is>
          <t>damage</t>
        </is>
      </c>
      <c r="D15" s="56" t="n">
        <v>1</v>
      </c>
      <c r="E15" s="56">
        <f t="array" ref="E15">ROUND('Towers'!$C$5*POWER('Tuning'!$B$12,D15),0)</f>
        <v/>
      </c>
      <c r="F15" s="56">
        <f t="array" ref="F15">'Towers'!$C$5+E15</f>
        <v/>
      </c>
      <c r="G15" s="57" t="n">
        <v>1.9</v>
      </c>
      <c r="H15" s="57" t="n">
        <v>1</v>
      </c>
      <c r="I15" s="57" t="n">
        <v>1</v>
      </c>
      <c r="J15" s="92">
        <f t="array" ref="J15">'Towers'!$G$5*G15*H15*I15</f>
        <v/>
      </c>
      <c r="K15" s="92">
        <f t="array" ref="K15">IF(J15=0,0,F15/J15)</f>
        <v/>
      </c>
      <c r="L15" s="57" t="n">
        <v>1</v>
      </c>
      <c r="M15" s="43" t="inlineStr">
        <is>
          <t>Heavy Slugs</t>
        </is>
      </c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</row>
    <row r="16" ht="13.65" customHeight="1" s="90">
      <c r="A16" s="43" t="inlineStr">
        <is>
          <t>Hunting Blind</t>
        </is>
      </c>
      <c r="B16" s="43" t="inlineStr">
        <is>
          <t>Hardliner</t>
        </is>
      </c>
      <c r="C16" s="43" t="inlineStr">
        <is>
          <t>damage</t>
        </is>
      </c>
      <c r="D16" s="56" t="n">
        <v>2</v>
      </c>
      <c r="E16" s="56">
        <f t="array" ref="E16">ROUND('Towers'!$C$5*POWER('Tuning'!$B$12,D16),0)</f>
        <v/>
      </c>
      <c r="F16" s="56">
        <f t="array" ref="F16">F15+E16</f>
        <v/>
      </c>
      <c r="G16" s="57" t="n">
        <v>3.61</v>
      </c>
      <c r="H16" s="57" t="n">
        <v>1</v>
      </c>
      <c r="I16" s="57" t="n">
        <v>1</v>
      </c>
      <c r="J16" s="92">
        <f t="array" ref="J16">'Towers'!$G$5*G16*H16*I16</f>
        <v/>
      </c>
      <c r="K16" s="92">
        <f t="array" ref="K16">IF(J16=0,0,F16/J16)</f>
        <v/>
      </c>
      <c r="L16" s="57" t="n">
        <v>1</v>
      </c>
      <c r="M16" s="43" t="inlineStr">
        <is>
          <t>Armor Breaker</t>
        </is>
      </c>
      <c r="N16" s="46" t="inlineStr">
        <is>
          <t>Yes</t>
        </is>
      </c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  <c r="AI16" s="57" t="n"/>
      <c r="AJ16" s="57" t="n"/>
      <c r="AK16" s="57" t="n"/>
      <c r="AL16" s="57" t="n"/>
      <c r="AM16" s="57" t="n"/>
      <c r="AN16" s="57" t="n"/>
      <c r="AO16" s="57" t="n"/>
      <c r="AP16" s="57" t="n"/>
      <c r="AQ16" s="57" t="n"/>
      <c r="AR16" s="57" t="n"/>
      <c r="AS16" s="57" t="n"/>
      <c r="AT16" s="57" t="n"/>
    </row>
    <row r="17" ht="13.65" customHeight="1" s="90">
      <c r="A17" s="43" t="inlineStr">
        <is>
          <t>Hunting Blind</t>
        </is>
      </c>
      <c r="B17" s="43" t="inlineStr">
        <is>
          <t>Hardliner</t>
        </is>
      </c>
      <c r="C17" s="43" t="inlineStr">
        <is>
          <t>damage</t>
        </is>
      </c>
      <c r="D17" s="56" t="n">
        <v>3</v>
      </c>
      <c r="E17" s="56">
        <f t="array" ref="E17">ROUND('Towers'!$C$5*POWER('Tuning'!$B$12,D17),0)</f>
        <v/>
      </c>
      <c r="F17" s="56">
        <f t="array" ref="F17">F16+E17</f>
        <v/>
      </c>
      <c r="G17" s="57" t="n">
        <v>6.86</v>
      </c>
      <c r="H17" s="57" t="n">
        <v>1</v>
      </c>
      <c r="I17" s="57" t="n">
        <v>1</v>
      </c>
      <c r="J17" s="92">
        <f t="array" ref="J17">'Towers'!$G$5*G17*H17*I17</f>
        <v/>
      </c>
      <c r="K17" s="92">
        <f t="array" ref="K17">IF(J17=0,0,F17/J17)</f>
        <v/>
      </c>
      <c r="L17" s="57" t="n">
        <v>1</v>
      </c>
      <c r="M17" s="43" t="inlineStr">
        <is>
          <t>Hollow Points</t>
        </is>
      </c>
      <c r="N17" s="46" t="inlineStr">
        <is>
          <t>Yes</t>
        </is>
      </c>
      <c r="O17" s="57" t="n">
        <v>2</v>
      </c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</row>
    <row r="18" ht="13.65" customHeight="1" s="90">
      <c r="A18" s="43" t="inlineStr">
        <is>
          <t>Hunting Blind</t>
        </is>
      </c>
      <c r="B18" s="43" t="inlineStr">
        <is>
          <t>Hardliner</t>
        </is>
      </c>
      <c r="C18" s="43" t="inlineStr">
        <is>
          <t>damage</t>
        </is>
      </c>
      <c r="D18" s="56" t="n">
        <v>4</v>
      </c>
      <c r="E18" s="56">
        <f t="array" ref="E18">ROUND('Towers'!$C$5*POWER('Tuning'!$B$12,D18),0)</f>
        <v/>
      </c>
      <c r="F18" s="56">
        <f t="array" ref="F18">F17+E18</f>
        <v/>
      </c>
      <c r="G18" s="57" t="n">
        <v>1.899416909621</v>
      </c>
      <c r="H18" s="57" t="n">
        <v>1</v>
      </c>
      <c r="I18" s="57" t="n">
        <v>1</v>
      </c>
      <c r="J18" s="92">
        <f t="array" ref="J18">'Towers'!$G$5*G18*H18*I18</f>
        <v/>
      </c>
      <c r="K18" s="92">
        <f t="array" ref="K18">IF(J18=0,0,F18/J18)</f>
        <v/>
      </c>
      <c r="L18" s="57" t="n">
        <v>1</v>
      </c>
      <c r="M18" s="43" t="inlineStr">
        <is>
          <t>Railshot</t>
        </is>
      </c>
      <c r="N18" s="46" t="n"/>
      <c r="O18" s="57" t="n">
        <v>1</v>
      </c>
      <c r="P18" s="57" t="n"/>
      <c r="Q18" s="57" t="n"/>
      <c r="R18" s="57" t="n">
        <v>3</v>
      </c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  <c r="AG18" s="57" t="n"/>
      <c r="AH18" s="57" t="n"/>
      <c r="AI18" s="57" t="n"/>
      <c r="AJ18" s="57" t="n"/>
      <c r="AK18" s="57" t="n"/>
      <c r="AL18" s="57" t="n"/>
      <c r="AM18" s="57" t="n"/>
      <c r="AN18" s="57" t="n"/>
      <c r="AO18" s="57" t="n"/>
      <c r="AP18" s="57" t="n"/>
      <c r="AQ18" s="57" t="n"/>
      <c r="AR18" s="57" t="n"/>
      <c r="AS18" s="57" t="n"/>
      <c r="AT18" s="57" t="n"/>
      <c r="BJ18" s="105" t="n">
        <v>2</v>
      </c>
      <c r="CI18" s="81" t="inlineStr">
        <is>
          <t>A</t>
        </is>
      </c>
      <c r="CJ18" s="81" t="inlineStr">
        <is>
          <t>Each bullet goes through 3 dinos</t>
        </is>
      </c>
    </row>
    <row r="19" ht="13.65" customHeight="1" s="90">
      <c r="A19" s="43" t="inlineStr">
        <is>
          <t>Hunting Blind</t>
        </is>
      </c>
      <c r="B19" s="43" t="inlineStr">
        <is>
          <t>Hardliner</t>
        </is>
      </c>
      <c r="C19" s="43" t="inlineStr">
        <is>
          <t>damage</t>
        </is>
      </c>
      <c r="D19" s="56" t="n">
        <v>5</v>
      </c>
      <c r="E19" s="56">
        <f t="array" ref="E19">ROUND('Towers'!$C$5*POWER('Tuning'!$B$12,D19),0)</f>
        <v/>
      </c>
      <c r="F19" s="56">
        <f t="array" ref="F19">F18+E19</f>
        <v/>
      </c>
      <c r="G19" s="57" t="n">
        <v>1.900230237913</v>
      </c>
      <c r="H19" s="57" t="n">
        <v>1</v>
      </c>
      <c r="I19" s="57" t="n">
        <v>1</v>
      </c>
      <c r="J19" s="92">
        <f t="array" ref="J19">'Towers'!$G$5*G19*H19*I19</f>
        <v/>
      </c>
      <c r="K19" s="92">
        <f t="array" ref="K19">IF(J19=0,0,F19/J19)</f>
        <v/>
      </c>
      <c r="L19" s="57" t="n">
        <v>1</v>
      </c>
      <c r="M19" s="43" t="inlineStr">
        <is>
          <t>Hide Buster</t>
        </is>
      </c>
      <c r="N19" s="46" t="n"/>
      <c r="O19" s="57" t="n">
        <v>2</v>
      </c>
      <c r="P19" s="57" t="n">
        <v>4</v>
      </c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BJ19" s="105" t="n"/>
      <c r="CI19" s="81" t="inlineStr">
        <is>
          <t>A</t>
        </is>
      </c>
      <c r="CJ19" s="81" t="inlineStr">
        <is>
          <t>Hits armoured dinos and bosses 4 times as hard</t>
        </is>
      </c>
    </row>
    <row r="20" ht="13.65" customHeight="1" s="90">
      <c r="A20" s="43" t="inlineStr">
        <is>
          <t>Longshot Perch</t>
        </is>
      </c>
      <c r="B20" s="43" t="inlineStr">
        <is>
          <t>Deadeye</t>
        </is>
      </c>
      <c r="C20" s="43" t="inlineStr">
        <is>
          <t>targets</t>
        </is>
      </c>
      <c r="D20" s="56" t="n">
        <v>1</v>
      </c>
      <c r="E20" s="56">
        <f t="array" ref="E20">ROUND('Towers'!$C$6*POWER('Tuning'!$B$12,D20),0)</f>
        <v/>
      </c>
      <c r="F20" s="56">
        <f t="array" ref="F20">'Towers'!$C$6+E20</f>
        <v/>
      </c>
      <c r="G20" s="57" t="n">
        <v>1.45</v>
      </c>
      <c r="H20" s="57" t="n">
        <v>1</v>
      </c>
      <c r="I20" s="57" t="n">
        <v>1.32</v>
      </c>
      <c r="J20" s="92">
        <f t="array" ref="J20">'Towers'!$G$6*G20*H20*I20</f>
        <v/>
      </c>
      <c r="K20" s="92">
        <f t="array" ref="K20">IF(J20=0,0,F20/J20)</f>
        <v/>
      </c>
      <c r="L20" s="57" t="n">
        <v>1</v>
      </c>
      <c r="M20" s="43" t="inlineStr">
        <is>
          <t>Full Metal Jacket</t>
        </is>
      </c>
      <c r="N20" s="57" t="n"/>
      <c r="O20" s="57" t="n"/>
      <c r="P20" s="57" t="n"/>
      <c r="Q20" s="57" t="n"/>
      <c r="R20" s="57" t="n">
        <v>2</v>
      </c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  <c r="AG20" s="57" t="n"/>
      <c r="AH20" s="57" t="n"/>
      <c r="AI20" s="57" t="n"/>
      <c r="AJ20" s="57" t="n"/>
      <c r="AK20" s="57" t="n"/>
      <c r="AL20" s="57" t="n"/>
      <c r="AM20" s="57" t="n"/>
      <c r="AN20" s="57" t="n"/>
      <c r="AO20" s="57" t="n"/>
      <c r="AP20" s="57" t="n"/>
      <c r="AQ20" s="57" t="n"/>
      <c r="AR20" s="57" t="n"/>
      <c r="AS20" s="57" t="n"/>
      <c r="AT20" s="57" t="n"/>
    </row>
    <row r="21" ht="13.65" customHeight="1" s="90">
      <c r="A21" s="43" t="inlineStr">
        <is>
          <t>Longshot Perch</t>
        </is>
      </c>
      <c r="B21" s="43" t="inlineStr">
        <is>
          <t>Deadeye</t>
        </is>
      </c>
      <c r="C21" s="43" t="inlineStr">
        <is>
          <t>targets</t>
        </is>
      </c>
      <c r="D21" s="56" t="n">
        <v>2</v>
      </c>
      <c r="E21" s="56">
        <f t="array" ref="E21">ROUND('Towers'!$C$6*POWER('Tuning'!$B$12,D21),0)</f>
        <v/>
      </c>
      <c r="F21" s="56">
        <f t="array" ref="F21">F20+E21</f>
        <v/>
      </c>
      <c r="G21" s="57" t="n">
        <v>2.1</v>
      </c>
      <c r="H21" s="57" t="n">
        <v>1</v>
      </c>
      <c r="I21" s="57" t="n">
        <v>1.74</v>
      </c>
      <c r="J21" s="92">
        <f t="array" ref="J21">'Towers'!$G$6*G21*H21*I21</f>
        <v/>
      </c>
      <c r="K21" s="92">
        <f t="array" ref="K21">IF(J21=0,0,F21/J21)</f>
        <v/>
      </c>
      <c r="L21" s="57" t="n">
        <v>1</v>
      </c>
      <c r="M21" s="43" t="inlineStr">
        <is>
          <t>Through-and-Through</t>
        </is>
      </c>
      <c r="N21" s="46" t="inlineStr">
        <is>
          <t>Yes</t>
        </is>
      </c>
      <c r="O21" s="57" t="n"/>
      <c r="P21" s="57" t="n"/>
      <c r="Q21" s="57" t="n"/>
      <c r="R21" s="57" t="n">
        <v>3</v>
      </c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</row>
    <row r="22" ht="13.65" customHeight="1" s="90">
      <c r="A22" s="43" t="inlineStr">
        <is>
          <t>Longshot Perch</t>
        </is>
      </c>
      <c r="B22" s="43" t="inlineStr">
        <is>
          <t>Deadeye</t>
        </is>
      </c>
      <c r="C22" s="43" t="inlineStr">
        <is>
          <t>targets</t>
        </is>
      </c>
      <c r="D22" s="56" t="n">
        <v>3</v>
      </c>
      <c r="E22" s="56">
        <f t="array" ref="E22">ROUND('Towers'!$C$6*POWER('Tuning'!$B$12,D22),0)</f>
        <v/>
      </c>
      <c r="F22" s="56">
        <f t="array" ref="F22">F21+E22</f>
        <v/>
      </c>
      <c r="G22" s="57" t="n">
        <v>3.05</v>
      </c>
      <c r="H22" s="57" t="n">
        <v>1</v>
      </c>
      <c r="I22" s="57" t="n">
        <v>2.3</v>
      </c>
      <c r="J22" s="92">
        <f t="array" ref="J22">'Towers'!$G$6*G22*H22*I22</f>
        <v/>
      </c>
      <c r="K22" s="92">
        <f t="array" ref="K22">IF(J22=0,0,F22/J22)</f>
        <v/>
      </c>
      <c r="L22" s="57" t="n">
        <v>1</v>
      </c>
      <c r="M22" s="43" t="inlineStr">
        <is>
          <t>Ricochet</t>
        </is>
      </c>
      <c r="N22" s="46" t="inlineStr">
        <is>
          <t>Yes</t>
        </is>
      </c>
      <c r="O22" s="57" t="n"/>
      <c r="P22" s="57" t="n"/>
      <c r="Q22" s="57" t="n"/>
      <c r="R22" s="57" t="n">
        <v>4</v>
      </c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  <c r="AG22" s="57" t="n"/>
      <c r="AH22" s="57" t="n"/>
      <c r="AI22" s="57" t="n"/>
      <c r="AJ22" s="57" t="n"/>
      <c r="AK22" s="57" t="n"/>
      <c r="AL22" s="57" t="n"/>
      <c r="AM22" s="57" t="n"/>
      <c r="AN22" s="57" t="n"/>
      <c r="AO22" s="57" t="n"/>
      <c r="AP22" s="57" t="n"/>
      <c r="AQ22" s="57" t="n"/>
      <c r="AR22" s="57" t="n"/>
      <c r="AS22" s="57" t="n"/>
      <c r="AT22" s="57" t="n"/>
    </row>
    <row r="23" ht="13.65" customHeight="1" s="90">
      <c r="A23" s="43" t="inlineStr">
        <is>
          <t>Longshot Perch</t>
        </is>
      </c>
      <c r="B23" s="43" t="inlineStr">
        <is>
          <t>Deadeye</t>
        </is>
      </c>
      <c r="C23" s="43" t="inlineStr">
        <is>
          <t>targets</t>
        </is>
      </c>
      <c r="D23" s="56" t="n">
        <v>4</v>
      </c>
      <c r="E23" s="56">
        <f t="array" ref="E23">ROUND('Towers'!$C$6*POWER('Tuning'!$B$12,D23),0)</f>
        <v/>
      </c>
      <c r="F23" s="56">
        <f t="array" ref="F23">F22+E23</f>
        <v/>
      </c>
      <c r="G23" s="57" t="n">
        <v>1.449180327869</v>
      </c>
      <c r="H23" s="57" t="n">
        <v>1</v>
      </c>
      <c r="I23" s="57" t="n">
        <v>1.321739130435</v>
      </c>
      <c r="J23" s="92">
        <f t="array" ref="J23">'Towers'!$G$6*G23*H23*I23</f>
        <v/>
      </c>
      <c r="K23" s="92">
        <f t="array" ref="K23">IF(J23=0,0,F23/J23)</f>
        <v/>
      </c>
      <c r="L23" s="57" t="n">
        <v>1</v>
      </c>
      <c r="M23" s="43" t="inlineStr">
        <is>
          <t>Tungsten Core</t>
        </is>
      </c>
      <c r="N23" s="46" t="n"/>
      <c r="O23" s="57" t="n"/>
      <c r="P23" s="57" t="n"/>
      <c r="Q23" s="57" t="n"/>
      <c r="R23" s="57" t="n">
        <v>6</v>
      </c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BJ23" s="105" t="n">
        <v>2</v>
      </c>
      <c r="CI23" s="81" t="inlineStr">
        <is>
          <t>A</t>
        </is>
      </c>
      <c r="CJ23" s="81" t="inlineStr">
        <is>
          <t>Shots go through more dinos, shrinking each 2 sizes</t>
        </is>
      </c>
    </row>
    <row r="24" ht="13.65" customHeight="1" s="90">
      <c r="A24" s="43" t="inlineStr">
        <is>
          <t>Longshot Perch</t>
        </is>
      </c>
      <c r="B24" s="43" t="inlineStr">
        <is>
          <t>Deadeye</t>
        </is>
      </c>
      <c r="C24" s="43" t="inlineStr">
        <is>
          <t>targets</t>
        </is>
      </c>
      <c r="D24" s="56" t="n">
        <v>5</v>
      </c>
      <c r="E24" s="56">
        <f t="array" ref="E24">ROUND('Towers'!$C$6*POWER('Tuning'!$B$12,D24),0)</f>
        <v/>
      </c>
      <c r="F24" s="56">
        <f t="array" ref="F24">F23+E24</f>
        <v/>
      </c>
      <c r="G24" s="57" t="n">
        <v>2</v>
      </c>
      <c r="H24" s="57" t="n">
        <v>1</v>
      </c>
      <c r="I24" s="57" t="n">
        <v>1.319078947368</v>
      </c>
      <c r="J24" s="92">
        <f t="array" ref="J24">'Towers'!$G$6*G24*H24*I24</f>
        <v/>
      </c>
      <c r="K24" s="92">
        <f t="array" ref="K24">IF(J24=0,0,F24/J24)</f>
        <v/>
      </c>
      <c r="L24" s="57" t="n">
        <v>1</v>
      </c>
      <c r="M24" s="43" t="inlineStr">
        <is>
          <t>Linebreaker</t>
        </is>
      </c>
      <c r="N24" s="46" t="n"/>
      <c r="O24" s="57" t="n"/>
      <c r="P24" s="57" t="n"/>
      <c r="Q24" s="57" t="n"/>
      <c r="R24" s="57" t="n">
        <v>10</v>
      </c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  <c r="AG24" s="57" t="n"/>
      <c r="AH24" s="57" t="n"/>
      <c r="AI24" s="57" t="n"/>
      <c r="AJ24" s="57" t="n"/>
      <c r="AK24" s="57" t="n"/>
      <c r="AL24" s="57" t="n"/>
      <c r="AM24" s="57" t="n"/>
      <c r="AN24" s="57" t="n"/>
      <c r="AO24" s="57" t="n"/>
      <c r="AP24" s="57" t="n"/>
      <c r="AQ24" s="57" t="n"/>
      <c r="AR24" s="57" t="n"/>
      <c r="AS24" s="57" t="n"/>
      <c r="AT24" s="57" t="n"/>
      <c r="BJ24" s="105" t="n">
        <v>3</v>
      </c>
      <c r="CI24" s="81" t="inlineStr">
        <is>
          <t>A</t>
        </is>
      </c>
      <c r="CJ24" s="81" t="inlineStr">
        <is>
          <t>Each shot hits 10 dinos in a line, double damage</t>
        </is>
      </c>
    </row>
    <row r="25" ht="13.65" customHeight="1" s="90">
      <c r="A25" s="43" t="inlineStr">
        <is>
          <t>Longshot Perch</t>
        </is>
      </c>
      <c r="B25" s="43" t="inlineStr">
        <is>
          <t>Spotter</t>
        </is>
      </c>
      <c r="C25" s="43" t="inlineStr">
        <is>
          <t>rate</t>
        </is>
      </c>
      <c r="D25" s="56" t="n">
        <v>1</v>
      </c>
      <c r="E25" s="56">
        <f t="array" ref="E25">ROUND('Towers'!$C$6*POWER('Tuning'!$B$12,D25),0)</f>
        <v/>
      </c>
      <c r="F25" s="56">
        <f t="array" ref="F25">'Towers'!$C$6+E25</f>
        <v/>
      </c>
      <c r="G25" s="57" t="n">
        <v>1.35</v>
      </c>
      <c r="H25" s="57" t="n">
        <v>1.42</v>
      </c>
      <c r="I25" s="57" t="n">
        <v>1</v>
      </c>
      <c r="J25" s="92">
        <f t="array" ref="J25">'Towers'!$G$6*G25*H25*I25</f>
        <v/>
      </c>
      <c r="K25" s="92">
        <f t="array" ref="K25">IF(J25=0,0,F25/J25)</f>
        <v/>
      </c>
      <c r="L25" s="57" t="n">
        <v>1</v>
      </c>
      <c r="M25" s="43" t="inlineStr">
        <is>
          <t>Steady Breath</t>
        </is>
      </c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</row>
    <row r="26" ht="13.65" customHeight="1" s="90">
      <c r="A26" s="43" t="inlineStr">
        <is>
          <t>Longshot Perch</t>
        </is>
      </c>
      <c r="B26" s="43" t="inlineStr">
        <is>
          <t>Spotter</t>
        </is>
      </c>
      <c r="C26" s="43" t="inlineStr">
        <is>
          <t>rate</t>
        </is>
      </c>
      <c r="D26" s="56" t="n">
        <v>2</v>
      </c>
      <c r="E26" s="56">
        <f t="array" ref="E26">ROUND('Towers'!$C$6*POWER('Tuning'!$B$12,D26),0)</f>
        <v/>
      </c>
      <c r="F26" s="56">
        <f t="array" ref="F26">F25+E26</f>
        <v/>
      </c>
      <c r="G26" s="57" t="n">
        <v>1.82</v>
      </c>
      <c r="H26" s="57" t="n">
        <v>2.02</v>
      </c>
      <c r="I26" s="57" t="n">
        <v>1</v>
      </c>
      <c r="J26" s="92">
        <f t="array" ref="J26">'Towers'!$G$6*G26*H26*I26</f>
        <v/>
      </c>
      <c r="K26" s="92">
        <f t="array" ref="K26">IF(J26=0,0,F26/J26)</f>
        <v/>
      </c>
      <c r="L26" s="57" t="n">
        <v>1</v>
      </c>
      <c r="M26" s="43" t="inlineStr">
        <is>
          <t>Bolt Racking</t>
        </is>
      </c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  <c r="AG26" s="57" t="n"/>
      <c r="AH26" s="57" t="n"/>
      <c r="AI26" s="57" t="n"/>
      <c r="AJ26" s="57" t="n"/>
      <c r="AK26" s="57" t="n"/>
      <c r="AL26" s="57" t="n"/>
      <c r="AM26" s="57" t="n"/>
      <c r="AN26" s="57" t="n"/>
      <c r="AO26" s="57" t="n"/>
      <c r="AP26" s="57" t="n"/>
      <c r="AQ26" s="57" t="n"/>
      <c r="AR26" s="57" t="n"/>
      <c r="AS26" s="57" t="n"/>
      <c r="AT26" s="57" t="n"/>
    </row>
    <row r="27" ht="13.65" customHeight="1" s="90">
      <c r="A27" s="43" t="inlineStr">
        <is>
          <t>Longshot Perch</t>
        </is>
      </c>
      <c r="B27" s="43" t="inlineStr">
        <is>
          <t>Spotter</t>
        </is>
      </c>
      <c r="C27" s="43" t="inlineStr">
        <is>
          <t>rate</t>
        </is>
      </c>
      <c r="D27" s="56" t="n">
        <v>3</v>
      </c>
      <c r="E27" s="56">
        <f t="array" ref="E27">ROUND('Towers'!$C$6*POWER('Tuning'!$B$12,D27),0)</f>
        <v/>
      </c>
      <c r="F27" s="56">
        <f t="array" ref="F27">F26+E27</f>
        <v/>
      </c>
      <c r="G27" s="57" t="n">
        <v>2.46</v>
      </c>
      <c r="H27" s="57" t="n">
        <v>2.86</v>
      </c>
      <c r="I27" s="57" t="n">
        <v>1</v>
      </c>
      <c r="J27" s="92">
        <f t="array" ref="J27">'Towers'!$G$6*G27*H27*I27</f>
        <v/>
      </c>
      <c r="K27" s="92">
        <f t="array" ref="K27">IF(J27=0,0,F27/J27)</f>
        <v/>
      </c>
      <c r="L27" s="57" t="n">
        <v>1</v>
      </c>
      <c r="M27" s="43" t="inlineStr">
        <is>
          <t>Marked Target</t>
        </is>
      </c>
      <c r="N27" s="57" t="n"/>
      <c r="O27" s="57" t="n"/>
      <c r="P27" s="57" t="n"/>
      <c r="Q27" s="57" t="n"/>
      <c r="R27" s="57" t="n"/>
      <c r="S27" s="57" t="n"/>
      <c r="T27" s="57" t="n">
        <v>25</v>
      </c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</row>
    <row r="28" ht="13.65" customHeight="1" s="90">
      <c r="A28" s="43" t="inlineStr">
        <is>
          <t>Longshot Perch</t>
        </is>
      </c>
      <c r="B28" s="43" t="inlineStr">
        <is>
          <t>Spotter</t>
        </is>
      </c>
      <c r="C28" s="43" t="inlineStr">
        <is>
          <t>rate</t>
        </is>
      </c>
      <c r="D28" s="56" t="n">
        <v>4</v>
      </c>
      <c r="E28" s="56">
        <f t="array" ref="E28">ROUND('Towers'!$C$6*POWER('Tuning'!$B$12,D28),0)</f>
        <v/>
      </c>
      <c r="F28" s="56">
        <f t="array" ref="F28">F27+E28</f>
        <v/>
      </c>
      <c r="G28" s="57" t="n">
        <v>1.349593495935</v>
      </c>
      <c r="H28" s="57" t="n">
        <v>1.423076923077</v>
      </c>
      <c r="I28" s="57" t="n">
        <v>1</v>
      </c>
      <c r="J28" s="92">
        <f t="array" ref="J28">'Towers'!$G$6*G28*H28*I28</f>
        <v/>
      </c>
      <c r="K28" s="92">
        <f t="array" ref="K28">IF(J28=0,0,F28/J28)</f>
        <v/>
      </c>
      <c r="L28" s="57" t="n">
        <v>1</v>
      </c>
      <c r="M28" s="43" t="inlineStr">
        <is>
          <t>Game Spotter</t>
        </is>
      </c>
      <c r="N28" s="57" t="n"/>
      <c r="O28" s="57" t="n"/>
      <c r="P28" s="57" t="n"/>
      <c r="Q28" s="57" t="n"/>
      <c r="R28" s="57" t="n"/>
      <c r="S28" s="57" t="n"/>
      <c r="T28" s="57" t="n">
        <v>35</v>
      </c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  <c r="AG28" s="57" t="n"/>
      <c r="AH28" s="57" t="n"/>
      <c r="AI28" s="57" t="n"/>
      <c r="AJ28" s="57" t="n"/>
      <c r="AK28" s="57" t="n"/>
      <c r="AL28" s="57" t="n"/>
      <c r="AM28" s="57" t="n"/>
      <c r="AN28" s="57" t="n"/>
      <c r="AO28" s="57" t="n"/>
      <c r="AP28" s="57" t="n"/>
      <c r="AQ28" s="57" t="n"/>
      <c r="AR28" s="57" t="n"/>
      <c r="AS28" s="57" t="n"/>
      <c r="AT28" s="57" t="n"/>
      <c r="CI28" s="81" t="inlineStr">
        <is>
          <t>A</t>
        </is>
      </c>
      <c r="CJ28" s="81" t="inlineStr">
        <is>
          <t>Fires faster, and its mark hits harder</t>
        </is>
      </c>
    </row>
    <row r="29" ht="13.65" customHeight="1" s="90">
      <c r="A29" s="43" t="inlineStr">
        <is>
          <t>Longshot Perch</t>
        </is>
      </c>
      <c r="B29" s="43" t="inlineStr">
        <is>
          <t>Spotter</t>
        </is>
      </c>
      <c r="C29" s="43" t="inlineStr">
        <is>
          <t>rate</t>
        </is>
      </c>
      <c r="D29" s="56" t="n">
        <v>5</v>
      </c>
      <c r="E29" s="56">
        <f t="array" ref="E29">ROUND('Towers'!$C$6*POWER('Tuning'!$B$12,D29),0)</f>
        <v/>
      </c>
      <c r="F29" s="56">
        <f t="array" ref="F29">F28+E29</f>
        <v/>
      </c>
      <c r="G29" s="57" t="n">
        <v>1.349397590361</v>
      </c>
      <c r="H29" s="57" t="n">
        <v>1.41769041769</v>
      </c>
      <c r="I29" s="57" t="n">
        <v>1</v>
      </c>
      <c r="J29" s="92">
        <f t="array" ref="J29">'Towers'!$G$6*G29*H29*I29</f>
        <v/>
      </c>
      <c r="K29" s="92">
        <f t="array" ref="K29">IF(J29=0,0,F29/J29)</f>
        <v/>
      </c>
      <c r="L29" s="57" t="n">
        <v>1</v>
      </c>
      <c r="M29" s="43" t="inlineStr">
        <is>
          <t>Eye in the Sky</t>
        </is>
      </c>
      <c r="N29" s="57" t="n"/>
      <c r="O29" s="57" t="n"/>
      <c r="P29" s="57" t="n"/>
      <c r="Q29" s="57" t="n"/>
      <c r="R29" s="57" t="n"/>
      <c r="S29" s="57" t="n"/>
      <c r="T29" s="57" t="n">
        <v>60</v>
      </c>
      <c r="U29" s="57" t="n"/>
      <c r="V29" s="57" t="n"/>
      <c r="W29" s="57" t="n"/>
      <c r="X29" s="57" t="n"/>
      <c r="Y29" s="57" t="n"/>
      <c r="Z29" s="57" t="n"/>
      <c r="AA29" s="57" t="n"/>
      <c r="AB29" s="57" t="n">
        <v>15</v>
      </c>
      <c r="AC29" s="57" t="n"/>
      <c r="AD29" s="57" t="n"/>
      <c r="AE29" s="57" t="n"/>
      <c r="AF29" s="57" t="n"/>
      <c r="AG29" s="57" t="n"/>
      <c r="AH29" s="57" t="n"/>
      <c r="AI29" s="57" t="n"/>
      <c r="AJ29" s="57" t="n"/>
      <c r="AK29" s="57" t="n"/>
      <c r="AL29" s="57" t="n"/>
      <c r="AM29" s="57" t="n"/>
      <c r="AN29" s="57" t="n"/>
      <c r="AO29" s="57" t="n"/>
      <c r="AP29" s="57" t="n"/>
      <c r="AQ29" s="57" t="n"/>
      <c r="AR29" s="57" t="n"/>
      <c r="AS29" s="57" t="n"/>
      <c r="AT29" s="57" t="n"/>
      <c r="CI29" s="81" t="inlineStr">
        <is>
          <t>A</t>
        </is>
      </c>
      <c r="CJ29" s="81" t="inlineStr">
        <is>
          <t>A bigger mark, and towers in range shoot faster</t>
        </is>
      </c>
    </row>
    <row r="30" ht="13.65" customHeight="1" s="90">
      <c r="A30" s="43" t="inlineStr">
        <is>
          <t>Longshot Perch</t>
        </is>
      </c>
      <c r="B30" s="43" t="inlineStr">
        <is>
          <t>Big Bore</t>
        </is>
      </c>
      <c r="C30" s="43" t="inlineStr">
        <is>
          <t>damage</t>
        </is>
      </c>
      <c r="D30" s="56" t="n">
        <v>1</v>
      </c>
      <c r="E30" s="56">
        <f t="array" ref="E30">ROUND('Towers'!$C$6*POWER('Tuning'!$B$12,D30),0)</f>
        <v/>
      </c>
      <c r="F30" s="56">
        <f t="array" ref="F30">'Towers'!$C$6+E30</f>
        <v/>
      </c>
      <c r="G30" s="57" t="n">
        <v>1.9</v>
      </c>
      <c r="H30" s="57" t="n">
        <v>1</v>
      </c>
      <c r="I30" s="57" t="n">
        <v>1</v>
      </c>
      <c r="J30" s="92">
        <f t="array" ref="J30">'Towers'!$G$6*G30*H30*I30</f>
        <v/>
      </c>
      <c r="K30" s="92">
        <f t="array" ref="K30">IF(J30=0,0,F30/J30)</f>
        <v/>
      </c>
      <c r="L30" s="57" t="n">
        <v>1</v>
      </c>
      <c r="M30" s="43" t="inlineStr">
        <is>
          <t>Large Calibre</t>
        </is>
      </c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7" t="n"/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</row>
    <row r="31" ht="13.65" customHeight="1" s="90">
      <c r="A31" s="43" t="inlineStr">
        <is>
          <t>Longshot Perch</t>
        </is>
      </c>
      <c r="B31" s="43" t="inlineStr">
        <is>
          <t>Big Bore</t>
        </is>
      </c>
      <c r="C31" s="43" t="inlineStr">
        <is>
          <t>damage</t>
        </is>
      </c>
      <c r="D31" s="56" t="n">
        <v>2</v>
      </c>
      <c r="E31" s="56">
        <f t="array" ref="E31">ROUND('Towers'!$C$6*POWER('Tuning'!$B$12,D31),0)</f>
        <v/>
      </c>
      <c r="F31" s="56">
        <f t="array" ref="F31">F30+E31</f>
        <v/>
      </c>
      <c r="G31" s="57" t="n">
        <v>3.61</v>
      </c>
      <c r="H31" s="57" t="n">
        <v>1</v>
      </c>
      <c r="I31" s="57" t="n">
        <v>1</v>
      </c>
      <c r="J31" s="92">
        <f t="array" ref="J31">'Towers'!$G$6*G31*H31*I31</f>
        <v/>
      </c>
      <c r="K31" s="92">
        <f t="array" ref="K31">IF(J31=0,0,F31/J31)</f>
        <v/>
      </c>
      <c r="L31" s="57" t="n">
        <v>1</v>
      </c>
      <c r="M31" s="43" t="inlineStr">
        <is>
          <t>Bone Breaker</t>
        </is>
      </c>
      <c r="N31" s="57" t="n"/>
      <c r="O31" s="57" t="n"/>
      <c r="P31" s="57" t="n">
        <v>3</v>
      </c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  <c r="AG31" s="57" t="n"/>
      <c r="AH31" s="57" t="n"/>
      <c r="AI31" s="57" t="n"/>
      <c r="AJ31" s="57" t="n"/>
      <c r="AK31" s="57" t="n"/>
      <c r="AL31" s="57" t="n"/>
      <c r="AM31" s="57" t="n"/>
      <c r="AN31" s="57" t="n"/>
      <c r="AO31" s="57" t="n"/>
      <c r="AP31" s="57" t="n"/>
      <c r="AQ31" s="57" t="n"/>
      <c r="AR31" s="57" t="n"/>
      <c r="AS31" s="57" t="n"/>
      <c r="AT31" s="57" t="n"/>
      <c r="BJ31" s="105" t="n">
        <v>2</v>
      </c>
    </row>
    <row r="32" ht="13.65" customHeight="1" s="90">
      <c r="A32" s="43" t="inlineStr">
        <is>
          <t>Longshot Perch</t>
        </is>
      </c>
      <c r="B32" s="43" t="inlineStr">
        <is>
          <t>Big Bore</t>
        </is>
      </c>
      <c r="C32" s="43" t="inlineStr">
        <is>
          <t>damage</t>
        </is>
      </c>
      <c r="D32" s="56" t="n">
        <v>3</v>
      </c>
      <c r="E32" s="56">
        <f t="array" ref="E32">ROUND('Towers'!$C$6*POWER('Tuning'!$B$12,D32),0)</f>
        <v/>
      </c>
      <c r="F32" s="56">
        <f t="array" ref="F32">F31+E32</f>
        <v/>
      </c>
      <c r="G32" s="57" t="n">
        <v>6.86</v>
      </c>
      <c r="H32" s="57" t="n">
        <v>1</v>
      </c>
      <c r="I32" s="57" t="n">
        <v>1</v>
      </c>
      <c r="J32" s="92">
        <f t="array" ref="J32">'Towers'!$G$6*G32*H32*I32</f>
        <v/>
      </c>
      <c r="K32" s="92">
        <f t="array" ref="K32">IF(J32=0,0,F32/J32)</f>
        <v/>
      </c>
      <c r="L32" s="57" t="n">
        <v>1</v>
      </c>
      <c r="M32" s="43" t="inlineStr">
        <is>
          <t>Concussion Round</t>
        </is>
      </c>
      <c r="N32" s="57" t="n"/>
      <c r="O32" s="57" t="n"/>
      <c r="P32" s="57" t="n">
        <v>3</v>
      </c>
      <c r="Q32" s="57" t="n"/>
      <c r="R32" s="57" t="n"/>
      <c r="S32" s="57" t="n"/>
      <c r="T32" s="57" t="n"/>
      <c r="U32" s="57" t="n">
        <v>0.4</v>
      </c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  <c r="AG32" s="57" t="n"/>
      <c r="AH32" s="57" t="n"/>
      <c r="AI32" s="57" t="n"/>
      <c r="AJ32" s="57" t="n"/>
      <c r="AK32" s="57" t="n"/>
      <c r="AL32" s="57" t="n"/>
      <c r="AM32" s="57" t="n"/>
      <c r="AN32" s="57" t="n"/>
      <c r="AO32" s="57" t="n"/>
      <c r="AP32" s="57" t="n"/>
      <c r="AQ32" s="57" t="n"/>
      <c r="AR32" s="57" t="n"/>
      <c r="AS32" s="57" t="n"/>
      <c r="AT32" s="57" t="n"/>
      <c r="BJ32" s="105" t="n">
        <v>2</v>
      </c>
    </row>
    <row r="33" ht="13.65" customHeight="1" s="90">
      <c r="A33" s="43" t="inlineStr">
        <is>
          <t>Longshot Perch</t>
        </is>
      </c>
      <c r="B33" s="43" t="inlineStr">
        <is>
          <t>Big Bore</t>
        </is>
      </c>
      <c r="C33" s="43" t="inlineStr">
        <is>
          <t>damage</t>
        </is>
      </c>
      <c r="D33" s="56" t="n">
        <v>4</v>
      </c>
      <c r="E33" s="56">
        <f t="array" ref="E33">ROUND('Towers'!$C$6*POWER('Tuning'!$B$12,D33),0)</f>
        <v/>
      </c>
      <c r="F33" s="56">
        <f t="array" ref="F33">F32+E33</f>
        <v/>
      </c>
      <c r="G33" s="57" t="n">
        <v>1.899416909621</v>
      </c>
      <c r="H33" s="57" t="n">
        <v>1</v>
      </c>
      <c r="I33" s="57" t="n">
        <v>1</v>
      </c>
      <c r="J33" s="92">
        <f t="array" ref="J33">'Towers'!$G$6*G33*H33*I33</f>
        <v/>
      </c>
      <c r="K33" s="92">
        <f t="array" ref="K33">IF(J33=0,0,F33/J33)</f>
        <v/>
      </c>
      <c r="L33" s="57" t="n">
        <v>1</v>
      </c>
      <c r="M33" s="43" t="inlineStr">
        <is>
          <t>Punt Gun</t>
        </is>
      </c>
      <c r="N33" s="57" t="n"/>
      <c r="O33" s="57" t="n"/>
      <c r="P33" s="57" t="n">
        <v>1.666666666667</v>
      </c>
      <c r="Q33" s="57" t="n"/>
      <c r="R33" s="57" t="n"/>
      <c r="S33" s="57" t="n"/>
      <c r="T33" s="57" t="n"/>
      <c r="U33" s="57" t="n">
        <v>0.5</v>
      </c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  <c r="AG33" s="57" t="n"/>
      <c r="AH33" s="57" t="n"/>
      <c r="AI33" s="57" t="n"/>
      <c r="AJ33" s="57" t="n"/>
      <c r="AK33" s="57" t="n"/>
      <c r="AL33" s="57" t="n"/>
      <c r="AM33" s="57" t="n"/>
      <c r="AN33" s="57" t="n"/>
      <c r="AO33" s="57" t="n"/>
      <c r="AP33" s="57" t="n"/>
      <c r="AQ33" s="57" t="n"/>
      <c r="AR33" s="57" t="n"/>
      <c r="AS33" s="57" t="n"/>
      <c r="AT33" s="57" t="n"/>
      <c r="BJ33" s="105" t="n">
        <v>3</v>
      </c>
      <c r="CI33" s="81" t="inlineStr">
        <is>
          <t>A</t>
        </is>
      </c>
      <c r="CJ33" s="81" t="inlineStr">
        <is>
          <t>Huge shots that stun and shrink a dino 3 sizes</t>
        </is>
      </c>
    </row>
    <row r="34" ht="13.65" customHeight="1" s="90">
      <c r="A34" s="43" t="inlineStr">
        <is>
          <t>Longshot Perch</t>
        </is>
      </c>
      <c r="B34" s="43" t="inlineStr">
        <is>
          <t>Big Bore</t>
        </is>
      </c>
      <c r="C34" s="43" t="inlineStr">
        <is>
          <t>damage</t>
        </is>
      </c>
      <c r="D34" s="56" t="n">
        <v>5</v>
      </c>
      <c r="E34" s="56">
        <f t="array" ref="E34">ROUND('Towers'!$C$6*POWER('Tuning'!$B$12,D34),0)</f>
        <v/>
      </c>
      <c r="F34" s="56">
        <f t="array" ref="F34">F33+E34</f>
        <v/>
      </c>
      <c r="G34" s="57" t="n">
        <v>1.900230237913</v>
      </c>
      <c r="H34" s="57" t="n">
        <v>1</v>
      </c>
      <c r="I34" s="57" t="n">
        <v>1</v>
      </c>
      <c r="J34" s="92">
        <f t="array" ref="J34">'Towers'!$G$6*G34*H34*I34</f>
        <v/>
      </c>
      <c r="K34" s="92">
        <f t="array" ref="K34">IF(J34=0,0,F34/J34)</f>
        <v/>
      </c>
      <c r="L34" s="57" t="n">
        <v>1</v>
      </c>
      <c r="M34" s="43" t="inlineStr">
        <is>
          <t>Extinction Round</t>
        </is>
      </c>
      <c r="N34" s="57" t="n"/>
      <c r="O34" s="57" t="n"/>
      <c r="P34" s="57" t="n">
        <v>2</v>
      </c>
      <c r="Q34" s="57" t="n"/>
      <c r="R34" s="57" t="n"/>
      <c r="S34" s="57" t="n"/>
      <c r="T34" s="57" t="n"/>
      <c r="U34" s="57" t="n">
        <v>0.8</v>
      </c>
      <c r="V34" s="46" t="inlineStr">
        <is>
          <t>Yes</t>
        </is>
      </c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  <c r="AG34" s="57" t="n"/>
      <c r="AH34" s="57" t="n"/>
      <c r="AI34" s="57" t="n"/>
      <c r="AJ34" s="57" t="n"/>
      <c r="AK34" s="57" t="n"/>
      <c r="AL34" s="57" t="n"/>
      <c r="AM34" s="57" t="n"/>
      <c r="AN34" s="57" t="n"/>
      <c r="AO34" s="57" t="n"/>
      <c r="AP34" s="57" t="n"/>
      <c r="AQ34" s="57" t="n"/>
      <c r="AR34" s="57" t="n"/>
      <c r="AS34" s="57" t="n"/>
      <c r="AT34" s="57" t="n"/>
      <c r="BJ34" s="105" t="n">
        <v>4</v>
      </c>
      <c r="CI34" s="81" t="inlineStr">
        <is>
          <t>A</t>
        </is>
      </c>
      <c r="CJ34" s="81" t="inlineStr">
        <is>
          <t>10 times damage to bosses, and stuns them</t>
        </is>
      </c>
    </row>
    <row r="35" ht="13.65" customHeight="1" s="90">
      <c r="A35" s="43" t="inlineStr">
        <is>
          <t>Mortar Pit</t>
        </is>
      </c>
      <c r="B35" s="43" t="inlineStr">
        <is>
          <t>Blast</t>
        </is>
      </c>
      <c r="C35" s="43" t="inlineStr">
        <is>
          <t>targets</t>
        </is>
      </c>
      <c r="D35" s="56" t="n">
        <v>1</v>
      </c>
      <c r="E35" s="56">
        <f t="array" ref="E35">ROUND('Towers'!$C$7*POWER('Tuning'!$B$12,D35),0)</f>
        <v/>
      </c>
      <c r="F35" s="56">
        <f t="array" ref="F35">'Towers'!$C$7+E35</f>
        <v/>
      </c>
      <c r="G35" s="57" t="n">
        <v>1.45</v>
      </c>
      <c r="H35" s="57" t="n">
        <v>1</v>
      </c>
      <c r="I35" s="57" t="n">
        <v>1.32</v>
      </c>
      <c r="J35" s="92">
        <f t="array" ref="J35">'Towers'!$G$7*G35*H35*I35</f>
        <v/>
      </c>
      <c r="K35" s="92">
        <f t="array" ref="K35">IF(J35=0,0,F35/J35)</f>
        <v/>
      </c>
      <c r="L35" s="57" t="n">
        <v>1</v>
      </c>
      <c r="M35" s="43" t="inlineStr">
        <is>
          <t>Bigger Bang</t>
        </is>
      </c>
      <c r="N35" s="57" t="n"/>
      <c r="O35" s="57" t="n"/>
      <c r="P35" s="57" t="n"/>
      <c r="Q35" s="57" t="n"/>
      <c r="R35" s="57" t="n"/>
      <c r="S35" s="57" t="n">
        <v>1.25</v>
      </c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57" t="n"/>
      <c r="AP35" s="57" t="n"/>
      <c r="AQ35" s="57" t="n"/>
      <c r="AR35" s="57" t="n"/>
      <c r="AS35" s="57" t="n"/>
      <c r="AT35" s="57" t="n"/>
    </row>
    <row r="36" ht="13.65" customHeight="1" s="90">
      <c r="A36" s="43" t="inlineStr">
        <is>
          <t>Mortar Pit</t>
        </is>
      </c>
      <c r="B36" s="43" t="inlineStr">
        <is>
          <t>Blast</t>
        </is>
      </c>
      <c r="C36" s="43" t="inlineStr">
        <is>
          <t>targets</t>
        </is>
      </c>
      <c r="D36" s="56" t="n">
        <v>2</v>
      </c>
      <c r="E36" s="56">
        <f t="array" ref="E36">ROUND('Towers'!$C$7*POWER('Tuning'!$B$12,D36),0)</f>
        <v/>
      </c>
      <c r="F36" s="56">
        <f t="array" ref="F36">F35+E36</f>
        <v/>
      </c>
      <c r="G36" s="57" t="n">
        <v>2.1</v>
      </c>
      <c r="H36" s="57" t="n">
        <v>1</v>
      </c>
      <c r="I36" s="57" t="n">
        <v>1.74</v>
      </c>
      <c r="J36" s="92">
        <f t="array" ref="J36">'Towers'!$G$7*G36*H36*I36</f>
        <v/>
      </c>
      <c r="K36" s="92">
        <f t="array" ref="K36">IF(J36=0,0,F36/J36)</f>
        <v/>
      </c>
      <c r="L36" s="57" t="n">
        <v>1</v>
      </c>
      <c r="M36" s="43" t="inlineStr">
        <is>
          <t>Shrapnel</t>
        </is>
      </c>
      <c r="N36" s="57" t="n"/>
      <c r="O36" s="57" t="n"/>
      <c r="P36" s="57" t="n"/>
      <c r="Q36" s="57" t="n"/>
      <c r="R36" s="57" t="n"/>
      <c r="S36" s="57" t="n">
        <v>1.4</v>
      </c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</row>
    <row r="37" ht="13.65" customHeight="1" s="90">
      <c r="A37" s="43" t="inlineStr">
        <is>
          <t>Mortar Pit</t>
        </is>
      </c>
      <c r="B37" s="43" t="inlineStr">
        <is>
          <t>Blast</t>
        </is>
      </c>
      <c r="C37" s="43" t="inlineStr">
        <is>
          <t>targets</t>
        </is>
      </c>
      <c r="D37" s="56" t="n">
        <v>3</v>
      </c>
      <c r="E37" s="56">
        <f t="array" ref="E37">ROUND('Towers'!$C$7*POWER('Tuning'!$B$12,D37),0)</f>
        <v/>
      </c>
      <c r="F37" s="56">
        <f t="array" ref="F37">F36+E37</f>
        <v/>
      </c>
      <c r="G37" s="57" t="n">
        <v>3.05</v>
      </c>
      <c r="H37" s="57" t="n">
        <v>1</v>
      </c>
      <c r="I37" s="57" t="n">
        <v>2.3</v>
      </c>
      <c r="J37" s="92">
        <f t="array" ref="J37">'Towers'!$G$7*G37*H37*I37</f>
        <v/>
      </c>
      <c r="K37" s="92">
        <f t="array" ref="K37">IF(J37=0,0,F37/J37)</f>
        <v/>
      </c>
      <c r="L37" s="57" t="n">
        <v>1</v>
      </c>
      <c r="M37" s="43" t="inlineStr">
        <is>
          <t>Napalm</t>
        </is>
      </c>
      <c r="N37" s="57" t="n"/>
      <c r="O37" s="57" t="n"/>
      <c r="P37" s="57" t="n"/>
      <c r="Q37" s="57" t="n"/>
      <c r="R37" s="57" t="n"/>
      <c r="S37" s="57" t="n">
        <v>1.5</v>
      </c>
      <c r="T37" s="57" t="n"/>
      <c r="U37" s="57" t="n"/>
      <c r="V37" s="57" t="n"/>
      <c r="W37" s="57" t="n"/>
      <c r="X37" s="57" t="n">
        <v>1</v>
      </c>
      <c r="Y37" s="57" t="n">
        <v>3</v>
      </c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</row>
    <row r="38" ht="13.65" customHeight="1" s="90">
      <c r="A38" s="43" t="inlineStr">
        <is>
          <t>Mortar Pit</t>
        </is>
      </c>
      <c r="B38" s="43" t="inlineStr">
        <is>
          <t>Blast</t>
        </is>
      </c>
      <c r="C38" s="43" t="inlineStr">
        <is>
          <t>targets</t>
        </is>
      </c>
      <c r="D38" s="56" t="n">
        <v>4</v>
      </c>
      <c r="E38" s="56">
        <f t="array" ref="E38">ROUND('Towers'!$C$7*POWER('Tuning'!$B$12,D38),0)</f>
        <v/>
      </c>
      <c r="F38" s="56">
        <f t="array" ref="F38">F37+E38</f>
        <v/>
      </c>
      <c r="G38" s="57" t="n">
        <v>1.449180327869</v>
      </c>
      <c r="H38" s="57" t="n">
        <v>1</v>
      </c>
      <c r="I38" s="57" t="n">
        <v>1.321739130435</v>
      </c>
      <c r="J38" s="92">
        <f t="array" ref="J38">'Towers'!$G$7*G38*H38*I38</f>
        <v/>
      </c>
      <c r="K38" s="92">
        <f t="array" ref="K38">IF(J38=0,0,F38/J38)</f>
        <v/>
      </c>
      <c r="L38" s="57" t="n">
        <v>1</v>
      </c>
      <c r="M38" s="43" t="inlineStr">
        <is>
          <t>Firestorm</t>
        </is>
      </c>
      <c r="N38" s="57" t="n"/>
      <c r="O38" s="57" t="n"/>
      <c r="P38" s="57" t="n"/>
      <c r="Q38" s="57" t="n"/>
      <c r="R38" s="57" t="n"/>
      <c r="S38" s="57" t="n">
        <v>1.066666666667</v>
      </c>
      <c r="T38" s="57" t="n"/>
      <c r="U38" s="57" t="n"/>
      <c r="V38" s="57" t="n"/>
      <c r="W38" s="57" t="n"/>
      <c r="X38" s="57" t="n">
        <v>2</v>
      </c>
      <c r="Y38" s="57" t="n">
        <v>4</v>
      </c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57" t="n"/>
      <c r="AQ38" s="57" t="n"/>
      <c r="AR38" s="57" t="n"/>
      <c r="AS38" s="57" t="n"/>
      <c r="AT38" s="57" t="n"/>
      <c r="CI38" s="81" t="inlineStr">
        <is>
          <t>A</t>
        </is>
      </c>
      <c r="CJ38" s="81" t="inlineStr">
        <is>
          <t>Bigger blasts that leave dinos burning</t>
        </is>
      </c>
    </row>
    <row r="39" ht="13.65" customHeight="1" s="90">
      <c r="A39" s="43" t="inlineStr">
        <is>
          <t>Mortar Pit</t>
        </is>
      </c>
      <c r="B39" s="43" t="inlineStr">
        <is>
          <t>Blast</t>
        </is>
      </c>
      <c r="C39" s="43" t="inlineStr">
        <is>
          <t>targets</t>
        </is>
      </c>
      <c r="D39" s="56" t="n">
        <v>5</v>
      </c>
      <c r="E39" s="56">
        <f t="array" ref="E39">ROUND('Towers'!$C$7*POWER('Tuning'!$B$12,D39),0)</f>
        <v/>
      </c>
      <c r="F39" s="56">
        <f t="array" ref="F39">F38+E39</f>
        <v/>
      </c>
      <c r="G39" s="57" t="n">
        <v>1.450226244344</v>
      </c>
      <c r="H39" s="57" t="n">
        <v>1</v>
      </c>
      <c r="I39" s="57" t="n">
        <v>1.319078947368</v>
      </c>
      <c r="J39" s="92">
        <f t="array" ref="J39">'Towers'!$G$7*G39*H39*I39</f>
        <v/>
      </c>
      <c r="K39" s="92">
        <f t="array" ref="K39">IF(J39=0,0,F39/J39)</f>
        <v/>
      </c>
      <c r="L39" s="57" t="n">
        <v>1</v>
      </c>
      <c r="M39" s="43" t="inlineStr">
        <is>
          <t>Scorched Earth</t>
        </is>
      </c>
      <c r="N39" s="57" t="n"/>
      <c r="O39" s="57" t="n"/>
      <c r="P39" s="57" t="n"/>
      <c r="Q39" s="57" t="n"/>
      <c r="R39" s="57" t="n"/>
      <c r="S39" s="57" t="n">
        <v>1.125</v>
      </c>
      <c r="T39" s="57" t="n"/>
      <c r="U39" s="57" t="n"/>
      <c r="V39" s="57" t="n"/>
      <c r="W39" s="57" t="n"/>
      <c r="X39" s="57" t="n">
        <v>4</v>
      </c>
      <c r="Y39" s="57" t="n">
        <v>6</v>
      </c>
      <c r="Z39" s="57" t="n"/>
      <c r="AA39" s="57" t="n"/>
      <c r="AB39" s="57" t="n"/>
      <c r="AC39" s="57" t="n"/>
      <c r="AD39" s="57" t="n"/>
      <c r="AE39" s="57" t="n"/>
      <c r="AF39" s="57" t="n"/>
      <c r="AG39" s="57" t="n"/>
      <c r="AH39" s="57" t="n"/>
      <c r="AI39" s="57" t="n"/>
      <c r="AJ39" s="57" t="n"/>
      <c r="AK39" s="57" t="n"/>
      <c r="AL39" s="57" t="n"/>
      <c r="AM39" s="57" t="n"/>
      <c r="AN39" s="57" t="n"/>
      <c r="AO39" s="57" t="n"/>
      <c r="AP39" s="57" t="n"/>
      <c r="AQ39" s="57" t="n"/>
      <c r="AR39" s="57" t="n"/>
      <c r="AS39" s="57" t="n"/>
      <c r="AT39" s="57" t="n"/>
      <c r="CI39" s="81" t="inlineStr">
        <is>
          <t>A</t>
        </is>
      </c>
      <c r="CJ39" s="81" t="inlineStr">
        <is>
          <t>Leaves a long burning stretch of track</t>
        </is>
      </c>
    </row>
    <row r="40" ht="13.65" customHeight="1" s="90">
      <c r="A40" s="43" t="inlineStr">
        <is>
          <t>Mortar Pit</t>
        </is>
      </c>
      <c r="B40" s="43" t="inlineStr">
        <is>
          <t>Cluster</t>
        </is>
      </c>
      <c r="C40" s="43" t="inlineStr">
        <is>
          <t>targets</t>
        </is>
      </c>
      <c r="D40" s="56" t="n">
        <v>1</v>
      </c>
      <c r="E40" s="56">
        <f t="array" ref="E40">ROUND('Towers'!$C$7*POWER('Tuning'!$B$12,D40),0)</f>
        <v/>
      </c>
      <c r="F40" s="56">
        <f t="array" ref="F40">'Towers'!$C$7+E40</f>
        <v/>
      </c>
      <c r="G40" s="57" t="n">
        <v>1.45</v>
      </c>
      <c r="H40" s="57" t="n">
        <v>1</v>
      </c>
      <c r="I40" s="57" t="n">
        <v>1.32</v>
      </c>
      <c r="J40" s="92">
        <f t="array" ref="J40">'Towers'!$G$7*G40*H40*I40</f>
        <v/>
      </c>
      <c r="K40" s="92">
        <f t="array" ref="K40">IF(J40=0,0,F40/J40)</f>
        <v/>
      </c>
      <c r="L40" s="57" t="n">
        <v>1</v>
      </c>
      <c r="M40" s="43" t="inlineStr">
        <is>
          <t>Cluster Shell</t>
        </is>
      </c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>
        <v>3</v>
      </c>
      <c r="AA40" s="57" t="n">
        <v>1</v>
      </c>
      <c r="AB40" s="57" t="n"/>
      <c r="AC40" s="57" t="n"/>
      <c r="AD40" s="57" t="n"/>
      <c r="AE40" s="57" t="n"/>
      <c r="AF40" s="57" t="n"/>
      <c r="AG40" s="57" t="n"/>
      <c r="AH40" s="57" t="n"/>
      <c r="AI40" s="57" t="n"/>
      <c r="AJ40" s="57" t="n"/>
      <c r="AK40" s="57" t="n"/>
      <c r="AL40" s="57" t="n"/>
      <c r="AM40" s="57" t="n"/>
      <c r="AN40" s="57" t="n"/>
      <c r="AO40" s="57" t="n"/>
      <c r="AP40" s="57" t="n"/>
      <c r="AQ40" s="57" t="n"/>
      <c r="AR40" s="57" t="n"/>
      <c r="AS40" s="57" t="n"/>
      <c r="AT40" s="57" t="n"/>
    </row>
    <row r="41" ht="13.65" customHeight="1" s="90">
      <c r="A41" s="43" t="inlineStr">
        <is>
          <t>Mortar Pit</t>
        </is>
      </c>
      <c r="B41" s="43" t="inlineStr">
        <is>
          <t>Cluster</t>
        </is>
      </c>
      <c r="C41" s="43" t="inlineStr">
        <is>
          <t>targets</t>
        </is>
      </c>
      <c r="D41" s="56" t="n">
        <v>2</v>
      </c>
      <c r="E41" s="56">
        <f t="array" ref="E41">ROUND('Towers'!$C$7*POWER('Tuning'!$B$12,D41),0)</f>
        <v/>
      </c>
      <c r="F41" s="56">
        <f t="array" ref="F41">F40+E41</f>
        <v/>
      </c>
      <c r="G41" s="57" t="n">
        <v>2.1</v>
      </c>
      <c r="H41" s="57" t="n">
        <v>1</v>
      </c>
      <c r="I41" s="57" t="n">
        <v>1.74</v>
      </c>
      <c r="J41" s="92">
        <f t="array" ref="J41">'Towers'!$G$7*G41*H41*I41</f>
        <v/>
      </c>
      <c r="K41" s="92">
        <f t="array" ref="K41">IF(J41=0,0,F41/J41)</f>
        <v/>
      </c>
      <c r="L41" s="57" t="n">
        <v>1</v>
      </c>
      <c r="M41" s="43" t="inlineStr">
        <is>
          <t>Rapid Loader</t>
        </is>
      </c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>
        <v>3</v>
      </c>
      <c r="AA41" s="57" t="n">
        <v>1</v>
      </c>
      <c r="AB41" s="57" t="n"/>
      <c r="AC41" s="57" t="n"/>
      <c r="AD41" s="57" t="n"/>
      <c r="AE41" s="57" t="n"/>
      <c r="AF41" s="57" t="n"/>
      <c r="AG41" s="57" t="n"/>
      <c r="AH41" s="57" t="n"/>
      <c r="AI41" s="57" t="n"/>
      <c r="AJ41" s="57" t="n"/>
      <c r="AK41" s="57" t="n"/>
      <c r="AL41" s="57" t="n"/>
      <c r="AM41" s="57" t="n"/>
      <c r="AN41" s="57" t="n"/>
      <c r="AO41" s="57" t="n"/>
      <c r="AP41" s="57" t="n"/>
      <c r="AQ41" s="57" t="n"/>
      <c r="AR41" s="57" t="n"/>
      <c r="AS41" s="57" t="n"/>
      <c r="AT41" s="57" t="n"/>
    </row>
    <row r="42" ht="13.65" customHeight="1" s="90">
      <c r="A42" s="43" t="inlineStr">
        <is>
          <t>Mortar Pit</t>
        </is>
      </c>
      <c r="B42" s="43" t="inlineStr">
        <is>
          <t>Cluster</t>
        </is>
      </c>
      <c r="C42" s="43" t="inlineStr">
        <is>
          <t>targets</t>
        </is>
      </c>
      <c r="D42" s="56" t="n">
        <v>3</v>
      </c>
      <c r="E42" s="56">
        <f t="array" ref="E42">ROUND('Towers'!$C$7*POWER('Tuning'!$B$12,D42),0)</f>
        <v/>
      </c>
      <c r="F42" s="56">
        <f t="array" ref="F42">F41+E42</f>
        <v/>
      </c>
      <c r="G42" s="57" t="n">
        <v>3.05</v>
      </c>
      <c r="H42" s="57" t="n">
        <v>1</v>
      </c>
      <c r="I42" s="57" t="n">
        <v>2.3</v>
      </c>
      <c r="J42" s="92">
        <f t="array" ref="J42">'Towers'!$G$7*G42*H42*I42</f>
        <v/>
      </c>
      <c r="K42" s="92">
        <f t="array" ref="K42">IF(J42=0,0,F42/J42)</f>
        <v/>
      </c>
      <c r="L42" s="57" t="n">
        <v>1</v>
      </c>
      <c r="M42" s="43" t="inlineStr">
        <is>
          <t>Chain Reaction</t>
        </is>
      </c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>
        <v>3</v>
      </c>
      <c r="AA42" s="57" t="n">
        <v>2</v>
      </c>
      <c r="AB42" s="57" t="n"/>
      <c r="AC42" s="57" t="n"/>
      <c r="AD42" s="57" t="n"/>
      <c r="AE42" s="57" t="n"/>
      <c r="AF42" s="57" t="n"/>
      <c r="AG42" s="57" t="n"/>
      <c r="AH42" s="57" t="n"/>
      <c r="AI42" s="57" t="n"/>
      <c r="AJ42" s="57" t="n"/>
      <c r="AK42" s="57" t="n"/>
      <c r="AL42" s="57" t="n"/>
      <c r="AM42" s="57" t="n"/>
      <c r="AN42" s="57" t="n"/>
      <c r="AO42" s="57" t="n"/>
      <c r="AP42" s="57" t="n"/>
      <c r="AQ42" s="57" t="n"/>
      <c r="AR42" s="57" t="n"/>
      <c r="AS42" s="57" t="n"/>
      <c r="AT42" s="57" t="n"/>
    </row>
    <row r="43" ht="13.65" customHeight="1" s="90">
      <c r="A43" s="43" t="inlineStr">
        <is>
          <t>Mortar Pit</t>
        </is>
      </c>
      <c r="B43" s="43" t="inlineStr">
        <is>
          <t>Cluster</t>
        </is>
      </c>
      <c r="C43" s="43" t="inlineStr">
        <is>
          <t>targets</t>
        </is>
      </c>
      <c r="D43" s="56" t="n">
        <v>4</v>
      </c>
      <c r="E43" s="56">
        <f t="array" ref="E43">ROUND('Towers'!$C$7*POWER('Tuning'!$B$12,D43),0)</f>
        <v/>
      </c>
      <c r="F43" s="56">
        <f t="array" ref="F43">F42+E43</f>
        <v/>
      </c>
      <c r="G43" s="57" t="n">
        <v>1.449180327869</v>
      </c>
      <c r="H43" s="57" t="n">
        <v>1</v>
      </c>
      <c r="I43" s="57" t="n">
        <v>1.321739130435</v>
      </c>
      <c r="J43" s="92">
        <f t="array" ref="J43">'Towers'!$G$7*G43*H43*I43</f>
        <v/>
      </c>
      <c r="K43" s="92">
        <f t="array" ref="K43">IF(J43=0,0,F43/J43)</f>
        <v/>
      </c>
      <c r="L43" s="57" t="n">
        <v>1</v>
      </c>
      <c r="M43" s="43" t="inlineStr">
        <is>
          <t>Carpet Shelling</t>
        </is>
      </c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>
        <v>4</v>
      </c>
      <c r="AA43" s="57" t="n"/>
      <c r="AB43" s="57" t="n"/>
      <c r="AC43" s="57" t="n"/>
      <c r="AD43" s="57" t="n"/>
      <c r="AE43" s="57" t="n"/>
      <c r="AF43" s="57" t="n"/>
      <c r="AG43" s="57" t="n"/>
      <c r="AH43" s="57" t="n"/>
      <c r="AI43" s="57" t="n"/>
      <c r="AJ43" s="57" t="n"/>
      <c r="AK43" s="57" t="n"/>
      <c r="AL43" s="57" t="n"/>
      <c r="AM43" s="57" t="n"/>
      <c r="AN43" s="57" t="n"/>
      <c r="AO43" s="57" t="n"/>
      <c r="AP43" s="57" t="n"/>
      <c r="AQ43" s="57" t="n"/>
      <c r="AR43" s="57" t="n"/>
      <c r="AS43" s="57" t="n"/>
      <c r="AT43" s="57" t="n"/>
      <c r="CI43" s="81" t="inlineStr">
        <is>
          <t>A</t>
        </is>
      </c>
      <c r="CJ43" s="81" t="inlineStr">
        <is>
          <t>More bomblets and harder blasts</t>
        </is>
      </c>
    </row>
    <row r="44" ht="13.65" customHeight="1" s="90">
      <c r="A44" s="43" t="inlineStr">
        <is>
          <t>Mortar Pit</t>
        </is>
      </c>
      <c r="B44" s="43" t="inlineStr">
        <is>
          <t>Cluster</t>
        </is>
      </c>
      <c r="C44" s="43" t="inlineStr">
        <is>
          <t>targets</t>
        </is>
      </c>
      <c r="D44" s="56" t="n">
        <v>5</v>
      </c>
      <c r="E44" s="56">
        <f t="array" ref="E44">ROUND('Towers'!$C$7*POWER('Tuning'!$B$12,D44),0)</f>
        <v/>
      </c>
      <c r="F44" s="56">
        <f t="array" ref="F44">F43+E44</f>
        <v/>
      </c>
      <c r="G44" s="57" t="n">
        <v>1.450226244344</v>
      </c>
      <c r="H44" s="57" t="n">
        <v>1</v>
      </c>
      <c r="I44" s="57" t="n">
        <v>1.319078947368</v>
      </c>
      <c r="J44" s="92">
        <f t="array" ref="J44">'Towers'!$G$7*G44*H44*I44</f>
        <v/>
      </c>
      <c r="K44" s="92">
        <f t="array" ref="K44">IF(J44=0,0,F44/J44)</f>
        <v/>
      </c>
      <c r="L44" s="57" t="n">
        <v>1</v>
      </c>
      <c r="M44" s="43" t="inlineStr">
        <is>
          <t>Meteor Shower</t>
        </is>
      </c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>
        <v>5</v>
      </c>
      <c r="AA44" s="57" t="n"/>
      <c r="AB44" s="57" t="n"/>
      <c r="AC44" s="57" t="n"/>
      <c r="AD44" s="57" t="n"/>
      <c r="AE44" s="57" t="n"/>
      <c r="AF44" s="57" t="n"/>
      <c r="AG44" s="57" t="n"/>
      <c r="AH44" s="57" t="n"/>
      <c r="AI44" s="57" t="n"/>
      <c r="AJ44" s="57" t="n"/>
      <c r="AK44" s="57" t="n"/>
      <c r="AL44" s="57" t="n"/>
      <c r="AM44" s="57" t="n"/>
      <c r="AN44" s="57" t="n"/>
      <c r="AO44" s="57" t="n"/>
      <c r="AP44" s="57" t="n"/>
      <c r="AQ44" s="57" t="n"/>
      <c r="AR44" s="57" t="n"/>
      <c r="AS44" s="57" t="n"/>
      <c r="AT44" s="57" t="n"/>
      <c r="CI44" s="81" t="inlineStr">
        <is>
          <t>A</t>
        </is>
      </c>
      <c r="CJ44" s="81" t="inlineStr">
        <is>
          <t>Even more bomblets rain down</t>
        </is>
      </c>
    </row>
    <row r="45" ht="13.65" customHeight="1" s="90">
      <c r="A45" s="43" t="inlineStr">
        <is>
          <t>Mortar Pit</t>
        </is>
      </c>
      <c r="B45" s="43" t="inlineStr">
        <is>
          <t>Concussive</t>
        </is>
      </c>
      <c r="C45" s="43" t="inlineStr">
        <is>
          <t>damage</t>
        </is>
      </c>
      <c r="D45" s="56" t="n">
        <v>1</v>
      </c>
      <c r="E45" s="56">
        <f t="array" ref="E45">ROUND('Towers'!$C$7*POWER('Tuning'!$B$12,D45),0)</f>
        <v/>
      </c>
      <c r="F45" s="56">
        <f t="array" ref="F45">'Towers'!$C$7+E45</f>
        <v/>
      </c>
      <c r="G45" s="57" t="n">
        <v>1.9</v>
      </c>
      <c r="H45" s="57" t="n">
        <v>1</v>
      </c>
      <c r="I45" s="57" t="n">
        <v>1</v>
      </c>
      <c r="J45" s="92">
        <f t="array" ref="J45">'Towers'!$G$7*G45*H45*I45</f>
        <v/>
      </c>
      <c r="K45" s="92">
        <f t="array" ref="K45">IF(J45=0,0,F45/J45)</f>
        <v/>
      </c>
      <c r="L45" s="57" t="n">
        <v>1</v>
      </c>
      <c r="M45" s="43" t="inlineStr">
        <is>
          <t>Shockwave</t>
        </is>
      </c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>
        <v>3</v>
      </c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  <c r="AG45" s="57" t="n"/>
      <c r="AH45" s="57" t="n"/>
      <c r="AI45" s="57" t="n"/>
      <c r="AJ45" s="57" t="n"/>
      <c r="AK45" s="57" t="n"/>
      <c r="AL45" s="57" t="n"/>
      <c r="AM45" s="57" t="n"/>
      <c r="AN45" s="57" t="n"/>
      <c r="AO45" s="57" t="n"/>
      <c r="AP45" s="57" t="n"/>
      <c r="AQ45" s="57" t="n"/>
      <c r="AR45" s="57" t="n"/>
      <c r="AS45" s="57" t="n"/>
      <c r="AT45" s="57" t="n"/>
    </row>
    <row r="46" ht="13.65" customHeight="1" s="90">
      <c r="A46" s="43" t="inlineStr">
        <is>
          <t>Mortar Pit</t>
        </is>
      </c>
      <c r="B46" s="43" t="inlineStr">
        <is>
          <t>Concussive</t>
        </is>
      </c>
      <c r="C46" s="43" t="inlineStr">
        <is>
          <t>damage</t>
        </is>
      </c>
      <c r="D46" s="56" t="n">
        <v>2</v>
      </c>
      <c r="E46" s="56">
        <f t="array" ref="E46">ROUND('Towers'!$C$7*POWER('Tuning'!$B$12,D46),0)</f>
        <v/>
      </c>
      <c r="F46" s="56">
        <f t="array" ref="F46">F45+E46</f>
        <v/>
      </c>
      <c r="G46" s="57" t="n">
        <v>3.61</v>
      </c>
      <c r="H46" s="57" t="n">
        <v>1</v>
      </c>
      <c r="I46" s="57" t="n">
        <v>1</v>
      </c>
      <c r="J46" s="92">
        <f t="array" ref="J46">'Towers'!$G$7*G46*H46*I46</f>
        <v/>
      </c>
      <c r="K46" s="92">
        <f t="array" ref="K46">IF(J46=0,0,F46/J46)</f>
        <v/>
      </c>
      <c r="L46" s="57" t="n">
        <v>1</v>
      </c>
      <c r="M46" s="43" t="inlineStr">
        <is>
          <t>Armor Crack</t>
        </is>
      </c>
      <c r="N46" s="46" t="inlineStr">
        <is>
          <t>Yes</t>
        </is>
      </c>
      <c r="O46" s="57" t="n">
        <v>2</v>
      </c>
      <c r="P46" s="57" t="n"/>
      <c r="Q46" s="57" t="n"/>
      <c r="R46" s="57" t="n"/>
      <c r="S46" s="57" t="n"/>
      <c r="T46" s="57" t="n"/>
      <c r="U46" s="57" t="n"/>
      <c r="V46" s="57" t="n"/>
      <c r="W46" s="57" t="n">
        <v>3</v>
      </c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  <c r="AG46" s="57" t="n"/>
      <c r="AH46" s="57" t="n"/>
      <c r="AI46" s="57" t="n"/>
      <c r="AJ46" s="57" t="n"/>
      <c r="AK46" s="57" t="n"/>
      <c r="AL46" s="57" t="n"/>
      <c r="AM46" s="57" t="n"/>
      <c r="AN46" s="57" t="n"/>
      <c r="AO46" s="57" t="n"/>
      <c r="AP46" s="57" t="n"/>
      <c r="AQ46" s="57" t="n"/>
      <c r="AR46" s="57" t="n"/>
      <c r="AS46" s="57" t="n"/>
      <c r="AT46" s="57" t="n"/>
    </row>
    <row r="47" ht="13.65" customHeight="1" s="90">
      <c r="A47" s="43" t="inlineStr">
        <is>
          <t>Mortar Pit</t>
        </is>
      </c>
      <c r="B47" s="43" t="inlineStr">
        <is>
          <t>Concussive</t>
        </is>
      </c>
      <c r="C47" s="43" t="inlineStr">
        <is>
          <t>damage</t>
        </is>
      </c>
      <c r="D47" s="56" t="n">
        <v>3</v>
      </c>
      <c r="E47" s="56">
        <f t="array" ref="E47">ROUND('Towers'!$C$7*POWER('Tuning'!$B$12,D47),0)</f>
        <v/>
      </c>
      <c r="F47" s="56">
        <f t="array" ref="F47">F46+E47</f>
        <v/>
      </c>
      <c r="G47" s="57" t="n">
        <v>6.86</v>
      </c>
      <c r="H47" s="57" t="n">
        <v>1</v>
      </c>
      <c r="I47" s="57" t="n">
        <v>1</v>
      </c>
      <c r="J47" s="92">
        <f t="array" ref="J47">'Towers'!$G$7*G47*H47*I47</f>
        <v/>
      </c>
      <c r="K47" s="92">
        <f t="array" ref="K47">IF(J47=0,0,F47/J47)</f>
        <v/>
      </c>
      <c r="L47" s="57" t="n">
        <v>1</v>
      </c>
      <c r="M47" s="43" t="inlineStr">
        <is>
          <t>Stun Grenade</t>
        </is>
      </c>
      <c r="N47" s="46" t="inlineStr">
        <is>
          <t>Yes</t>
        </is>
      </c>
      <c r="O47" s="57" t="n">
        <v>2</v>
      </c>
      <c r="P47" s="57" t="n"/>
      <c r="Q47" s="57" t="n"/>
      <c r="R47" s="57" t="n"/>
      <c r="S47" s="57" t="n"/>
      <c r="T47" s="57" t="n"/>
      <c r="U47" s="57" t="n">
        <v>0.3</v>
      </c>
      <c r="V47" s="57" t="n"/>
      <c r="W47" s="57" t="n">
        <v>3</v>
      </c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  <c r="AG47" s="57" t="n"/>
      <c r="AH47" s="57" t="n"/>
      <c r="AI47" s="57" t="n"/>
      <c r="AJ47" s="57" t="n"/>
      <c r="AK47" s="57" t="n"/>
      <c r="AL47" s="57" t="n"/>
      <c r="AM47" s="57" t="n"/>
      <c r="AN47" s="57" t="n"/>
      <c r="AO47" s="57" t="n"/>
      <c r="AP47" s="57" t="n"/>
      <c r="AQ47" s="57" t="n"/>
      <c r="AR47" s="57" t="n"/>
      <c r="AS47" s="57" t="n"/>
      <c r="AT47" s="57" t="n"/>
    </row>
    <row r="48" ht="13.65" customHeight="1" s="90">
      <c r="A48" s="43" t="inlineStr">
        <is>
          <t>Mortar Pit</t>
        </is>
      </c>
      <c r="B48" s="43" t="inlineStr">
        <is>
          <t>Concussive</t>
        </is>
      </c>
      <c r="C48" s="43" t="inlineStr">
        <is>
          <t>damage</t>
        </is>
      </c>
      <c r="D48" s="56" t="n">
        <v>4</v>
      </c>
      <c r="E48" s="56">
        <f t="array" ref="E48">ROUND('Towers'!$C$7*POWER('Tuning'!$B$12,D48),0)</f>
        <v/>
      </c>
      <c r="F48" s="56">
        <f t="array" ref="F48">F47+E48</f>
        <v/>
      </c>
      <c r="G48" s="57" t="n">
        <v>1.899416909621</v>
      </c>
      <c r="H48" s="57" t="n">
        <v>1</v>
      </c>
      <c r="I48" s="57" t="n">
        <v>1</v>
      </c>
      <c r="J48" s="92">
        <f t="array" ref="J48">'Towers'!$G$7*G48*H48*I48</f>
        <v/>
      </c>
      <c r="K48" s="92">
        <f t="array" ref="K48">IF(J48=0,0,F48/J48)</f>
        <v/>
      </c>
      <c r="L48" s="57" t="n">
        <v>1</v>
      </c>
      <c r="M48" s="43" t="inlineStr">
        <is>
          <t>Earthshaker</t>
        </is>
      </c>
      <c r="N48" s="46" t="n"/>
      <c r="O48" s="57" t="n">
        <v>1</v>
      </c>
      <c r="P48" s="57" t="n"/>
      <c r="Q48" s="57" t="n"/>
      <c r="R48" s="57" t="n"/>
      <c r="S48" s="57" t="n"/>
      <c r="T48" s="57" t="n"/>
      <c r="U48" s="57" t="n"/>
      <c r="V48" s="57" t="n"/>
      <c r="W48" s="57" t="n">
        <v>6</v>
      </c>
      <c r="X48" s="57" t="n"/>
      <c r="Y48" s="57" t="n"/>
      <c r="Z48" s="57" t="n"/>
      <c r="AA48" s="57" t="n"/>
      <c r="AB48" s="57" t="n"/>
      <c r="AC48" s="57" t="n"/>
      <c r="AD48" s="57" t="n"/>
      <c r="AE48" s="57" t="n"/>
      <c r="AF48" s="57" t="n"/>
      <c r="AG48" s="57" t="n"/>
      <c r="AH48" s="57" t="n"/>
      <c r="AI48" s="57" t="n"/>
      <c r="AJ48" s="57" t="n"/>
      <c r="AK48" s="57" t="n"/>
      <c r="AL48" s="57" t="n"/>
      <c r="AM48" s="57" t="n"/>
      <c r="AN48" s="57" t="n"/>
      <c r="AO48" s="57" t="n"/>
      <c r="AP48" s="57" t="n"/>
      <c r="AQ48" s="57" t="n"/>
      <c r="AR48" s="57" t="n"/>
      <c r="AS48" s="57" t="n"/>
      <c r="AT48" s="57" t="n"/>
      <c r="CI48" s="81" t="inlineStr">
        <is>
          <t>A</t>
        </is>
      </c>
      <c r="CJ48" s="81" t="inlineStr">
        <is>
          <t>Hits much harder and knocks dinos further back</t>
        </is>
      </c>
    </row>
    <row r="49" ht="13.65" customHeight="1" s="90">
      <c r="A49" s="43" t="inlineStr">
        <is>
          <t>Mortar Pit</t>
        </is>
      </c>
      <c r="B49" s="43" t="inlineStr">
        <is>
          <t>Concussive</t>
        </is>
      </c>
      <c r="C49" s="43" t="inlineStr">
        <is>
          <t>damage</t>
        </is>
      </c>
      <c r="D49" s="56" t="n">
        <v>5</v>
      </c>
      <c r="E49" s="56">
        <f t="array" ref="E49">ROUND('Towers'!$C$7*POWER('Tuning'!$B$12,D49),0)</f>
        <v/>
      </c>
      <c r="F49" s="56">
        <f t="array" ref="F49">F48+E49</f>
        <v/>
      </c>
      <c r="G49" s="57" t="n">
        <v>2.609363008442</v>
      </c>
      <c r="H49" s="57" t="n">
        <v>1</v>
      </c>
      <c r="I49" s="57" t="n">
        <v>1</v>
      </c>
      <c r="J49" s="92">
        <f t="array" ref="J49">'Towers'!$G$7*G49*H49*I49</f>
        <v/>
      </c>
      <c r="K49" s="92">
        <f t="array" ref="K49">IF(J49=0,0,F49/J49)</f>
        <v/>
      </c>
      <c r="L49" s="57" t="n">
        <v>1</v>
      </c>
      <c r="M49" s="43" t="inlineStr">
        <is>
          <t>Tectonic Slam</t>
        </is>
      </c>
      <c r="N49" s="46" t="n"/>
      <c r="O49" s="57" t="n">
        <v>1</v>
      </c>
      <c r="P49" s="57" t="n"/>
      <c r="Q49" s="57" t="n"/>
      <c r="R49" s="57" t="n"/>
      <c r="S49" s="57" t="n"/>
      <c r="T49" s="57" t="n"/>
      <c r="U49" s="57" t="n">
        <v>1</v>
      </c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  <c r="AG49" s="57" t="n"/>
      <c r="AH49" s="57" t="n"/>
      <c r="AI49" s="57" t="n"/>
      <c r="AJ49" s="57" t="n"/>
      <c r="AK49" s="57" t="n"/>
      <c r="AL49" s="57" t="n"/>
      <c r="AM49" s="57" t="n"/>
      <c r="AN49" s="57" t="n"/>
      <c r="AO49" s="57" t="n"/>
      <c r="AP49" s="57" t="n"/>
      <c r="AQ49" s="57" t="n"/>
      <c r="AR49" s="57" t="n"/>
      <c r="AS49" s="57" t="n"/>
      <c r="AT49" s="57" t="n"/>
      <c r="CI49" s="81" t="inlineStr">
        <is>
          <t>A</t>
        </is>
      </c>
      <c r="CJ49" s="81" t="inlineStr">
        <is>
          <t>Stuns every dino it hits for a second</t>
        </is>
      </c>
    </row>
    <row r="50" ht="13.65" customHeight="1" s="90">
      <c r="A50" s="43" t="inlineStr">
        <is>
          <t>Tranq Station</t>
        </is>
      </c>
      <c r="B50" s="43" t="inlineStr">
        <is>
          <t>Sedate</t>
        </is>
      </c>
      <c r="C50" s="43" t="inlineStr">
        <is>
          <t>range</t>
        </is>
      </c>
      <c r="D50" s="56" t="n">
        <v>1</v>
      </c>
      <c r="E50" s="56">
        <f t="array" ref="E50">ROUND('Towers'!$C$8*POWER('Tuning'!$B$12,D50),0)</f>
        <v/>
      </c>
      <c r="F50" s="56">
        <f t="array" ref="F50">'Towers'!$C$8+E50</f>
        <v/>
      </c>
      <c r="G50" s="57" t="n">
        <v>1.3</v>
      </c>
      <c r="H50" s="57" t="n">
        <v>1.15</v>
      </c>
      <c r="I50" s="57" t="n">
        <v>1</v>
      </c>
      <c r="J50" s="92">
        <f t="array" ref="J50">'Towers'!$G$8*G50*H50*I50</f>
        <v/>
      </c>
      <c r="K50" s="92">
        <f t="array" ref="K50">IF(J50=0,0,F50/J50)</f>
        <v/>
      </c>
      <c r="L50" s="57" t="n">
        <v>1.15</v>
      </c>
      <c r="M50" s="43" t="inlineStr">
        <is>
          <t>Mild Dose</t>
        </is>
      </c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>
        <v>50</v>
      </c>
      <c r="AF50" s="57" t="n"/>
      <c r="AG50" s="57" t="n"/>
      <c r="AH50" s="57" t="n"/>
      <c r="AI50" s="57" t="n"/>
      <c r="AJ50" s="57" t="n"/>
      <c r="AK50" s="57" t="n"/>
      <c r="AL50" s="57" t="n"/>
      <c r="AM50" s="57" t="n"/>
      <c r="AN50" s="57" t="n"/>
      <c r="AO50" s="57" t="n"/>
      <c r="AP50" s="57" t="n"/>
      <c r="AQ50" s="57" t="n"/>
      <c r="AR50" s="57" t="n"/>
      <c r="AS50" s="57" t="n"/>
      <c r="AT50" s="57" t="n"/>
    </row>
    <row r="51" ht="13.65" customHeight="1" s="90">
      <c r="A51" s="43" t="inlineStr">
        <is>
          <t>Tranq Station</t>
        </is>
      </c>
      <c r="B51" s="43" t="inlineStr">
        <is>
          <t>Sedate</t>
        </is>
      </c>
      <c r="C51" s="43" t="inlineStr">
        <is>
          <t>range</t>
        </is>
      </c>
      <c r="D51" s="56" t="n">
        <v>2</v>
      </c>
      <c r="E51" s="56">
        <f t="array" ref="E51">ROUND('Towers'!$C$8*POWER('Tuning'!$B$12,D51),0)</f>
        <v/>
      </c>
      <c r="F51" s="56">
        <f t="array" ref="F51">F50+E51</f>
        <v/>
      </c>
      <c r="G51" s="57" t="n">
        <v>1.69</v>
      </c>
      <c r="H51" s="57" t="n">
        <v>1.32</v>
      </c>
      <c r="I51" s="57" t="n">
        <v>1</v>
      </c>
      <c r="J51" s="92">
        <f t="array" ref="J51">'Towers'!$G$8*G51*H51*I51</f>
        <v/>
      </c>
      <c r="K51" s="92">
        <f t="array" ref="K51">IF(J51=0,0,F51/J51)</f>
        <v/>
      </c>
      <c r="L51" s="57" t="n">
        <v>1.3</v>
      </c>
      <c r="M51" s="43" t="inlineStr">
        <is>
          <t>Heavy Dose</t>
        </is>
      </c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>
        <v>60</v>
      </c>
      <c r="AF51" s="57" t="n"/>
      <c r="AG51" s="57" t="n"/>
      <c r="AH51" s="57" t="n"/>
      <c r="AI51" s="57" t="n"/>
      <c r="AJ51" s="57" t="n"/>
      <c r="AK51" s="57" t="n"/>
      <c r="AL51" s="57" t="n"/>
      <c r="AM51" s="57" t="n"/>
      <c r="AN51" s="57" t="n"/>
      <c r="AO51" s="57" t="n"/>
      <c r="AP51" s="57" t="n"/>
      <c r="AQ51" s="57" t="n"/>
      <c r="AR51" s="57" t="n"/>
      <c r="AS51" s="57" t="n"/>
      <c r="AT51" s="57" t="n"/>
    </row>
    <row r="52" ht="13.65" customHeight="1" s="90">
      <c r="A52" s="43" t="inlineStr">
        <is>
          <t>Tranq Station</t>
        </is>
      </c>
      <c r="B52" s="43" t="inlineStr">
        <is>
          <t>Sedate</t>
        </is>
      </c>
      <c r="C52" s="43" t="inlineStr">
        <is>
          <t>range</t>
        </is>
      </c>
      <c r="D52" s="56" t="n">
        <v>3</v>
      </c>
      <c r="E52" s="56">
        <f t="array" ref="E52">ROUND('Towers'!$C$8*POWER('Tuning'!$B$12,D52),0)</f>
        <v/>
      </c>
      <c r="F52" s="56">
        <f t="array" ref="F52">F51+E52</f>
        <v/>
      </c>
      <c r="G52" s="57" t="n">
        <v>2.2</v>
      </c>
      <c r="H52" s="57" t="n">
        <v>1.52</v>
      </c>
      <c r="I52" s="57" t="n">
        <v>1</v>
      </c>
      <c r="J52" s="92">
        <f t="array" ref="J52">'Towers'!$G$8*G52*H52*I52</f>
        <v/>
      </c>
      <c r="K52" s="92">
        <f t="array" ref="K52">IF(J52=0,0,F52/J52)</f>
        <v/>
      </c>
      <c r="L52" s="57" t="n">
        <v>1.5</v>
      </c>
      <c r="M52" s="43" t="inlineStr">
        <is>
          <t>Lingering Dose</t>
        </is>
      </c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>
        <v>60</v>
      </c>
      <c r="AF52" s="57" t="n">
        <v>2</v>
      </c>
      <c r="AG52" s="57" t="n"/>
      <c r="AH52" s="57" t="n"/>
      <c r="AI52" s="57" t="n"/>
      <c r="AJ52" s="57" t="n"/>
      <c r="AK52" s="57" t="n"/>
      <c r="AL52" s="57" t="n"/>
      <c r="AM52" s="57" t="n"/>
      <c r="AN52" s="57" t="n"/>
      <c r="AO52" s="57" t="n"/>
      <c r="AP52" s="57" t="n"/>
      <c r="AQ52" s="57" t="n"/>
      <c r="AR52" s="57" t="n"/>
      <c r="AS52" s="57" t="n"/>
      <c r="AT52" s="57" t="n"/>
    </row>
    <row r="53" ht="13.65" customHeight="1" s="90">
      <c r="A53" s="43" t="inlineStr">
        <is>
          <t>Tranq Station</t>
        </is>
      </c>
      <c r="B53" s="43" t="inlineStr">
        <is>
          <t>Sedate</t>
        </is>
      </c>
      <c r="C53" s="43" t="inlineStr">
        <is>
          <t>range</t>
        </is>
      </c>
      <c r="D53" s="56" t="n">
        <v>4</v>
      </c>
      <c r="E53" s="56">
        <f t="array" ref="E53">ROUND('Towers'!$C$8*POWER('Tuning'!$B$12,D53),0)</f>
        <v/>
      </c>
      <c r="F53" s="56">
        <f t="array" ref="F53">F52+E53</f>
        <v/>
      </c>
      <c r="G53" s="57" t="n">
        <v>1.3</v>
      </c>
      <c r="H53" s="57" t="n">
        <v>1.151315789474</v>
      </c>
      <c r="I53" s="57" t="n">
        <v>1</v>
      </c>
      <c r="J53" s="92">
        <f t="array" ref="J53">'Towers'!$G$8*G53*H53*I53</f>
        <v/>
      </c>
      <c r="K53" s="92">
        <f t="array" ref="K53">IF(J53=0,0,F53/J53)</f>
        <v/>
      </c>
      <c r="L53" s="57" t="n">
        <v>1.166666666667</v>
      </c>
      <c r="M53" s="43" t="inlineStr">
        <is>
          <t>Sedative Cloud</t>
        </is>
      </c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>
        <v>70</v>
      </c>
      <c r="AF53" s="57" t="n"/>
      <c r="AG53" s="57" t="n"/>
      <c r="AH53" s="57" t="n"/>
      <c r="AI53" s="57" t="n"/>
      <c r="AJ53" s="57" t="n"/>
      <c r="AK53" s="57" t="n"/>
      <c r="AL53" s="57" t="n"/>
      <c r="AM53" s="57" t="n"/>
      <c r="AN53" s="57" t="n"/>
      <c r="AO53" s="57" t="n"/>
      <c r="AP53" s="57" t="n"/>
      <c r="AQ53" s="57" t="n"/>
      <c r="AR53" s="57" t="n"/>
      <c r="AS53" s="57" t="n"/>
      <c r="AT53" s="57" t="n"/>
      <c r="CI53" s="81" t="inlineStr">
        <is>
          <t>A</t>
        </is>
      </c>
      <c r="CJ53" s="81" t="inlineStr">
        <is>
          <t>A much stronger slow over a wider area</t>
        </is>
      </c>
    </row>
    <row r="54" ht="13.65" customHeight="1" s="90">
      <c r="A54" s="43" t="inlineStr">
        <is>
          <t>Tranq Station</t>
        </is>
      </c>
      <c r="B54" s="43" t="inlineStr">
        <is>
          <t>Sedate</t>
        </is>
      </c>
      <c r="C54" s="43" t="inlineStr">
        <is>
          <t>range</t>
        </is>
      </c>
      <c r="D54" s="56" t="n">
        <v>5</v>
      </c>
      <c r="E54" s="56">
        <f t="array" ref="E54">ROUND('Towers'!$C$8*POWER('Tuning'!$B$12,D54),0)</f>
        <v/>
      </c>
      <c r="F54" s="56">
        <f t="array" ref="F54">F53+E54</f>
        <v/>
      </c>
      <c r="G54" s="57" t="n">
        <v>1.297202797203</v>
      </c>
      <c r="H54" s="57" t="n">
        <v>1.148571428571</v>
      </c>
      <c r="I54" s="57" t="n">
        <v>1</v>
      </c>
      <c r="J54" s="92">
        <f t="array" ref="J54">'Towers'!$G$8*G54*H54*I54</f>
        <v/>
      </c>
      <c r="K54" s="92">
        <f t="array" ref="K54">IF(J54=0,0,F54/J54)</f>
        <v/>
      </c>
      <c r="L54" s="57" t="n">
        <v>1.142857142857</v>
      </c>
      <c r="M54" s="43" t="inlineStr">
        <is>
          <t>Deep Sleep</t>
        </is>
      </c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>
        <v>80</v>
      </c>
      <c r="AF54" s="57" t="n">
        <v>3</v>
      </c>
      <c r="AG54" s="57" t="inlineStr">
        <is>
          <t>Yes</t>
        </is>
      </c>
      <c r="AH54" s="57" t="n"/>
      <c r="AI54" s="57" t="n"/>
      <c r="AJ54" s="57" t="n"/>
      <c r="AK54" s="57" t="n"/>
      <c r="AL54" s="57" t="n"/>
      <c r="AM54" s="57" t="n"/>
      <c r="AN54" s="57" t="n"/>
      <c r="AO54" s="57" t="n"/>
      <c r="AP54" s="57" t="n"/>
      <c r="AQ54" s="57" t="n"/>
      <c r="AR54" s="57" t="n"/>
      <c r="AS54" s="57" t="n"/>
      <c r="AT54" s="57" t="n"/>
      <c r="CI54" s="81" t="inlineStr">
        <is>
          <t>A</t>
        </is>
      </c>
      <c r="CJ54" s="81" t="inlineStr">
        <is>
          <t>Its slow works on bosses too</t>
        </is>
      </c>
    </row>
    <row r="55" ht="13.65" customHeight="1" s="90">
      <c r="A55" s="43" t="inlineStr">
        <is>
          <t>Tranq Station</t>
        </is>
      </c>
      <c r="B55" s="43" t="inlineStr">
        <is>
          <t>Knockout</t>
        </is>
      </c>
      <c r="C55" s="43" t="inlineStr">
        <is>
          <t>rate</t>
        </is>
      </c>
      <c r="D55" s="56" t="n">
        <v>1</v>
      </c>
      <c r="E55" s="56">
        <f t="array" ref="E55">ROUND('Towers'!$C$8*POWER('Tuning'!$B$12,D55),0)</f>
        <v/>
      </c>
      <c r="F55" s="56">
        <f t="array" ref="F55">'Towers'!$C$8+E55</f>
        <v/>
      </c>
      <c r="G55" s="57" t="n">
        <v>1.35</v>
      </c>
      <c r="H55" s="57" t="n">
        <v>1.42</v>
      </c>
      <c r="I55" s="57" t="n">
        <v>1</v>
      </c>
      <c r="J55" s="92">
        <f t="array" ref="J55">'Towers'!$G$8*G55*H55*I55</f>
        <v/>
      </c>
      <c r="K55" s="92">
        <f t="array" ref="K55">IF(J55=0,0,F55/J55)</f>
        <v/>
      </c>
      <c r="L55" s="57" t="n">
        <v>1</v>
      </c>
      <c r="M55" s="43" t="inlineStr">
        <is>
          <t>Knockout Dart</t>
        </is>
      </c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  <c r="AG55" s="57" t="n"/>
      <c r="AH55" s="57" t="n">
        <v>8</v>
      </c>
      <c r="AI55" s="57" t="n">
        <v>0.6</v>
      </c>
      <c r="AJ55" s="57" t="n"/>
      <c r="AK55" s="57" t="n"/>
      <c r="AL55" s="57" t="n"/>
      <c r="AM55" s="57" t="n"/>
      <c r="AN55" s="57" t="n"/>
      <c r="AO55" s="57" t="n"/>
      <c r="AP55" s="57" t="n"/>
      <c r="AQ55" s="57" t="n"/>
      <c r="AR55" s="57" t="n"/>
      <c r="AS55" s="57" t="n"/>
      <c r="AT55" s="57" t="n"/>
    </row>
    <row r="56" ht="13.65" customHeight="1" s="90">
      <c r="A56" s="43" t="inlineStr">
        <is>
          <t>Tranq Station</t>
        </is>
      </c>
      <c r="B56" s="43" t="inlineStr">
        <is>
          <t>Knockout</t>
        </is>
      </c>
      <c r="C56" s="43" t="inlineStr">
        <is>
          <t>rate</t>
        </is>
      </c>
      <c r="D56" s="56" t="n">
        <v>2</v>
      </c>
      <c r="E56" s="56">
        <f t="array" ref="E56">ROUND('Towers'!$C$8*POWER('Tuning'!$B$12,D56),0)</f>
        <v/>
      </c>
      <c r="F56" s="56">
        <f t="array" ref="F56">F55+E56</f>
        <v/>
      </c>
      <c r="G56" s="57" t="n">
        <v>1.82</v>
      </c>
      <c r="H56" s="57" t="n">
        <v>2.02</v>
      </c>
      <c r="I56" s="57" t="n">
        <v>1</v>
      </c>
      <c r="J56" s="92">
        <f t="array" ref="J56">'Towers'!$G$8*G56*H56*I56</f>
        <v/>
      </c>
      <c r="K56" s="92">
        <f t="array" ref="K56">IF(J56=0,0,F56/J56)</f>
        <v/>
      </c>
      <c r="L56" s="57" t="n">
        <v>1</v>
      </c>
      <c r="M56" s="43" t="inlineStr">
        <is>
          <t>Heavy Sedative</t>
        </is>
      </c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  <c r="AG56" s="57" t="n"/>
      <c r="AH56" s="57" t="n">
        <v>8</v>
      </c>
      <c r="AI56" s="57" t="n">
        <v>1</v>
      </c>
      <c r="AJ56" s="57" t="n"/>
      <c r="AK56" s="57" t="n"/>
      <c r="AL56" s="57" t="n"/>
      <c r="AM56" s="57" t="n"/>
      <c r="AN56" s="57" t="n"/>
      <c r="AO56" s="57" t="n"/>
      <c r="AP56" s="57" t="n"/>
      <c r="AQ56" s="57" t="n"/>
      <c r="AR56" s="57" t="n"/>
      <c r="AS56" s="57" t="n"/>
      <c r="AT56" s="57" t="n"/>
    </row>
    <row r="57" ht="13.65" customHeight="1" s="90">
      <c r="A57" s="43" t="inlineStr">
        <is>
          <t>Tranq Station</t>
        </is>
      </c>
      <c r="B57" s="43" t="inlineStr">
        <is>
          <t>Knockout</t>
        </is>
      </c>
      <c r="C57" s="43" t="inlineStr">
        <is>
          <t>rate</t>
        </is>
      </c>
      <c r="D57" s="56" t="n">
        <v>3</v>
      </c>
      <c r="E57" s="56">
        <f t="array" ref="E57">ROUND('Towers'!$C$8*POWER('Tuning'!$B$12,D57),0)</f>
        <v/>
      </c>
      <c r="F57" s="56">
        <f t="array" ref="F57">F56+E57</f>
        <v/>
      </c>
      <c r="G57" s="57" t="n">
        <v>2.46</v>
      </c>
      <c r="H57" s="57" t="n">
        <v>2.86</v>
      </c>
      <c r="I57" s="57" t="n">
        <v>1</v>
      </c>
      <c r="J57" s="92">
        <f t="array" ref="J57">'Towers'!$G$8*G57*H57*I57</f>
        <v/>
      </c>
      <c r="K57" s="92">
        <f t="array" ref="K57">IF(J57=0,0,F57/J57)</f>
        <v/>
      </c>
      <c r="L57" s="57" t="n">
        <v>1</v>
      </c>
      <c r="M57" s="43" t="inlineStr">
        <is>
          <t>Barbed Darts</t>
        </is>
      </c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  <c r="AG57" s="57" t="n"/>
      <c r="AH57" s="57" t="n">
        <v>7</v>
      </c>
      <c r="AI57" s="57" t="n">
        <v>1</v>
      </c>
      <c r="AJ57" s="57" t="n">
        <v>2</v>
      </c>
      <c r="AK57" s="57" t="n"/>
      <c r="AL57" s="57" t="n"/>
      <c r="AM57" s="57" t="n"/>
      <c r="AN57" s="57" t="n"/>
      <c r="AO57" s="57" t="n"/>
      <c r="AP57" s="57" t="n"/>
      <c r="AQ57" s="57" t="n"/>
      <c r="AR57" s="57" t="n"/>
      <c r="AS57" s="57" t="n"/>
      <c r="AT57" s="57" t="n"/>
    </row>
    <row r="58" ht="13.65" customHeight="1" s="90">
      <c r="A58" s="43" t="inlineStr">
        <is>
          <t>Tranq Station</t>
        </is>
      </c>
      <c r="B58" s="43" t="inlineStr">
        <is>
          <t>Knockout</t>
        </is>
      </c>
      <c r="C58" s="43" t="inlineStr">
        <is>
          <t>rate</t>
        </is>
      </c>
      <c r="D58" s="56" t="n">
        <v>4</v>
      </c>
      <c r="E58" s="56">
        <f t="array" ref="E58">ROUND('Towers'!$C$8*POWER('Tuning'!$B$12,D58),0)</f>
        <v/>
      </c>
      <c r="F58" s="56">
        <f t="array" ref="F58">F57+E58</f>
        <v/>
      </c>
      <c r="G58" s="57" t="n">
        <v>1.349593495935</v>
      </c>
      <c r="H58" s="57" t="n">
        <v>1.423076923077</v>
      </c>
      <c r="I58" s="57" t="n">
        <v>1</v>
      </c>
      <c r="J58" s="92">
        <f t="array" ref="J58">'Towers'!$G$8*G58*H58*I58</f>
        <v/>
      </c>
      <c r="K58" s="92">
        <f t="array" ref="K58">IF(J58=0,0,F58/J58)</f>
        <v/>
      </c>
      <c r="L58" s="57" t="n">
        <v>1</v>
      </c>
      <c r="M58" s="43" t="inlineStr">
        <is>
          <t>Quick Cycle</t>
        </is>
      </c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  <c r="AG58" s="57" t="n"/>
      <c r="AH58" s="57" t="n">
        <v>5</v>
      </c>
      <c r="AI58" s="57" t="n"/>
      <c r="AJ58" s="57" t="n">
        <v>3</v>
      </c>
      <c r="AK58" s="57" t="n"/>
      <c r="AL58" s="57" t="n"/>
      <c r="AM58" s="57" t="n"/>
      <c r="AN58" s="57" t="n"/>
      <c r="AO58" s="57" t="n"/>
      <c r="AP58" s="57" t="n"/>
      <c r="AQ58" s="57" t="n"/>
      <c r="AR58" s="57" t="n"/>
      <c r="AS58" s="57" t="n"/>
      <c r="AT58" s="57" t="n"/>
      <c r="CI58" s="81" t="inlineStr">
        <is>
          <t>A</t>
        </is>
      </c>
      <c r="CJ58" s="81" t="inlineStr">
        <is>
          <t>Knockouts come sooner and hurt more</t>
        </is>
      </c>
    </row>
    <row r="59" ht="13.65" customHeight="1" s="90">
      <c r="A59" s="43" t="inlineStr">
        <is>
          <t>Tranq Station</t>
        </is>
      </c>
      <c r="B59" s="43" t="inlineStr">
        <is>
          <t>Knockout</t>
        </is>
      </c>
      <c r="C59" s="43" t="inlineStr">
        <is>
          <t>rate</t>
        </is>
      </c>
      <c r="D59" s="56" t="n">
        <v>5</v>
      </c>
      <c r="E59" s="56">
        <f t="array" ref="E59">ROUND('Towers'!$C$8*POWER('Tuning'!$B$12,D59),0)</f>
        <v/>
      </c>
      <c r="F59" s="56">
        <f t="array" ref="F59">F58+E59</f>
        <v/>
      </c>
      <c r="G59" s="57" t="n">
        <v>1.349397590361</v>
      </c>
      <c r="H59" s="57" t="n">
        <v>1.41769041769</v>
      </c>
      <c r="I59" s="57" t="n">
        <v>1</v>
      </c>
      <c r="J59" s="92">
        <f t="array" ref="J59">'Towers'!$G$8*G59*H59*I59</f>
        <v/>
      </c>
      <c r="K59" s="92">
        <f t="array" ref="K59">IF(J59=0,0,F59/J59)</f>
        <v/>
      </c>
      <c r="L59" s="57" t="n">
        <v>1</v>
      </c>
      <c r="M59" s="43" t="inlineStr">
        <is>
          <t>Big Game Tranq</t>
        </is>
      </c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  <c r="AG59" s="57" t="n"/>
      <c r="AH59" s="57" t="n"/>
      <c r="AI59" s="57" t="n">
        <v>2</v>
      </c>
      <c r="AJ59" s="57" t="n">
        <v>5</v>
      </c>
      <c r="AK59" s="57" t="inlineStr">
        <is>
          <t>Yes</t>
        </is>
      </c>
      <c r="AL59" s="57" t="n"/>
      <c r="AM59" s="57" t="n"/>
      <c r="AN59" s="57" t="n"/>
      <c r="AO59" s="57" t="n"/>
      <c r="AP59" s="57" t="n"/>
      <c r="AQ59" s="57" t="n"/>
      <c r="AR59" s="57" t="n"/>
      <c r="AS59" s="57" t="n"/>
      <c r="AT59" s="57" t="n"/>
      <c r="CI59" s="81" t="inlineStr">
        <is>
          <t>A</t>
        </is>
      </c>
      <c r="CJ59" s="81" t="inlineStr">
        <is>
          <t>A long knockout that even holds bosses</t>
        </is>
      </c>
    </row>
    <row r="60" ht="13.65" customHeight="1" s="90">
      <c r="A60" s="43" t="inlineStr">
        <is>
          <t>Tranq Station</t>
        </is>
      </c>
      <c r="B60" s="43" t="inlineStr">
        <is>
          <t>Weak Spot</t>
        </is>
      </c>
      <c r="C60" s="43" t="inlineStr">
        <is>
          <t>damage</t>
        </is>
      </c>
      <c r="D60" s="56" t="n">
        <v>1</v>
      </c>
      <c r="E60" s="56">
        <f t="array" ref="E60">ROUND('Towers'!$C$8*POWER('Tuning'!$B$12,D60),0)</f>
        <v/>
      </c>
      <c r="F60" s="56">
        <f t="array" ref="F60">'Towers'!$C$8+E60</f>
        <v/>
      </c>
      <c r="G60" s="57" t="n">
        <v>1.9</v>
      </c>
      <c r="H60" s="57" t="n">
        <v>1</v>
      </c>
      <c r="I60" s="57" t="n">
        <v>1</v>
      </c>
      <c r="J60" s="92">
        <f t="array" ref="J60">'Towers'!$G$8*G60*H60*I60</f>
        <v/>
      </c>
      <c r="K60" s="92">
        <f t="array" ref="K60">IF(J60=0,0,F60/J60)</f>
        <v/>
      </c>
      <c r="L60" s="57" t="n">
        <v>1</v>
      </c>
      <c r="M60" s="43" t="inlineStr">
        <is>
          <t>Exposed Hide</t>
        </is>
      </c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  <c r="AG60" s="57" t="n"/>
      <c r="AH60" s="57" t="n"/>
      <c r="AI60" s="57" t="n"/>
      <c r="AJ60" s="57" t="n"/>
      <c r="AK60" s="57" t="n"/>
      <c r="AL60" s="57" t="n">
        <v>25</v>
      </c>
      <c r="AM60" s="57" t="n"/>
      <c r="AN60" s="57" t="n"/>
      <c r="AO60" s="57" t="n"/>
      <c r="AP60" s="57" t="n"/>
      <c r="AQ60" s="57" t="n"/>
      <c r="AR60" s="57" t="n"/>
      <c r="AS60" s="57" t="n"/>
      <c r="AT60" s="57" t="n"/>
    </row>
    <row r="61" ht="13.65" customHeight="1" s="90">
      <c r="A61" s="43" t="inlineStr">
        <is>
          <t>Tranq Station</t>
        </is>
      </c>
      <c r="B61" s="43" t="inlineStr">
        <is>
          <t>Weak Spot</t>
        </is>
      </c>
      <c r="C61" s="43" t="inlineStr">
        <is>
          <t>damage</t>
        </is>
      </c>
      <c r="D61" s="56" t="n">
        <v>2</v>
      </c>
      <c r="E61" s="56">
        <f t="array" ref="E61">ROUND('Towers'!$C$8*POWER('Tuning'!$B$12,D61),0)</f>
        <v/>
      </c>
      <c r="F61" s="56">
        <f t="array" ref="F61">F60+E61</f>
        <v/>
      </c>
      <c r="G61" s="57" t="n">
        <v>3.61</v>
      </c>
      <c r="H61" s="57" t="n">
        <v>1</v>
      </c>
      <c r="I61" s="57" t="n">
        <v>1</v>
      </c>
      <c r="J61" s="92">
        <f t="array" ref="J61">'Towers'!$G$8*G61*H61*I61</f>
        <v/>
      </c>
      <c r="K61" s="92">
        <f t="array" ref="K61">IF(J61=0,0,F61/J61)</f>
        <v/>
      </c>
      <c r="L61" s="57" t="n">
        <v>1</v>
      </c>
      <c r="M61" s="43" t="inlineStr">
        <is>
          <t>Find the Gap</t>
        </is>
      </c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  <c r="AG61" s="57" t="n"/>
      <c r="AH61" s="57" t="n"/>
      <c r="AI61" s="57" t="n"/>
      <c r="AJ61" s="57" t="n"/>
      <c r="AK61" s="57" t="n"/>
      <c r="AL61" s="57" t="n">
        <v>35</v>
      </c>
      <c r="AM61" s="57" t="inlineStr">
        <is>
          <t>Yes</t>
        </is>
      </c>
      <c r="AN61" s="57" t="n"/>
      <c r="AO61" s="57" t="n"/>
      <c r="AP61" s="57" t="n"/>
      <c r="AQ61" s="57" t="n"/>
      <c r="AR61" s="57" t="n"/>
      <c r="AS61" s="57" t="n"/>
      <c r="AT61" s="57" t="n"/>
    </row>
    <row r="62" ht="13.65" customHeight="1" s="90">
      <c r="A62" s="43" t="inlineStr">
        <is>
          <t>Tranq Station</t>
        </is>
      </c>
      <c r="B62" s="43" t="inlineStr">
        <is>
          <t>Weak Spot</t>
        </is>
      </c>
      <c r="C62" s="43" t="inlineStr">
        <is>
          <t>damage</t>
        </is>
      </c>
      <c r="D62" s="56" t="n">
        <v>3</v>
      </c>
      <c r="E62" s="56">
        <f t="array" ref="E62">ROUND('Towers'!$C$8*POWER('Tuning'!$B$12,D62),0)</f>
        <v/>
      </c>
      <c r="F62" s="56">
        <f t="array" ref="F62">F61+E62</f>
        <v/>
      </c>
      <c r="G62" s="57" t="n">
        <v>6.86</v>
      </c>
      <c r="H62" s="57" t="n">
        <v>1</v>
      </c>
      <c r="I62" s="57" t="n">
        <v>1</v>
      </c>
      <c r="J62" s="92">
        <f t="array" ref="J62">'Towers'!$G$8*G62*H62*I62</f>
        <v/>
      </c>
      <c r="K62" s="92">
        <f t="array" ref="K62">IF(J62=0,0,F62/J62)</f>
        <v/>
      </c>
      <c r="L62" s="57" t="n">
        <v>1</v>
      </c>
      <c r="M62" s="43" t="inlineStr">
        <is>
          <t>Hunter's Call</t>
        </is>
      </c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>
        <v>10</v>
      </c>
      <c r="AC62" s="57" t="n"/>
      <c r="AD62" s="57" t="n"/>
      <c r="AE62" s="57" t="n"/>
      <c r="AF62" s="57" t="n"/>
      <c r="AG62" s="57" t="n"/>
      <c r="AH62" s="57" t="n"/>
      <c r="AI62" s="57" t="n"/>
      <c r="AJ62" s="57" t="n"/>
      <c r="AK62" s="57" t="n"/>
      <c r="AL62" s="57" t="n">
        <v>35</v>
      </c>
      <c r="AM62" s="57" t="inlineStr">
        <is>
          <t>Yes</t>
        </is>
      </c>
      <c r="AN62" s="57" t="n"/>
      <c r="AO62" s="57" t="n"/>
      <c r="AP62" s="57" t="n"/>
      <c r="AQ62" s="57" t="n"/>
      <c r="AR62" s="57" t="n"/>
      <c r="AS62" s="57" t="n"/>
      <c r="AT62" s="57" t="n"/>
    </row>
    <row r="63" ht="13.65" customHeight="1" s="90">
      <c r="A63" s="43" t="inlineStr">
        <is>
          <t>Tranq Station</t>
        </is>
      </c>
      <c r="B63" s="43" t="inlineStr">
        <is>
          <t>Weak Spot</t>
        </is>
      </c>
      <c r="C63" s="43" t="inlineStr">
        <is>
          <t>damage</t>
        </is>
      </c>
      <c r="D63" s="56" t="n">
        <v>4</v>
      </c>
      <c r="E63" s="56">
        <f t="array" ref="E63">ROUND('Towers'!$C$8*POWER('Tuning'!$B$12,D63),0)</f>
        <v/>
      </c>
      <c r="F63" s="56">
        <f t="array" ref="F63">F62+E63</f>
        <v/>
      </c>
      <c r="G63" s="57" t="n">
        <v>1.899416909621</v>
      </c>
      <c r="H63" s="57" t="n">
        <v>1</v>
      </c>
      <c r="I63" s="57" t="n">
        <v>1</v>
      </c>
      <c r="J63" s="92">
        <f t="array" ref="J63">'Towers'!$G$8*G63*H63*I63</f>
        <v/>
      </c>
      <c r="K63" s="92">
        <f t="array" ref="K63">IF(J63=0,0,F63/J63)</f>
        <v/>
      </c>
      <c r="L63" s="57" t="n">
        <v>1</v>
      </c>
      <c r="M63" s="43" t="inlineStr">
        <is>
          <t>Vital Points</t>
        </is>
      </c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  <c r="AG63" s="57" t="n"/>
      <c r="AH63" s="57" t="n"/>
      <c r="AI63" s="57" t="n"/>
      <c r="AJ63" s="57" t="n"/>
      <c r="AK63" s="57" t="n"/>
      <c r="AL63" s="57" t="n">
        <v>50</v>
      </c>
      <c r="AM63" s="57" t="n"/>
      <c r="AN63" s="57" t="n"/>
      <c r="AO63" s="57" t="n"/>
      <c r="AP63" s="57" t="n"/>
      <c r="AQ63" s="57" t="n"/>
      <c r="AR63" s="57" t="n"/>
      <c r="AS63" s="57" t="n"/>
      <c r="AT63" s="57" t="n"/>
      <c r="CI63" s="81" t="inlineStr">
        <is>
          <t>A</t>
        </is>
      </c>
      <c r="CJ63" s="81" t="inlineStr">
        <is>
          <t>Sedated dinos take even more damage</t>
        </is>
      </c>
    </row>
    <row r="64" ht="13.65" customHeight="1" s="90">
      <c r="A64" s="43" t="inlineStr">
        <is>
          <t>Tranq Station</t>
        </is>
      </c>
      <c r="B64" s="43" t="inlineStr">
        <is>
          <t>Weak Spot</t>
        </is>
      </c>
      <c r="C64" s="43" t="inlineStr">
        <is>
          <t>damage</t>
        </is>
      </c>
      <c r="D64" s="56" t="n">
        <v>5</v>
      </c>
      <c r="E64" s="56">
        <f t="array" ref="E64">ROUND('Towers'!$C$8*POWER('Tuning'!$B$12,D64),0)</f>
        <v/>
      </c>
      <c r="F64" s="56">
        <f t="array" ref="F64">F63+E64</f>
        <v/>
      </c>
      <c r="G64" s="57" t="n">
        <v>1.900230237913</v>
      </c>
      <c r="H64" s="57" t="n">
        <v>1</v>
      </c>
      <c r="I64" s="57" t="n">
        <v>1</v>
      </c>
      <c r="J64" s="92">
        <f t="array" ref="J64">'Towers'!$G$8*G64*H64*I64</f>
        <v/>
      </c>
      <c r="K64" s="92">
        <f t="array" ref="K64">IF(J64=0,0,F64/J64)</f>
        <v/>
      </c>
      <c r="L64" s="57" t="n">
        <v>1</v>
      </c>
      <c r="M64" s="43" t="inlineStr">
        <is>
          <t>Apex Predator</t>
        </is>
      </c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>
        <v>20</v>
      </c>
      <c r="AD64" s="57" t="n"/>
      <c r="AE64" s="57" t="n"/>
      <c r="AF64" s="57" t="n"/>
      <c r="AG64" s="57" t="n"/>
      <c r="AH64" s="57" t="n"/>
      <c r="AI64" s="57" t="n"/>
      <c r="AJ64" s="57" t="n"/>
      <c r="AK64" s="57" t="n"/>
      <c r="AL64" s="57" t="n">
        <v>75</v>
      </c>
      <c r="AM64" s="57" t="n"/>
      <c r="AN64" s="57" t="n"/>
      <c r="AO64" s="57" t="n"/>
      <c r="AP64" s="57" t="n"/>
      <c r="AQ64" s="57" t="n"/>
      <c r="AR64" s="57" t="n"/>
      <c r="AS64" s="57" t="n"/>
      <c r="AT64" s="57" t="n"/>
      <c r="CI64" s="81" t="inlineStr">
        <is>
          <t>A</t>
        </is>
      </c>
      <c r="CJ64" s="81" t="inlineStr">
        <is>
          <t>Dinos take much more damage; towers in range hit harder</t>
        </is>
      </c>
    </row>
    <row r="65" ht="13.65" customHeight="1" s="90">
      <c r="A65" s="43" t="inlineStr">
        <is>
          <t>Supply Camp</t>
        </is>
      </c>
      <c r="B65" s="43" t="inlineStr">
        <is>
          <t>Yield</t>
        </is>
      </c>
      <c r="C65" s="43" t="inlineStr">
        <is>
          <t>economy</t>
        </is>
      </c>
      <c r="D65" s="56" t="n">
        <v>1</v>
      </c>
      <c r="E65" s="56">
        <f t="array" ref="E65">ROUND('Towers'!$C$9*POWER('Towers'!$S$9,D65),0)</f>
        <v/>
      </c>
      <c r="F65" s="56">
        <f t="array" ref="F65">'Towers'!$C$9+E65</f>
        <v/>
      </c>
      <c r="G65" s="57" t="n">
        <v>1</v>
      </c>
      <c r="H65" s="57" t="n">
        <v>1</v>
      </c>
      <c r="I65" s="57" t="n">
        <v>1</v>
      </c>
      <c r="J65" s="92" t="n">
        <v>0</v>
      </c>
      <c r="K65" s="43" t="inlineStr">
        <is>
          <t>n/a</t>
        </is>
      </c>
      <c r="L65" s="57" t="n">
        <v>1</v>
      </c>
      <c r="M65" s="43" t="inlineStr">
        <is>
          <t>Supply Crate</t>
        </is>
      </c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  <c r="AG65" s="57" t="n"/>
      <c r="AH65" s="57" t="n"/>
      <c r="AI65" s="57" t="n"/>
      <c r="AJ65" s="57" t="n"/>
      <c r="AK65" s="57" t="n"/>
      <c r="AL65" s="57" t="n"/>
      <c r="AM65" s="57" t="n"/>
      <c r="AN65" s="57" t="n">
        <v>2.1</v>
      </c>
      <c r="AO65" s="57" t="n"/>
      <c r="AP65" s="57" t="n"/>
      <c r="AQ65" s="57" t="n"/>
      <c r="AR65" s="57" t="n"/>
      <c r="AS65" s="57" t="n"/>
      <c r="AT65" s="57" t="n"/>
    </row>
    <row r="66" ht="13.65" customHeight="1" s="90">
      <c r="A66" s="43" t="inlineStr">
        <is>
          <t>Supply Camp</t>
        </is>
      </c>
      <c r="B66" s="43" t="inlineStr">
        <is>
          <t>Yield</t>
        </is>
      </c>
      <c r="C66" s="43" t="inlineStr">
        <is>
          <t>economy</t>
        </is>
      </c>
      <c r="D66" s="56" t="n">
        <v>2</v>
      </c>
      <c r="E66" s="56">
        <f t="array" ref="E66">ROUND('Towers'!$C$9*POWER('Towers'!$S$9,D66),0)</f>
        <v/>
      </c>
      <c r="F66" s="56">
        <f t="array" ref="F66">F65+E66</f>
        <v/>
      </c>
      <c r="G66" s="57" t="n">
        <v>1</v>
      </c>
      <c r="H66" s="57" t="n">
        <v>1</v>
      </c>
      <c r="I66" s="57" t="n">
        <v>1</v>
      </c>
      <c r="J66" s="92" t="n">
        <v>0</v>
      </c>
      <c r="K66" s="43" t="inlineStr">
        <is>
          <t>n/a</t>
        </is>
      </c>
      <c r="L66" s="57" t="n">
        <v>1</v>
      </c>
      <c r="M66" s="43" t="inlineStr">
        <is>
          <t>Bigger Budget</t>
        </is>
      </c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  <c r="AD66" s="57" t="n"/>
      <c r="AE66" s="57" t="n"/>
      <c r="AF66" s="57" t="n"/>
      <c r="AG66" s="57" t="n"/>
      <c r="AH66" s="57" t="n"/>
      <c r="AI66" s="57" t="n"/>
      <c r="AJ66" s="57" t="n"/>
      <c r="AK66" s="57" t="n"/>
      <c r="AL66" s="57" t="n"/>
      <c r="AM66" s="57" t="n"/>
      <c r="AN66" s="57" t="n">
        <v>3.85</v>
      </c>
      <c r="AO66" s="57" t="n"/>
      <c r="AP66" s="57" t="n"/>
      <c r="AQ66" s="57" t="n"/>
      <c r="AR66" s="57" t="n"/>
      <c r="AS66" s="57" t="n"/>
      <c r="AT66" s="57" t="n"/>
    </row>
    <row r="67" ht="13.65" customHeight="1" s="90">
      <c r="A67" s="43" t="inlineStr">
        <is>
          <t>Supply Camp</t>
        </is>
      </c>
      <c r="B67" s="43" t="inlineStr">
        <is>
          <t>Yield</t>
        </is>
      </c>
      <c r="C67" s="43" t="inlineStr">
        <is>
          <t>economy</t>
        </is>
      </c>
      <c r="D67" s="56" t="n">
        <v>3</v>
      </c>
      <c r="E67" s="56">
        <f t="array" ref="E67">ROUND('Towers'!$C$9*POWER('Towers'!$S$9,D67),0)</f>
        <v/>
      </c>
      <c r="F67" s="56">
        <f t="array" ref="F67">F66+E67</f>
        <v/>
      </c>
      <c r="G67" s="57" t="n">
        <v>1</v>
      </c>
      <c r="H67" s="57" t="n">
        <v>1</v>
      </c>
      <c r="I67" s="57" t="n">
        <v>1</v>
      </c>
      <c r="J67" s="92" t="n">
        <v>0</v>
      </c>
      <c r="K67" s="43" t="inlineStr">
        <is>
          <t>n/a</t>
        </is>
      </c>
      <c r="L67" s="57" t="n">
        <v>1</v>
      </c>
      <c r="M67" s="43" t="inlineStr">
        <is>
          <t>Trade Route</t>
        </is>
      </c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/>
      <c r="AD67" s="57" t="n"/>
      <c r="AE67" s="57" t="n"/>
      <c r="AF67" s="57" t="n"/>
      <c r="AG67" s="57" t="n"/>
      <c r="AH67" s="57" t="n"/>
      <c r="AI67" s="57" t="n"/>
      <c r="AJ67" s="57" t="n"/>
      <c r="AK67" s="57" t="n"/>
      <c r="AL67" s="57" t="n"/>
      <c r="AM67" s="57" t="n"/>
      <c r="AN67" s="57" t="n">
        <v>6.6</v>
      </c>
      <c r="AO67" s="57" t="n"/>
      <c r="AP67" s="57" t="n"/>
      <c r="AQ67" s="57" t="n"/>
      <c r="AR67" s="57" t="n"/>
      <c r="AS67" s="57" t="n"/>
      <c r="AT67" s="57" t="n"/>
    </row>
    <row r="68" ht="13.65" customHeight="1" s="90">
      <c r="A68" s="43" t="inlineStr">
        <is>
          <t>Supply Camp</t>
        </is>
      </c>
      <c r="B68" s="43" t="inlineStr">
        <is>
          <t>Yield</t>
        </is>
      </c>
      <c r="C68" s="43" t="inlineStr">
        <is>
          <t>economy</t>
        </is>
      </c>
      <c r="D68" s="56" t="n">
        <v>4</v>
      </c>
      <c r="E68" s="56">
        <f t="array" ref="E68">ROUND('Towers'!$C$9*POWER('Towers'!$S$9,D68),0)</f>
        <v/>
      </c>
      <c r="F68" s="56">
        <f t="array" ref="F68">F67+E68</f>
        <v/>
      </c>
      <c r="G68" s="57" t="n">
        <v>1</v>
      </c>
      <c r="H68" s="57" t="n">
        <v>1</v>
      </c>
      <c r="I68" s="57" t="n">
        <v>1</v>
      </c>
      <c r="J68" s="92" t="n">
        <v>0</v>
      </c>
      <c r="K68" s="43" t="inlineStr">
        <is>
          <t>n/a</t>
        </is>
      </c>
      <c r="L68" s="57" t="n">
        <v>1</v>
      </c>
      <c r="M68" s="43" t="inlineStr">
        <is>
          <t>War Chest</t>
        </is>
      </c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  <c r="AG68" s="57" t="n"/>
      <c r="AH68" s="57" t="n"/>
      <c r="AI68" s="57" t="n"/>
      <c r="AJ68" s="57" t="n"/>
      <c r="AK68" s="57" t="n"/>
      <c r="AL68" s="57" t="n"/>
      <c r="AM68" s="57" t="n"/>
      <c r="AN68" s="57" t="n">
        <v>1.681818181818</v>
      </c>
      <c r="AO68" s="57" t="n"/>
      <c r="AP68" s="57" t="n"/>
      <c r="AQ68" s="57" t="n"/>
      <c r="AR68" s="57" t="n"/>
      <c r="AS68" s="57" t="n"/>
      <c r="AT68" s="57" t="n"/>
      <c r="CI68" s="81" t="inlineStr">
        <is>
          <t>A</t>
        </is>
      </c>
      <c r="CJ68" s="81" t="inlineStr">
        <is>
          <t>Pays a lot more cash every round</t>
        </is>
      </c>
    </row>
    <row r="69" ht="13.65" customHeight="1" s="90">
      <c r="A69" s="43" t="inlineStr">
        <is>
          <t>Supply Camp</t>
        </is>
      </c>
      <c r="B69" s="43" t="inlineStr">
        <is>
          <t>Yield</t>
        </is>
      </c>
      <c r="C69" s="43" t="inlineStr">
        <is>
          <t>economy</t>
        </is>
      </c>
      <c r="D69" s="56" t="n">
        <v>5</v>
      </c>
      <c r="E69" s="56">
        <f t="array" ref="E69">ROUND('Towers'!$C$9*POWER('Towers'!$S$9,D69),0)</f>
        <v/>
      </c>
      <c r="F69" s="56">
        <f t="array" ref="F69">F68+E69</f>
        <v/>
      </c>
      <c r="G69" s="57" t="n">
        <v>1</v>
      </c>
      <c r="H69" s="57" t="n">
        <v>1</v>
      </c>
      <c r="I69" s="57" t="n">
        <v>1</v>
      </c>
      <c r="J69" s="92" t="n">
        <v>0</v>
      </c>
      <c r="K69" s="43" t="inlineStr">
        <is>
          <t>n/a</t>
        </is>
      </c>
      <c r="L69" s="57" t="n">
        <v>1</v>
      </c>
      <c r="M69" s="43" t="inlineStr">
        <is>
          <t>Amber Vault</t>
        </is>
      </c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7" t="n"/>
      <c r="AG69" s="57" t="n"/>
      <c r="AH69" s="57" t="n"/>
      <c r="AI69" s="57" t="n"/>
      <c r="AJ69" s="57" t="n"/>
      <c r="AK69" s="57" t="n"/>
      <c r="AL69" s="57" t="n"/>
      <c r="AM69" s="57" t="n"/>
      <c r="AN69" s="57" t="n">
        <v>1.612612612613</v>
      </c>
      <c r="AO69" s="57" t="n">
        <v>5</v>
      </c>
      <c r="AP69" s="57" t="n">
        <v>500</v>
      </c>
      <c r="AQ69" s="57" t="n"/>
      <c r="AR69" s="57" t="n"/>
      <c r="AS69" s="57" t="n"/>
      <c r="AT69" s="57" t="n"/>
      <c r="CI69" s="81" t="inlineStr">
        <is>
          <t>A</t>
        </is>
      </c>
      <c r="CJ69" s="81" t="inlineStr">
        <is>
          <t>Earns interest on your banked cash</t>
        </is>
      </c>
    </row>
    <row r="70" ht="13.65" customHeight="1" s="90">
      <c r="A70" s="43" t="inlineStr">
        <is>
          <t>Supply Camp</t>
        </is>
      </c>
      <c r="B70" s="43" t="inlineStr">
        <is>
          <t>Airdrop</t>
        </is>
      </c>
      <c r="C70" s="43" t="inlineStr">
        <is>
          <t>economy</t>
        </is>
      </c>
      <c r="D70" s="56" t="n">
        <v>1</v>
      </c>
      <c r="E70" s="56">
        <f t="array" ref="E70">ROUND('Towers'!$C$9*POWER('Towers'!$S$9,D70),0)</f>
        <v/>
      </c>
      <c r="F70" s="56">
        <f t="array" ref="F70">'Towers'!$C$9+E70</f>
        <v/>
      </c>
      <c r="G70" s="57" t="n">
        <v>1</v>
      </c>
      <c r="H70" s="57" t="n">
        <v>1</v>
      </c>
      <c r="I70" s="57" t="n">
        <v>1</v>
      </c>
      <c r="J70" s="92" t="n">
        <v>0</v>
      </c>
      <c r="K70" s="43" t="inlineStr">
        <is>
          <t>n/a</t>
        </is>
      </c>
      <c r="L70" s="57" t="n">
        <v>1</v>
      </c>
      <c r="M70" s="43" t="inlineStr">
        <is>
          <t>Air Drop</t>
        </is>
      </c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  <c r="AA70" s="57" t="n"/>
      <c r="AB70" s="57" t="n"/>
      <c r="AC70" s="57" t="n"/>
      <c r="AD70" s="57" t="n"/>
      <c r="AE70" s="57" t="n"/>
      <c r="AF70" s="57" t="n"/>
      <c r="AG70" s="57" t="n"/>
      <c r="AH70" s="57" t="n"/>
      <c r="AI70" s="57" t="n"/>
      <c r="AJ70" s="57" t="n"/>
      <c r="AK70" s="57" t="n"/>
      <c r="AL70" s="57" t="n"/>
      <c r="AM70" s="57" t="n"/>
      <c r="AN70" s="57" t="n"/>
      <c r="AO70" s="57" t="n"/>
      <c r="AP70" s="57" t="n"/>
      <c r="AQ70" s="57" t="n">
        <v>1</v>
      </c>
      <c r="AR70" s="57" t="n">
        <v>200</v>
      </c>
      <c r="AS70" s="57" t="n"/>
      <c r="AT70" s="57" t="n"/>
    </row>
    <row r="71" ht="13.65" customHeight="1" s="90">
      <c r="A71" s="43" t="inlineStr">
        <is>
          <t>Supply Camp</t>
        </is>
      </c>
      <c r="B71" s="43" t="inlineStr">
        <is>
          <t>Airdrop</t>
        </is>
      </c>
      <c r="C71" s="43" t="inlineStr">
        <is>
          <t>economy</t>
        </is>
      </c>
      <c r="D71" s="56" t="n">
        <v>2</v>
      </c>
      <c r="E71" s="56">
        <f t="array" ref="E71">ROUND('Towers'!$C$9*POWER('Towers'!$S$9,D71),0)</f>
        <v/>
      </c>
      <c r="F71" s="56">
        <f t="array" ref="F71">F70+E71</f>
        <v/>
      </c>
      <c r="G71" s="57" t="n">
        <v>1</v>
      </c>
      <c r="H71" s="57" t="n">
        <v>1</v>
      </c>
      <c r="I71" s="57" t="n">
        <v>1</v>
      </c>
      <c r="J71" s="92" t="n">
        <v>0</v>
      </c>
      <c r="K71" s="43" t="inlineStr">
        <is>
          <t>n/a</t>
        </is>
      </c>
      <c r="L71" s="57" t="n">
        <v>1</v>
      </c>
      <c r="M71" s="43" t="inlineStr">
        <is>
          <t>Double Drop</t>
        </is>
      </c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  <c r="AG71" s="57" t="n"/>
      <c r="AH71" s="57" t="n"/>
      <c r="AI71" s="57" t="n"/>
      <c r="AJ71" s="57" t="n"/>
      <c r="AK71" s="57" t="n"/>
      <c r="AL71" s="57" t="n"/>
      <c r="AM71" s="57" t="n"/>
      <c r="AN71" s="57" t="n"/>
      <c r="AO71" s="57" t="n"/>
      <c r="AP71" s="57" t="n"/>
      <c r="AQ71" s="57" t="n">
        <v>2</v>
      </c>
      <c r="AR71" s="57" t="n">
        <v>260</v>
      </c>
      <c r="AS71" s="57" t="n"/>
      <c r="AT71" s="57" t="n"/>
    </row>
    <row r="72" ht="13.65" customHeight="1" s="90">
      <c r="A72" s="43" t="inlineStr">
        <is>
          <t>Supply Camp</t>
        </is>
      </c>
      <c r="B72" s="43" t="inlineStr">
        <is>
          <t>Airdrop</t>
        </is>
      </c>
      <c r="C72" s="43" t="inlineStr">
        <is>
          <t>economy</t>
        </is>
      </c>
      <c r="D72" s="56" t="n">
        <v>3</v>
      </c>
      <c r="E72" s="56">
        <f t="array" ref="E72">ROUND('Towers'!$C$9*POWER('Towers'!$S$9,D72),0)</f>
        <v/>
      </c>
      <c r="F72" s="56">
        <f t="array" ref="F72">F71+E72</f>
        <v/>
      </c>
      <c r="G72" s="57" t="n">
        <v>1</v>
      </c>
      <c r="H72" s="57" t="n">
        <v>1</v>
      </c>
      <c r="I72" s="57" t="n">
        <v>1</v>
      </c>
      <c r="J72" s="92" t="n">
        <v>0</v>
      </c>
      <c r="K72" s="43" t="inlineStr">
        <is>
          <t>n/a</t>
        </is>
      </c>
      <c r="L72" s="57" t="n">
        <v>1</v>
      </c>
      <c r="M72" s="43" t="inlineStr">
        <is>
          <t>Chopper Drop</t>
        </is>
      </c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  <c r="AG72" s="57" t="n"/>
      <c r="AH72" s="57" t="n"/>
      <c r="AI72" s="57" t="n"/>
      <c r="AJ72" s="57" t="n"/>
      <c r="AK72" s="57" t="n"/>
      <c r="AL72" s="57" t="n"/>
      <c r="AM72" s="57" t="n"/>
      <c r="AN72" s="57" t="n"/>
      <c r="AO72" s="57" t="n"/>
      <c r="AP72" s="57" t="n"/>
      <c r="AQ72" s="57" t="n">
        <v>2</v>
      </c>
      <c r="AR72" s="57" t="n">
        <v>515</v>
      </c>
      <c r="AS72" s="57" t="n"/>
      <c r="AT72" s="57" t="n"/>
    </row>
    <row r="73" ht="13.65" customHeight="1" s="90">
      <c r="A73" s="43" t="inlineStr">
        <is>
          <t>Supply Camp</t>
        </is>
      </c>
      <c r="B73" s="43" t="inlineStr">
        <is>
          <t>Airdrop</t>
        </is>
      </c>
      <c r="C73" s="43" t="inlineStr">
        <is>
          <t>economy</t>
        </is>
      </c>
      <c r="D73" s="56" t="n">
        <v>4</v>
      </c>
      <c r="E73" s="56">
        <f t="array" ref="E73">ROUND('Towers'!$C$9*POWER('Towers'!$S$9,D73),0)</f>
        <v/>
      </c>
      <c r="F73" s="56">
        <f t="array" ref="F73">F72+E73</f>
        <v/>
      </c>
      <c r="G73" s="57" t="n">
        <v>1</v>
      </c>
      <c r="H73" s="57" t="n">
        <v>1</v>
      </c>
      <c r="I73" s="57" t="n">
        <v>1</v>
      </c>
      <c r="J73" s="92" t="n">
        <v>0</v>
      </c>
      <c r="K73" s="43" t="inlineStr">
        <is>
          <t>n/a</t>
        </is>
      </c>
      <c r="L73" s="57" t="n">
        <v>1</v>
      </c>
      <c r="M73" s="43" t="inlineStr">
        <is>
          <t>Supply Chain</t>
        </is>
      </c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  <c r="AG73" s="57" t="n"/>
      <c r="AH73" s="57" t="n"/>
      <c r="AI73" s="57" t="n"/>
      <c r="AJ73" s="57" t="n"/>
      <c r="AK73" s="57" t="n"/>
      <c r="AL73" s="57" t="n"/>
      <c r="AM73" s="57" t="n"/>
      <c r="AN73" s="57" t="n"/>
      <c r="AO73" s="57" t="n"/>
      <c r="AP73" s="57" t="n"/>
      <c r="AQ73" s="57" t="n">
        <v>3</v>
      </c>
      <c r="AR73" s="57" t="n">
        <v>615</v>
      </c>
      <c r="AS73" s="57" t="n"/>
      <c r="AT73" s="57" t="n"/>
      <c r="CI73" s="81" t="inlineStr">
        <is>
          <t>A</t>
        </is>
      </c>
      <c r="CJ73" s="81" t="inlineStr">
        <is>
          <t>More chests land each round, worth more</t>
        </is>
      </c>
    </row>
    <row r="74" ht="13.65" customHeight="1" s="90">
      <c r="A74" s="43" t="inlineStr">
        <is>
          <t>Supply Camp</t>
        </is>
      </c>
      <c r="B74" s="43" t="inlineStr">
        <is>
          <t>Airdrop</t>
        </is>
      </c>
      <c r="C74" s="43" t="inlineStr">
        <is>
          <t>economy</t>
        </is>
      </c>
      <c r="D74" s="56" t="n">
        <v>5</v>
      </c>
      <c r="E74" s="56">
        <f t="array" ref="E74">ROUND('Towers'!$C$9*POWER('Towers'!$S$9,D74),0)</f>
        <v/>
      </c>
      <c r="F74" s="56">
        <f t="array" ref="F74">F73+E74</f>
        <v/>
      </c>
      <c r="G74" s="57" t="n">
        <v>1</v>
      </c>
      <c r="H74" s="57" t="n">
        <v>1</v>
      </c>
      <c r="I74" s="57" t="n">
        <v>1</v>
      </c>
      <c r="J74" s="92" t="n">
        <v>0</v>
      </c>
      <c r="K74" s="43" t="inlineStr">
        <is>
          <t>n/a</t>
        </is>
      </c>
      <c r="L74" s="57" t="n">
        <v>1</v>
      </c>
      <c r="M74" s="43" t="inlineStr">
        <is>
          <t>Treasure Haul</t>
        </is>
      </c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/>
      <c r="AD74" s="57" t="n"/>
      <c r="AE74" s="57" t="n"/>
      <c r="AF74" s="57" t="n"/>
      <c r="AG74" s="57" t="n"/>
      <c r="AH74" s="57" t="n"/>
      <c r="AI74" s="57" t="n"/>
      <c r="AJ74" s="57" t="n"/>
      <c r="AK74" s="57" t="n"/>
      <c r="AL74" s="57" t="n"/>
      <c r="AM74" s="57" t="n"/>
      <c r="AN74" s="57" t="n"/>
      <c r="AO74" s="57" t="n"/>
      <c r="AP74" s="57" t="n"/>
      <c r="AQ74" s="57" t="n">
        <v>4</v>
      </c>
      <c r="AR74" s="57" t="n">
        <v>790</v>
      </c>
      <c r="AS74" s="57" t="n"/>
      <c r="AT74" s="57" t="n"/>
      <c r="CI74" s="81" t="inlineStr">
        <is>
          <t>A</t>
        </is>
      </c>
      <c r="CJ74" s="81" t="inlineStr">
        <is>
          <t>The richest chests, and more of them</t>
        </is>
      </c>
    </row>
    <row r="75" ht="13.65" customHeight="1" s="90">
      <c r="A75" s="43" t="inlineStr">
        <is>
          <t>Supply Camp</t>
        </is>
      </c>
      <c r="B75" s="43" t="inlineStr">
        <is>
          <t>Logistics</t>
        </is>
      </c>
      <c r="C75" s="43" t="inlineStr">
        <is>
          <t>economy</t>
        </is>
      </c>
      <c r="D75" s="56" t="n">
        <v>1</v>
      </c>
      <c r="E75" s="56">
        <f t="array" ref="E75">ROUND('Towers'!$C$9*POWER('Towers'!$S$9,D75),0)</f>
        <v/>
      </c>
      <c r="F75" s="56">
        <f t="array" ref="F75">'Towers'!$C$9+E75</f>
        <v/>
      </c>
      <c r="G75" s="57" t="n">
        <v>1</v>
      </c>
      <c r="H75" s="57" t="n">
        <v>1</v>
      </c>
      <c r="I75" s="57" t="n">
        <v>1</v>
      </c>
      <c r="J75" s="92" t="n">
        <v>0</v>
      </c>
      <c r="K75" s="43" t="inlineStr">
        <is>
          <t>n/a</t>
        </is>
      </c>
      <c r="L75" s="57" t="n">
        <v>1</v>
      </c>
      <c r="M75" s="43" t="inlineStr">
        <is>
          <t>Bulk Order</t>
        </is>
      </c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  <c r="AG75" s="57" t="n"/>
      <c r="AH75" s="57" t="n"/>
      <c r="AI75" s="57" t="n"/>
      <c r="AJ75" s="57" t="n"/>
      <c r="AK75" s="57" t="n"/>
      <c r="AL75" s="57" t="n"/>
      <c r="AM75" s="57" t="n"/>
      <c r="AN75" s="57" t="n"/>
      <c r="AO75" s="57" t="n"/>
      <c r="AP75" s="57" t="n"/>
      <c r="AQ75" s="57" t="n"/>
      <c r="AR75" s="57" t="n"/>
      <c r="AS75" s="57" t="n">
        <v>5</v>
      </c>
      <c r="AT75" s="57" t="n"/>
    </row>
    <row r="76" ht="13.65" customHeight="1" s="90">
      <c r="A76" s="43" t="inlineStr">
        <is>
          <t>Supply Camp</t>
        </is>
      </c>
      <c r="B76" s="43" t="inlineStr">
        <is>
          <t>Logistics</t>
        </is>
      </c>
      <c r="C76" s="43" t="inlineStr">
        <is>
          <t>economy</t>
        </is>
      </c>
      <c r="D76" s="56" t="n">
        <v>2</v>
      </c>
      <c r="E76" s="56">
        <f t="array" ref="E76">ROUND('Towers'!$C$9*POWER('Towers'!$S$9,D76),0)</f>
        <v/>
      </c>
      <c r="F76" s="56">
        <f t="array" ref="F76">F75+E76</f>
        <v/>
      </c>
      <c r="G76" s="57" t="n">
        <v>1</v>
      </c>
      <c r="H76" s="57" t="n">
        <v>1</v>
      </c>
      <c r="I76" s="57" t="n">
        <v>1</v>
      </c>
      <c r="J76" s="92" t="n">
        <v>0</v>
      </c>
      <c r="K76" s="43" t="inlineStr">
        <is>
          <t>n/a</t>
        </is>
      </c>
      <c r="L76" s="57" t="n">
        <v>1</v>
      </c>
      <c r="M76" s="43" t="inlineStr">
        <is>
          <t>Field Engineer</t>
        </is>
      </c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  <c r="AG76" s="57" t="n"/>
      <c r="AH76" s="57" t="n"/>
      <c r="AI76" s="57" t="n"/>
      <c r="AJ76" s="57" t="n"/>
      <c r="AK76" s="57" t="n"/>
      <c r="AL76" s="57" t="n"/>
      <c r="AM76" s="57" t="n"/>
      <c r="AN76" s="57" t="n"/>
      <c r="AO76" s="57" t="n"/>
      <c r="AP76" s="57" t="n"/>
      <c r="AQ76" s="57" t="n"/>
      <c r="AR76" s="57" t="n"/>
      <c r="AS76" s="57" t="n">
        <v>10</v>
      </c>
      <c r="AT76" s="57" t="n"/>
    </row>
    <row r="77" ht="13.65" customHeight="1" s="90">
      <c r="A77" s="43" t="inlineStr">
        <is>
          <t>Supply Camp</t>
        </is>
      </c>
      <c r="B77" s="43" t="inlineStr">
        <is>
          <t>Logistics</t>
        </is>
      </c>
      <c r="C77" s="43" t="inlineStr">
        <is>
          <t>economy</t>
        </is>
      </c>
      <c r="D77" s="56" t="n">
        <v>3</v>
      </c>
      <c r="E77" s="56">
        <f t="array" ref="E77">ROUND('Towers'!$C$9*POWER('Towers'!$S$9,D77),0)</f>
        <v/>
      </c>
      <c r="F77" s="56">
        <f t="array" ref="F77">F76+E77</f>
        <v/>
      </c>
      <c r="G77" s="57" t="n">
        <v>1</v>
      </c>
      <c r="H77" s="57" t="n">
        <v>1</v>
      </c>
      <c r="I77" s="57" t="n">
        <v>1</v>
      </c>
      <c r="J77" s="92" t="n">
        <v>0</v>
      </c>
      <c r="K77" s="43" t="inlineStr">
        <is>
          <t>n/a</t>
        </is>
      </c>
      <c r="L77" s="57" t="n">
        <v>1</v>
      </c>
      <c r="M77" s="43" t="inlineStr">
        <is>
          <t>Recycler</t>
        </is>
      </c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  <c r="AG77" s="57" t="n"/>
      <c r="AH77" s="57" t="n"/>
      <c r="AI77" s="57" t="n"/>
      <c r="AJ77" s="57" t="n"/>
      <c r="AK77" s="57" t="n"/>
      <c r="AL77" s="57" t="n"/>
      <c r="AM77" s="57" t="n"/>
      <c r="AN77" s="57" t="n"/>
      <c r="AO77" s="57" t="n"/>
      <c r="AP77" s="57" t="n"/>
      <c r="AQ77" s="57" t="n"/>
      <c r="AR77" s="57" t="n"/>
      <c r="AS77" s="57" t="n">
        <v>10</v>
      </c>
      <c r="AT77" s="57" t="n">
        <v>0.9</v>
      </c>
    </row>
    <row r="78" ht="13.65" customHeight="1" s="90">
      <c r="A78" s="43" t="inlineStr">
        <is>
          <t>Supply Camp</t>
        </is>
      </c>
      <c r="B78" s="43" t="inlineStr">
        <is>
          <t>Logistics</t>
        </is>
      </c>
      <c r="C78" s="43" t="inlineStr">
        <is>
          <t>economy</t>
        </is>
      </c>
      <c r="D78" s="56" t="n">
        <v>4</v>
      </c>
      <c r="E78" s="56">
        <f t="array" ref="E78">ROUND('Towers'!$C$9*POWER('Towers'!$S$9,D78),0)</f>
        <v/>
      </c>
      <c r="F78" s="56">
        <f t="array" ref="F78">F77+E78</f>
        <v/>
      </c>
      <c r="G78" s="57" t="n">
        <v>1</v>
      </c>
      <c r="H78" s="57" t="n">
        <v>1</v>
      </c>
      <c r="I78" s="57" t="n">
        <v>1</v>
      </c>
      <c r="J78" s="92" t="n">
        <v>0</v>
      </c>
      <c r="K78" s="43" t="inlineStr">
        <is>
          <t>n/a</t>
        </is>
      </c>
      <c r="L78" s="57" t="n">
        <v>1</v>
      </c>
      <c r="M78" s="43" t="inlineStr">
        <is>
          <t>Forward Camp</t>
        </is>
      </c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  <c r="AA78" s="57" t="n"/>
      <c r="AB78" s="57" t="n">
        <v>10</v>
      </c>
      <c r="AC78" s="57" t="n"/>
      <c r="AD78" s="57" t="n"/>
      <c r="AE78" s="57" t="n"/>
      <c r="AF78" s="57" t="n"/>
      <c r="AG78" s="57" t="n"/>
      <c r="AH78" s="57" t="n"/>
      <c r="AI78" s="57" t="n"/>
      <c r="AJ78" s="57" t="n"/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CI78" s="81" t="inlineStr">
        <is>
          <t>A</t>
        </is>
      </c>
      <c r="CJ78" s="81" t="inlineStr">
        <is>
          <t>Towers in range shoot faster</t>
        </is>
      </c>
    </row>
    <row r="79" ht="13.65" customHeight="1" s="90">
      <c r="A79" s="43" t="inlineStr">
        <is>
          <t>Supply Camp</t>
        </is>
      </c>
      <c r="B79" s="43" t="inlineStr">
        <is>
          <t>Logistics</t>
        </is>
      </c>
      <c r="C79" s="43" t="inlineStr">
        <is>
          <t>economy</t>
        </is>
      </c>
      <c r="D79" s="56" t="n">
        <v>5</v>
      </c>
      <c r="E79" s="56">
        <f t="array" ref="E79">ROUND('Towers'!$C$9*POWER('Towers'!$S$9,D79),0)</f>
        <v/>
      </c>
      <c r="F79" s="56">
        <f t="array" ref="F79">F78+E79</f>
        <v/>
      </c>
      <c r="G79" s="57" t="n">
        <v>1</v>
      </c>
      <c r="H79" s="57" t="n">
        <v>1</v>
      </c>
      <c r="I79" s="57" t="n">
        <v>1</v>
      </c>
      <c r="J79" s="92" t="n">
        <v>0</v>
      </c>
      <c r="K79" s="43" t="inlineStr">
        <is>
          <t>n/a</t>
        </is>
      </c>
      <c r="L79" s="57" t="n">
        <v>1</v>
      </c>
      <c r="M79" s="43" t="inlineStr">
        <is>
          <t>Base Camp</t>
        </is>
      </c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  <c r="AG79" s="57" t="n"/>
      <c r="AH79" s="57" t="n"/>
      <c r="AI79" s="57" t="n"/>
      <c r="AJ79" s="57" t="n"/>
      <c r="AK79" s="57" t="n"/>
      <c r="AL79" s="57" t="n"/>
      <c r="AM79" s="57" t="n"/>
      <c r="AN79" s="57" t="n"/>
      <c r="AO79" s="57" t="n"/>
      <c r="AP79" s="57" t="n"/>
      <c r="AQ79" s="57" t="n"/>
      <c r="AR79" s="57" t="n"/>
      <c r="AS79" s="57" t="n">
        <v>20</v>
      </c>
      <c r="AT79" s="57" t="n">
        <v>1</v>
      </c>
      <c r="CI79" s="81" t="inlineStr">
        <is>
          <t>A</t>
        </is>
      </c>
      <c r="CJ79" s="81" t="inlineStr">
        <is>
          <t>Towers in range cost less and sell for full price</t>
        </is>
      </c>
    </row>
    <row r="80">
      <c r="A80" s="43" t="inlineStr">
        <is>
          <t>Armory</t>
        </is>
      </c>
      <c r="B80" s="43" t="inlineStr">
        <is>
          <t>Plating</t>
        </is>
      </c>
      <c r="C80" s="43" t="inlineStr">
        <is>
          <t>resistance</t>
        </is>
      </c>
      <c r="D80" s="56" t="n">
        <v>1</v>
      </c>
      <c r="E80" s="56">
        <f>ROUND('Towers'!$C$11*POWER('Tuning'!$B$12,D80),0)</f>
        <v/>
      </c>
      <c r="F80" s="56">
        <f>'Towers'!$C$11+E80</f>
        <v/>
      </c>
      <c r="G80" s="57" t="n">
        <v>1</v>
      </c>
      <c r="H80" s="57" t="n">
        <v>1</v>
      </c>
      <c r="I80" s="57" t="n">
        <v>1</v>
      </c>
      <c r="J80" s="92" t="n">
        <v>0</v>
      </c>
      <c r="K80" s="43" t="inlineStr">
        <is>
          <t>n/a</t>
        </is>
      </c>
      <c r="L80" s="57" t="n">
        <v>1</v>
      </c>
      <c r="M80" s="43" t="inlineStr">
        <is>
          <t>Hide Padding</t>
        </is>
      </c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  <c r="AG80" s="57" t="n"/>
      <c r="AH80" s="57" t="n"/>
      <c r="AI80" s="57" t="n"/>
      <c r="AJ80" s="57" t="n"/>
      <c r="AK80" s="57" t="n"/>
      <c r="AL80" s="57" t="n"/>
      <c r="AM80" s="57" t="n"/>
      <c r="AN80" s="57" t="n"/>
      <c r="AO80" s="57" t="n"/>
      <c r="AP80" s="57" t="n"/>
      <c r="AQ80" s="57" t="n"/>
      <c r="AR80" s="57" t="n"/>
      <c r="AS80" s="57" t="n"/>
      <c r="AT80" s="57" t="n"/>
      <c r="AU80" s="57" t="n">
        <v>20</v>
      </c>
      <c r="AV80" s="57" t="n"/>
      <c r="AW80" s="57" t="n"/>
      <c r="AX80" s="57" t="n"/>
      <c r="AY80" s="57" t="n"/>
      <c r="AZ80" s="57" t="n"/>
      <c r="BA80" s="57" t="n"/>
    </row>
    <row r="81">
      <c r="A81" s="43" t="inlineStr">
        <is>
          <t>Armory</t>
        </is>
      </c>
      <c r="B81" s="43" t="inlineStr">
        <is>
          <t>Plating</t>
        </is>
      </c>
      <c r="C81" s="43" t="inlineStr">
        <is>
          <t>resistance</t>
        </is>
      </c>
      <c r="D81" s="56" t="n">
        <v>2</v>
      </c>
      <c r="E81" s="56">
        <f>ROUND('Towers'!$C$11*POWER('Tuning'!$B$12,D81),0)</f>
        <v/>
      </c>
      <c r="F81" s="56">
        <f>F80+E81</f>
        <v/>
      </c>
      <c r="G81" s="57" t="n">
        <v>1</v>
      </c>
      <c r="H81" s="57" t="n">
        <v>1</v>
      </c>
      <c r="I81" s="57" t="n">
        <v>1</v>
      </c>
      <c r="J81" s="92" t="n">
        <v>0</v>
      </c>
      <c r="K81" s="43" t="inlineStr">
        <is>
          <t>n/a</t>
        </is>
      </c>
      <c r="L81" s="57" t="n">
        <v>1</v>
      </c>
      <c r="M81" s="43" t="inlineStr">
        <is>
          <t>Iron Plates</t>
        </is>
      </c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  <c r="AG81" s="57" t="n"/>
      <c r="AH81" s="57" t="n"/>
      <c r="AI81" s="57" t="n"/>
      <c r="AJ81" s="57" t="n"/>
      <c r="AK81" s="57" t="n"/>
      <c r="AL81" s="57" t="n"/>
      <c r="AM81" s="57" t="n"/>
      <c r="AN81" s="57" t="n"/>
      <c r="AO81" s="57" t="n"/>
      <c r="AP81" s="57" t="n"/>
      <c r="AQ81" s="57" t="n"/>
      <c r="AR81" s="57" t="n"/>
      <c r="AS81" s="57" t="n"/>
      <c r="AT81" s="57" t="n"/>
      <c r="AU81" s="57" t="n">
        <v>25</v>
      </c>
      <c r="AV81" s="57" t="n"/>
      <c r="AW81" s="57" t="n"/>
      <c r="AX81" s="57" t="n"/>
      <c r="AY81" s="57" t="n"/>
      <c r="AZ81" s="57" t="n"/>
      <c r="BA81" s="57" t="n"/>
    </row>
    <row r="82">
      <c r="A82" s="43" t="inlineStr">
        <is>
          <t>Armory</t>
        </is>
      </c>
      <c r="B82" s="43" t="inlineStr">
        <is>
          <t>Plating</t>
        </is>
      </c>
      <c r="C82" s="43" t="inlineStr">
        <is>
          <t>resistance</t>
        </is>
      </c>
      <c r="D82" s="56" t="n">
        <v>3</v>
      </c>
      <c r="E82" s="56">
        <f>ROUND('Towers'!$C$11*POWER('Tuning'!$B$12,D82),0)</f>
        <v/>
      </c>
      <c r="F82" s="56">
        <f>F81+E82</f>
        <v/>
      </c>
      <c r="G82" s="57" t="n">
        <v>1</v>
      </c>
      <c r="H82" s="57" t="n">
        <v>1</v>
      </c>
      <c r="I82" s="57" t="n">
        <v>1</v>
      </c>
      <c r="J82" s="92" t="n">
        <v>0</v>
      </c>
      <c r="K82" s="43" t="inlineStr">
        <is>
          <t>n/a</t>
        </is>
      </c>
      <c r="L82" s="57" t="n">
        <v>1</v>
      </c>
      <c r="M82" s="43" t="inlineStr">
        <is>
          <t>Thorn Plating</t>
        </is>
      </c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  <c r="AG82" s="57" t="n"/>
      <c r="AH82" s="57" t="n"/>
      <c r="AI82" s="57" t="n"/>
      <c r="AJ82" s="57" t="n"/>
      <c r="AK82" s="57" t="n"/>
      <c r="AL82" s="57" t="n"/>
      <c r="AM82" s="57" t="n"/>
      <c r="AN82" s="57" t="n"/>
      <c r="AO82" s="57" t="n"/>
      <c r="AP82" s="57" t="n"/>
      <c r="AQ82" s="57" t="n"/>
      <c r="AR82" s="57" t="n"/>
      <c r="AS82" s="57" t="n"/>
      <c r="AT82" s="57" t="n"/>
      <c r="AU82" s="57" t="n">
        <v>25</v>
      </c>
      <c r="AV82" s="57" t="n">
        <v>3</v>
      </c>
      <c r="AW82" s="57" t="n"/>
      <c r="AX82" s="57" t="n"/>
      <c r="AY82" s="57" t="n"/>
      <c r="AZ82" s="57" t="n"/>
      <c r="BA82" s="57" t="n"/>
    </row>
    <row r="83">
      <c r="A83" s="43" t="inlineStr">
        <is>
          <t>Armory</t>
        </is>
      </c>
      <c r="B83" s="43" t="inlineStr">
        <is>
          <t>Plating</t>
        </is>
      </c>
      <c r="C83" s="43" t="inlineStr">
        <is>
          <t>resistance</t>
        </is>
      </c>
      <c r="D83" s="56" t="n">
        <v>4</v>
      </c>
      <c r="E83" s="56">
        <f>ROUND('Towers'!$C$11*POWER('Tuning'!$B$12,D83),0)</f>
        <v/>
      </c>
      <c r="F83" s="56">
        <f>F82+E83</f>
        <v/>
      </c>
      <c r="G83" s="57" t="n">
        <v>1</v>
      </c>
      <c r="H83" s="57" t="n">
        <v>1</v>
      </c>
      <c r="I83" s="57" t="n">
        <v>1</v>
      </c>
      <c r="J83" s="92" t="n">
        <v>0</v>
      </c>
      <c r="K83" s="43" t="inlineStr">
        <is>
          <t>n/a</t>
        </is>
      </c>
      <c r="L83" s="57" t="n">
        <v>1</v>
      </c>
      <c r="M83" s="43" t="inlineStr">
        <is>
          <t>Tempered Steel</t>
        </is>
      </c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  <c r="AG83" s="57" t="n"/>
      <c r="AH83" s="57" t="n"/>
      <c r="AI83" s="57" t="n"/>
      <c r="AJ83" s="57" t="n"/>
      <c r="AK83" s="57" t="n"/>
      <c r="AL83" s="57" t="n"/>
      <c r="AM83" s="57" t="n"/>
      <c r="AN83" s="57" t="n"/>
      <c r="AO83" s="57" t="n"/>
      <c r="AP83" s="57" t="n"/>
      <c r="AQ83" s="57" t="n"/>
      <c r="AR83" s="57" t="n"/>
      <c r="AS83" s="57" t="n"/>
      <c r="AT83" s="57" t="n"/>
      <c r="AU83" s="57" t="n">
        <v>35</v>
      </c>
      <c r="AV83" s="57" t="n">
        <v>5</v>
      </c>
      <c r="AW83" s="57" t="n"/>
      <c r="AX83" s="57" t="n"/>
      <c r="AY83" s="57" t="n"/>
      <c r="AZ83" s="57" t="n"/>
      <c r="BA83" s="57" t="n"/>
      <c r="CI83" s="81" t="inlineStr">
        <is>
          <t>A</t>
        </is>
      </c>
      <c r="CJ83" s="81" t="inlineStr">
        <is>
          <t>Tougher armour, and biters take more damage back</t>
        </is>
      </c>
    </row>
    <row r="84">
      <c r="A84" s="43" t="inlineStr">
        <is>
          <t>Armory</t>
        </is>
      </c>
      <c r="B84" s="43" t="inlineStr">
        <is>
          <t>Plating</t>
        </is>
      </c>
      <c r="C84" s="43" t="inlineStr">
        <is>
          <t>resistance</t>
        </is>
      </c>
      <c r="D84" s="56" t="n">
        <v>5</v>
      </c>
      <c r="E84" s="56">
        <f>ROUND('Towers'!$C$11*POWER('Tuning'!$B$12,D84),0)</f>
        <v/>
      </c>
      <c r="F84" s="56">
        <f>F83+E84</f>
        <v/>
      </c>
      <c r="G84" s="57" t="n">
        <v>1</v>
      </c>
      <c r="H84" s="57" t="n">
        <v>1</v>
      </c>
      <c r="I84" s="57" t="n">
        <v>1</v>
      </c>
      <c r="J84" s="92" t="n">
        <v>0</v>
      </c>
      <c r="K84" s="43" t="inlineStr">
        <is>
          <t>n/a</t>
        </is>
      </c>
      <c r="L84" s="57" t="n">
        <v>1</v>
      </c>
      <c r="M84" s="43" t="inlineStr">
        <is>
          <t>Bulwark</t>
        </is>
      </c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  <c r="AA84" s="57" t="n"/>
      <c r="AB84" s="57" t="n"/>
      <c r="AC84" s="57" t="n"/>
      <c r="AD84" s="57" t="n"/>
      <c r="AE84" s="57" t="n"/>
      <c r="AF84" s="57" t="n"/>
      <c r="AG84" s="57" t="n"/>
      <c r="AH84" s="57" t="n"/>
      <c r="AI84" s="57" t="n"/>
      <c r="AJ84" s="57" t="n"/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>
        <v>45</v>
      </c>
      <c r="AV84" s="57" t="n"/>
      <c r="AW84" s="57" t="n">
        <v>0.5</v>
      </c>
      <c r="AX84" s="57" t="n"/>
      <c r="AY84" s="57" t="n"/>
      <c r="AZ84" s="57" t="n"/>
      <c r="BA84" s="57" t="n"/>
      <c r="CI84" s="81" t="inlineStr">
        <is>
          <t>A</t>
        </is>
      </c>
      <c r="CJ84" s="81" t="inlineStr">
        <is>
          <t>The best armour; biting dinos get stunned (not bosses)</t>
        </is>
      </c>
    </row>
    <row r="85">
      <c r="A85" s="43" t="inlineStr">
        <is>
          <t>Armory</t>
        </is>
      </c>
      <c r="B85" s="43" t="inlineStr">
        <is>
          <t>Gunsmith</t>
        </is>
      </c>
      <c r="C85" s="43" t="inlineStr">
        <is>
          <t>support</t>
        </is>
      </c>
      <c r="D85" s="56" t="n">
        <v>1</v>
      </c>
      <c r="E85" s="56">
        <f>ROUND('Towers'!$C$11*POWER('Tuning'!$B$12,D85),0)</f>
        <v/>
      </c>
      <c r="F85" s="56">
        <f>'Towers'!$C$11+E85</f>
        <v/>
      </c>
      <c r="G85" s="57" t="n">
        <v>1</v>
      </c>
      <c r="H85" s="57" t="n">
        <v>1</v>
      </c>
      <c r="I85" s="57" t="n">
        <v>1</v>
      </c>
      <c r="J85" s="92" t="n">
        <v>0</v>
      </c>
      <c r="K85" s="43" t="inlineStr">
        <is>
          <t>n/a</t>
        </is>
      </c>
      <c r="L85" s="57" t="n">
        <v>1</v>
      </c>
      <c r="M85" s="43" t="inlineStr">
        <is>
          <t>Oiled Actions</t>
        </is>
      </c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  <c r="AA85" s="57" t="n"/>
      <c r="AB85" s="57" t="n">
        <v>5</v>
      </c>
      <c r="AC85" s="57" t="n"/>
      <c r="AD85" s="57" t="n"/>
      <c r="AE85" s="57" t="n"/>
      <c r="AF85" s="57" t="n"/>
      <c r="AG85" s="57" t="n"/>
      <c r="AH85" s="57" t="n"/>
      <c r="AI85" s="57" t="n"/>
      <c r="AJ85" s="57" t="n"/>
      <c r="AK85" s="57" t="n"/>
      <c r="AL85" s="57" t="n"/>
      <c r="AM85" s="57" t="n"/>
      <c r="AN85" s="57" t="n"/>
      <c r="AO85" s="57" t="n"/>
      <c r="AP85" s="57" t="n"/>
      <c r="AQ85" s="57" t="n"/>
      <c r="AR85" s="57" t="n"/>
      <c r="AS85" s="57" t="n"/>
      <c r="AT85" s="57" t="n"/>
      <c r="AU85" s="57" t="n"/>
      <c r="AV85" s="57" t="n"/>
      <c r="AW85" s="57" t="n"/>
      <c r="AX85" s="57" t="n"/>
      <c r="AY85" s="57" t="n"/>
      <c r="AZ85" s="57" t="n"/>
      <c r="BA85" s="57" t="n"/>
    </row>
    <row r="86">
      <c r="A86" s="43" t="inlineStr">
        <is>
          <t>Armory</t>
        </is>
      </c>
      <c r="B86" s="43" t="inlineStr">
        <is>
          <t>Gunsmith</t>
        </is>
      </c>
      <c r="C86" s="43" t="inlineStr">
        <is>
          <t>support</t>
        </is>
      </c>
      <c r="D86" s="56" t="n">
        <v>2</v>
      </c>
      <c r="E86" s="56">
        <f>ROUND('Towers'!$C$11*POWER('Tuning'!$B$12,D86),0)</f>
        <v/>
      </c>
      <c r="F86" s="56">
        <f>F85+E86</f>
        <v/>
      </c>
      <c r="G86" s="57" t="n">
        <v>1</v>
      </c>
      <c r="H86" s="57" t="n">
        <v>1</v>
      </c>
      <c r="I86" s="57" t="n">
        <v>1</v>
      </c>
      <c r="J86" s="92" t="n">
        <v>0</v>
      </c>
      <c r="K86" s="43" t="inlineStr">
        <is>
          <t>n/a</t>
        </is>
      </c>
      <c r="L86" s="57" t="n">
        <v>1</v>
      </c>
      <c r="M86" s="43" t="inlineStr">
        <is>
          <t>Hand Loads</t>
        </is>
      </c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  <c r="AA86" s="57" t="n"/>
      <c r="AB86" s="57" t="n">
        <v>5</v>
      </c>
      <c r="AC86" s="57" t="n">
        <v>10</v>
      </c>
      <c r="AD86" s="57" t="n"/>
      <c r="AE86" s="57" t="n"/>
      <c r="AF86" s="57" t="n"/>
      <c r="AG86" s="57" t="n"/>
      <c r="AH86" s="57" t="n"/>
      <c r="AI86" s="57" t="n"/>
      <c r="AJ86" s="57" t="n"/>
      <c r="AK86" s="57" t="n"/>
      <c r="AL86" s="57" t="n"/>
      <c r="AM86" s="57" t="n"/>
      <c r="AN86" s="57" t="n"/>
      <c r="AO86" s="57" t="n"/>
      <c r="AP86" s="57" t="n"/>
      <c r="AQ86" s="57" t="n"/>
      <c r="AR86" s="57" t="n"/>
      <c r="AS86" s="57" t="n"/>
      <c r="AT86" s="57" t="n"/>
      <c r="AU86" s="57" t="n"/>
      <c r="AV86" s="57" t="n"/>
      <c r="AW86" s="57" t="n"/>
      <c r="AX86" s="57" t="n"/>
      <c r="AY86" s="57" t="n"/>
      <c r="AZ86" s="57" t="n"/>
      <c r="BA86" s="57" t="n"/>
    </row>
    <row r="87">
      <c r="A87" s="43" t="inlineStr">
        <is>
          <t>Armory</t>
        </is>
      </c>
      <c r="B87" s="43" t="inlineStr">
        <is>
          <t>Gunsmith</t>
        </is>
      </c>
      <c r="C87" s="43" t="inlineStr">
        <is>
          <t>support</t>
        </is>
      </c>
      <c r="D87" s="56" t="n">
        <v>3</v>
      </c>
      <c r="E87" s="56">
        <f>ROUND('Towers'!$C$11*POWER('Tuning'!$B$12,D87),0)</f>
        <v/>
      </c>
      <c r="F87" s="56">
        <f>F86+E87</f>
        <v/>
      </c>
      <c r="G87" s="57" t="n">
        <v>1</v>
      </c>
      <c r="H87" s="57" t="n">
        <v>1</v>
      </c>
      <c r="I87" s="57" t="n">
        <v>1</v>
      </c>
      <c r="J87" s="92" t="n">
        <v>0</v>
      </c>
      <c r="K87" s="43" t="inlineStr">
        <is>
          <t>n/a</t>
        </is>
      </c>
      <c r="L87" s="57" t="n">
        <v>1</v>
      </c>
      <c r="M87" s="43" t="inlineStr">
        <is>
          <t>Piercing Rounds</t>
        </is>
      </c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  <c r="AA87" s="57" t="n"/>
      <c r="AB87" s="57" t="n">
        <v>5</v>
      </c>
      <c r="AC87" s="57" t="n">
        <v>10</v>
      </c>
      <c r="AD87" s="57" t="inlineStr">
        <is>
          <t>Yes</t>
        </is>
      </c>
      <c r="AE87" s="57" t="n"/>
      <c r="AF87" s="57" t="n"/>
      <c r="AG87" s="57" t="n"/>
      <c r="AH87" s="57" t="n"/>
      <c r="AI87" s="57" t="n"/>
      <c r="AJ87" s="57" t="n"/>
      <c r="AK87" s="57" t="n"/>
      <c r="AL87" s="57" t="n"/>
      <c r="AM87" s="57" t="n"/>
      <c r="AN87" s="57" t="n"/>
      <c r="AO87" s="57" t="n"/>
      <c r="AP87" s="57" t="n"/>
      <c r="AQ87" s="57" t="n"/>
      <c r="AR87" s="57" t="n"/>
      <c r="AS87" s="57" t="n"/>
      <c r="AT87" s="57" t="n"/>
      <c r="AU87" s="57" t="n"/>
      <c r="AV87" s="57" t="n"/>
      <c r="AW87" s="57" t="n"/>
      <c r="AX87" s="57" t="n"/>
      <c r="AY87" s="57" t="n"/>
      <c r="AZ87" s="57" t="n"/>
      <c r="BA87" s="57" t="n"/>
    </row>
    <row r="88">
      <c r="A88" s="43" t="inlineStr">
        <is>
          <t>Armory</t>
        </is>
      </c>
      <c r="B88" s="43" t="inlineStr">
        <is>
          <t>Gunsmith</t>
        </is>
      </c>
      <c r="C88" s="43" t="inlineStr">
        <is>
          <t>support</t>
        </is>
      </c>
      <c r="D88" s="56" t="n">
        <v>4</v>
      </c>
      <c r="E88" s="56">
        <f>ROUND('Towers'!$C$11*POWER('Tuning'!$B$12,D88),0)</f>
        <v/>
      </c>
      <c r="F88" s="56">
        <f>F87+E88</f>
        <v/>
      </c>
      <c r="G88" s="57" t="n">
        <v>1</v>
      </c>
      <c r="H88" s="57" t="n">
        <v>1</v>
      </c>
      <c r="I88" s="57" t="n">
        <v>1</v>
      </c>
      <c r="J88" s="92" t="n">
        <v>0</v>
      </c>
      <c r="K88" s="43" t="inlineStr">
        <is>
          <t>n/a</t>
        </is>
      </c>
      <c r="L88" s="57" t="n">
        <v>1</v>
      </c>
      <c r="M88" s="43" t="inlineStr">
        <is>
          <t>Match Grade</t>
        </is>
      </c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  <c r="AA88" s="57" t="n"/>
      <c r="AB88" s="57" t="n">
        <v>10</v>
      </c>
      <c r="AC88" s="57" t="n">
        <v>20</v>
      </c>
      <c r="AD88" s="57" t="n"/>
      <c r="AE88" s="57" t="n"/>
      <c r="AF88" s="57" t="n"/>
      <c r="AG88" s="57" t="n"/>
      <c r="AH88" s="57" t="n"/>
      <c r="AI88" s="57" t="n"/>
      <c r="AJ88" s="57" t="n"/>
      <c r="AK88" s="57" t="n"/>
      <c r="AL88" s="57" t="n"/>
      <c r="AM88" s="57" t="n"/>
      <c r="AN88" s="57" t="n"/>
      <c r="AO88" s="57" t="n"/>
      <c r="AP88" s="57" t="n"/>
      <c r="AQ88" s="57" t="n"/>
      <c r="AR88" s="57" t="n"/>
      <c r="AS88" s="57" t="n"/>
      <c r="AT88" s="57" t="n"/>
      <c r="AU88" s="57" t="n"/>
      <c r="AV88" s="57" t="n"/>
      <c r="AW88" s="57" t="n"/>
      <c r="AX88" s="57" t="n"/>
      <c r="AY88" s="57" t="n"/>
      <c r="AZ88" s="57" t="n"/>
      <c r="BA88" s="57" t="n"/>
      <c r="CI88" s="81" t="inlineStr">
        <is>
          <t>A</t>
        </is>
      </c>
      <c r="CJ88" s="81" t="inlineStr">
        <is>
          <t>Towers in range hit harder and shoot faster</t>
        </is>
      </c>
    </row>
    <row r="89">
      <c r="A89" s="43" t="inlineStr">
        <is>
          <t>Armory</t>
        </is>
      </c>
      <c r="B89" s="43" t="inlineStr">
        <is>
          <t>Gunsmith</t>
        </is>
      </c>
      <c r="C89" s="43" t="inlineStr">
        <is>
          <t>support</t>
        </is>
      </c>
      <c r="D89" s="56" t="n">
        <v>5</v>
      </c>
      <c r="E89" s="56">
        <f>ROUND('Towers'!$C$11*POWER('Tuning'!$B$12,D89),0)</f>
        <v/>
      </c>
      <c r="F89" s="56">
        <f>F88+E89</f>
        <v/>
      </c>
      <c r="G89" s="57" t="n">
        <v>1</v>
      </c>
      <c r="H89" s="57" t="n">
        <v>1</v>
      </c>
      <c r="I89" s="57" t="n">
        <v>1</v>
      </c>
      <c r="J89" s="92" t="n">
        <v>0</v>
      </c>
      <c r="K89" s="43" t="inlineStr">
        <is>
          <t>n/a</t>
        </is>
      </c>
      <c r="L89" s="57" t="n">
        <v>1</v>
      </c>
      <c r="M89" s="43" t="inlineStr">
        <is>
          <t>Master Gunsmith</t>
        </is>
      </c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7" t="n"/>
      <c r="AB89" s="57" t="n">
        <v>15</v>
      </c>
      <c r="AC89" s="57" t="n">
        <v>30</v>
      </c>
      <c r="AD89" s="57" t="n"/>
      <c r="AE89" s="57" t="n"/>
      <c r="AF89" s="57" t="n"/>
      <c r="AG89" s="57" t="n"/>
      <c r="AH89" s="57" t="n"/>
      <c r="AI89" s="57" t="n"/>
      <c r="AJ89" s="57" t="n"/>
      <c r="AK89" s="57" t="n"/>
      <c r="AL89" s="57" t="n"/>
      <c r="AM89" s="57" t="n"/>
      <c r="AN89" s="57" t="n"/>
      <c r="AO89" s="57" t="n"/>
      <c r="AP89" s="57" t="n"/>
      <c r="AQ89" s="57" t="n"/>
      <c r="AR89" s="57" t="n"/>
      <c r="AS89" s="57" t="n"/>
      <c r="AT89" s="57" t="n"/>
      <c r="AU89" s="57" t="n"/>
      <c r="AV89" s="57" t="n"/>
      <c r="AW89" s="57" t="n"/>
      <c r="AX89" s="57" t="n"/>
      <c r="AY89" s="57" t="n"/>
      <c r="AZ89" s="57" t="n"/>
      <c r="BA89" s="57" t="n"/>
      <c r="CI89" s="81" t="inlineStr">
        <is>
          <t>A</t>
        </is>
      </c>
      <c r="CJ89" s="81" t="inlineStr">
        <is>
          <t>Towers in range hit much harder and faster</t>
        </is>
      </c>
    </row>
    <row r="90">
      <c r="A90" s="43" t="inlineStr">
        <is>
          <t>Armory</t>
        </is>
      </c>
      <c r="B90" s="43" t="inlineStr">
        <is>
          <t>Outfitter</t>
        </is>
      </c>
      <c r="C90" s="43" t="inlineStr">
        <is>
          <t>hunters</t>
        </is>
      </c>
      <c r="D90" s="56" t="n">
        <v>1</v>
      </c>
      <c r="E90" s="56">
        <f>ROUND('Towers'!$C$11*POWER('Tuning'!$B$12,D90),0)</f>
        <v/>
      </c>
      <c r="F90" s="56">
        <f>'Towers'!$C$11+E90</f>
        <v/>
      </c>
      <c r="G90" s="57" t="n">
        <v>1</v>
      </c>
      <c r="H90" s="57" t="n">
        <v>1</v>
      </c>
      <c r="I90" s="57" t="n">
        <v>1</v>
      </c>
      <c r="J90" s="92" t="n">
        <v>0</v>
      </c>
      <c r="K90" s="43" t="inlineStr">
        <is>
          <t>n/a</t>
        </is>
      </c>
      <c r="L90" s="57" t="n">
        <v>1.3</v>
      </c>
      <c r="M90" s="43" t="inlineStr">
        <is>
          <t>Wide Rack</t>
        </is>
      </c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  <c r="AG90" s="57" t="n"/>
      <c r="AH90" s="57" t="n"/>
      <c r="AI90" s="57" t="n"/>
      <c r="AJ90" s="57" t="n"/>
      <c r="AK90" s="57" t="n"/>
      <c r="AL90" s="57" t="n"/>
      <c r="AM90" s="57" t="n"/>
      <c r="AN90" s="57" t="n"/>
      <c r="AO90" s="57" t="n"/>
      <c r="AP90" s="57" t="n"/>
      <c r="AQ90" s="57" t="n"/>
      <c r="AR90" s="57" t="n"/>
      <c r="AS90" s="57" t="n"/>
      <c r="AT90" s="57" t="n"/>
      <c r="AU90" s="57" t="n"/>
      <c r="AV90" s="57" t="n"/>
      <c r="AW90" s="57" t="n"/>
      <c r="AX90" s="57" t="n"/>
      <c r="AY90" s="57" t="n"/>
      <c r="AZ90" s="57" t="n"/>
      <c r="BA90" s="57" t="n"/>
    </row>
    <row r="91">
      <c r="A91" s="43" t="inlineStr">
        <is>
          <t>Armory</t>
        </is>
      </c>
      <c r="B91" s="43" t="inlineStr">
        <is>
          <t>Outfitter</t>
        </is>
      </c>
      <c r="C91" s="43" t="inlineStr">
        <is>
          <t>hunters</t>
        </is>
      </c>
      <c r="D91" s="56" t="n">
        <v>2</v>
      </c>
      <c r="E91" s="56">
        <f>ROUND('Towers'!$C$11*POWER('Tuning'!$B$12,D91),0)</f>
        <v/>
      </c>
      <c r="F91" s="56">
        <f>F90+E91</f>
        <v/>
      </c>
      <c r="G91" s="57" t="n">
        <v>1</v>
      </c>
      <c r="H91" s="57" t="n">
        <v>1</v>
      </c>
      <c r="I91" s="57" t="n">
        <v>1</v>
      </c>
      <c r="J91" s="92" t="n">
        <v>0</v>
      </c>
      <c r="K91" s="43" t="inlineStr">
        <is>
          <t>n/a</t>
        </is>
      </c>
      <c r="L91" s="57" t="n">
        <v>1.3</v>
      </c>
      <c r="M91" s="43" t="inlineStr">
        <is>
          <t>Recoil Pads</t>
        </is>
      </c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7" t="n"/>
      <c r="AB91" s="57" t="n"/>
      <c r="AC91" s="57" t="n"/>
      <c r="AD91" s="57" t="n"/>
      <c r="AE91" s="57" t="n"/>
      <c r="AF91" s="57" t="n"/>
      <c r="AG91" s="57" t="n"/>
      <c r="AH91" s="57" t="n"/>
      <c r="AI91" s="57" t="n"/>
      <c r="AJ91" s="57" t="n"/>
      <c r="AK91" s="57" t="n"/>
      <c r="AL91" s="57" t="n"/>
      <c r="AM91" s="57" t="n"/>
      <c r="AN91" s="57" t="n"/>
      <c r="AO91" s="57" t="n"/>
      <c r="AP91" s="57" t="n"/>
      <c r="AQ91" s="57" t="n"/>
      <c r="AR91" s="57" t="n"/>
      <c r="AS91" s="57" t="n"/>
      <c r="AT91" s="57" t="n"/>
      <c r="AU91" s="57" t="n"/>
      <c r="AV91" s="57" t="n"/>
      <c r="AW91" s="57" t="n"/>
      <c r="AX91" s="57" t="n">
        <v>0.75</v>
      </c>
      <c r="AY91" s="57" t="n"/>
      <c r="AZ91" s="57" t="n"/>
      <c r="BA91" s="57" t="n"/>
    </row>
    <row r="92">
      <c r="A92" s="43" t="inlineStr">
        <is>
          <t>Armory</t>
        </is>
      </c>
      <c r="B92" s="43" t="inlineStr">
        <is>
          <t>Outfitter</t>
        </is>
      </c>
      <c r="C92" s="43" t="inlineStr">
        <is>
          <t>hunters</t>
        </is>
      </c>
      <c r="D92" s="56" t="n">
        <v>3</v>
      </c>
      <c r="E92" s="56">
        <f>ROUND('Towers'!$C$11*POWER('Tuning'!$B$12,D92),0)</f>
        <v/>
      </c>
      <c r="F92" s="56">
        <f>F91+E92</f>
        <v/>
      </c>
      <c r="G92" s="57" t="n">
        <v>1</v>
      </c>
      <c r="H92" s="57" t="n">
        <v>1</v>
      </c>
      <c r="I92" s="57" t="n">
        <v>1</v>
      </c>
      <c r="J92" s="92" t="n">
        <v>0</v>
      </c>
      <c r="K92" s="43" t="inlineStr">
        <is>
          <t>n/a</t>
        </is>
      </c>
      <c r="L92" s="57" t="n">
        <v>1.3</v>
      </c>
      <c r="M92" s="43" t="inlineStr">
        <is>
          <t>Ammo Crate</t>
        </is>
      </c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  <c r="AG92" s="57" t="n"/>
      <c r="AH92" s="57" t="n"/>
      <c r="AI92" s="57" t="n"/>
      <c r="AJ92" s="57" t="n"/>
      <c r="AK92" s="57" t="n"/>
      <c r="AL92" s="57" t="n"/>
      <c r="AM92" s="57" t="n"/>
      <c r="AN92" s="57" t="n"/>
      <c r="AO92" s="57" t="n"/>
      <c r="AP92" s="57" t="n"/>
      <c r="AQ92" s="57" t="n"/>
      <c r="AR92" s="57" t="n"/>
      <c r="AS92" s="57" t="n"/>
      <c r="AT92" s="57" t="n"/>
      <c r="AU92" s="57" t="n"/>
      <c r="AV92" s="57" t="n"/>
      <c r="AW92" s="57" t="n"/>
      <c r="AX92" s="57" t="n">
        <v>0.75</v>
      </c>
      <c r="AY92" s="57" t="n">
        <v>0.65</v>
      </c>
      <c r="AZ92" s="57" t="n"/>
      <c r="BA92" s="57" t="n"/>
    </row>
    <row r="93">
      <c r="A93" s="43" t="inlineStr">
        <is>
          <t>Armory</t>
        </is>
      </c>
      <c r="B93" s="43" t="inlineStr">
        <is>
          <t>Outfitter</t>
        </is>
      </c>
      <c r="C93" s="43" t="inlineStr">
        <is>
          <t>hunters</t>
        </is>
      </c>
      <c r="D93" s="56" t="n">
        <v>4</v>
      </c>
      <c r="E93" s="56">
        <f>ROUND('Towers'!$C$11*POWER('Tuning'!$B$12,D93),0)</f>
        <v/>
      </c>
      <c r="F93" s="56">
        <f>F92+E93</f>
        <v/>
      </c>
      <c r="G93" s="57" t="n">
        <v>1</v>
      </c>
      <c r="H93" s="57" t="n">
        <v>1</v>
      </c>
      <c r="I93" s="57" t="n">
        <v>1</v>
      </c>
      <c r="J93" s="92" t="n">
        <v>0</v>
      </c>
      <c r="K93" s="43" t="inlineStr">
        <is>
          <t>n/a</t>
        </is>
      </c>
      <c r="L93" s="57" t="n">
        <v>1</v>
      </c>
      <c r="M93" s="43" t="inlineStr">
        <is>
          <t>Steady Rests</t>
        </is>
      </c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  <c r="AG93" s="57" t="n"/>
      <c r="AH93" s="57" t="n"/>
      <c r="AI93" s="57" t="n"/>
      <c r="AJ93" s="57" t="n"/>
      <c r="AK93" s="57" t="n"/>
      <c r="AL93" s="57" t="n"/>
      <c r="AM93" s="57" t="n"/>
      <c r="AN93" s="57" t="n"/>
      <c r="AO93" s="57" t="n"/>
      <c r="AP93" s="57" t="n"/>
      <c r="AQ93" s="57" t="n"/>
      <c r="AR93" s="57" t="n"/>
      <c r="AS93" s="57" t="n"/>
      <c r="AT93" s="57" t="n"/>
      <c r="AU93" s="57" t="n"/>
      <c r="AV93" s="57" t="n"/>
      <c r="AW93" s="57" t="n"/>
      <c r="AX93" s="57" t="n">
        <v>1</v>
      </c>
      <c r="AY93" s="57" t="n">
        <v>1</v>
      </c>
      <c r="AZ93" s="57" t="n">
        <v>0.7</v>
      </c>
      <c r="BA93" s="57" t="n"/>
      <c r="CI93" s="81" t="inlineStr">
        <is>
          <t>A</t>
        </is>
      </c>
      <c r="CJ93" s="81" t="inlineStr">
        <is>
          <t>Hunters in range shoot straighter</t>
        </is>
      </c>
    </row>
    <row r="94">
      <c r="A94" s="43" t="inlineStr">
        <is>
          <t>Armory</t>
        </is>
      </c>
      <c r="B94" s="43" t="inlineStr">
        <is>
          <t>Outfitter</t>
        </is>
      </c>
      <c r="C94" s="43" t="inlineStr">
        <is>
          <t>hunters</t>
        </is>
      </c>
      <c r="D94" s="56" t="n">
        <v>5</v>
      </c>
      <c r="E94" s="56">
        <f>ROUND('Towers'!$C$11*POWER('Tuning'!$B$12,D94),0)</f>
        <v/>
      </c>
      <c r="F94" s="56">
        <f>F93+E94</f>
        <v/>
      </c>
      <c r="G94" s="57" t="n">
        <v>1</v>
      </c>
      <c r="H94" s="57" t="n">
        <v>1</v>
      </c>
      <c r="I94" s="57" t="n">
        <v>1</v>
      </c>
      <c r="J94" s="92" t="n">
        <v>0</v>
      </c>
      <c r="K94" s="43" t="inlineStr">
        <is>
          <t>n/a</t>
        </is>
      </c>
      <c r="L94" s="57" t="n">
        <v>1.153846153846</v>
      </c>
      <c r="M94" s="43" t="inlineStr">
        <is>
          <t>Full Kit</t>
        </is>
      </c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  <c r="AI94" s="57" t="n"/>
      <c r="AJ94" s="57" t="n"/>
      <c r="AK94" s="57" t="n"/>
      <c r="AL94" s="57" t="n"/>
      <c r="AM94" s="57" t="n"/>
      <c r="AN94" s="57" t="n"/>
      <c r="AO94" s="57" t="n"/>
      <c r="AP94" s="57" t="n"/>
      <c r="AQ94" s="57" t="n"/>
      <c r="AR94" s="57" t="n"/>
      <c r="AS94" s="57" t="n"/>
      <c r="AT94" s="57" t="n"/>
      <c r="AU94" s="57" t="n"/>
      <c r="AV94" s="57" t="n"/>
      <c r="AW94" s="57" t="n"/>
      <c r="AX94" s="57" t="n">
        <v>1</v>
      </c>
      <c r="AY94" s="57" t="n">
        <v>1</v>
      </c>
      <c r="AZ94" s="57" t="n">
        <v>1</v>
      </c>
      <c r="BA94" s="57" t="n">
        <v>20</v>
      </c>
      <c r="CI94" s="81" t="inlineStr">
        <is>
          <t>A</t>
        </is>
      </c>
      <c r="CJ94" s="81" t="inlineStr">
        <is>
          <t>Wider reach, and hunters in range fire faster</t>
        </is>
      </c>
    </row>
    <row r="95">
      <c r="A95" s="43" t="inlineStr">
        <is>
          <t>Field Hospital</t>
        </is>
      </c>
      <c r="B95" s="43" t="inlineStr">
        <is>
          <t>Ward</t>
        </is>
      </c>
      <c r="C95" s="43" t="inlineStr">
        <is>
          <t>healing</t>
        </is>
      </c>
      <c r="D95" s="56" t="n">
        <v>1</v>
      </c>
      <c r="E95" s="56">
        <f>ROUND('Towers'!$C$10*POWER('Tuning'!$B$12,D95),0)</f>
        <v/>
      </c>
      <c r="F95" s="56">
        <f>'Towers'!$C$10+E95</f>
        <v/>
      </c>
      <c r="G95" s="57" t="n">
        <v>1</v>
      </c>
      <c r="H95" s="57" t="n">
        <v>1</v>
      </c>
      <c r="I95" s="57" t="n">
        <v>1</v>
      </c>
      <c r="J95" s="92" t="n">
        <v>0</v>
      </c>
      <c r="K95" s="43" t="inlineStr">
        <is>
          <t>n/a</t>
        </is>
      </c>
      <c r="L95" s="57" t="n">
        <v>1</v>
      </c>
      <c r="M95" s="43" t="inlineStr">
        <is>
          <t>Clean Linens</t>
        </is>
      </c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/>
      <c r="AG95" s="57" t="n"/>
      <c r="AH95" s="57" t="n"/>
      <c r="AI95" s="57" t="n"/>
      <c r="AJ95" s="57" t="n"/>
      <c r="AK95" s="57" t="n"/>
      <c r="AL95" s="57" t="n"/>
      <c r="AM95" s="57" t="n"/>
      <c r="AN95" s="57" t="n"/>
      <c r="AO95" s="57" t="n"/>
      <c r="AP95" s="57" t="n"/>
      <c r="AQ95" s="57" t="n"/>
      <c r="AR95" s="57" t="n"/>
      <c r="AS95" s="57" t="n"/>
      <c r="AT95" s="57" t="n"/>
      <c r="AU95" s="57" t="n"/>
      <c r="AV95" s="57" t="n"/>
      <c r="AW95" s="57" t="n"/>
      <c r="AX95" s="57" t="n"/>
      <c r="AY95" s="57" t="n"/>
      <c r="AZ95" s="57" t="n"/>
      <c r="BA95" s="57" t="n"/>
      <c r="BB95" s="57" t="n">
        <v>1.5</v>
      </c>
      <c r="BC95" s="57" t="n"/>
      <c r="BD95" s="57" t="n"/>
      <c r="BE95" s="57" t="n"/>
      <c r="BF95" s="57" t="n"/>
      <c r="BG95" s="57" t="n"/>
      <c r="BH95" s="57" t="n"/>
      <c r="BI95" s="57" t="n"/>
    </row>
    <row r="96">
      <c r="A96" s="43" t="inlineStr">
        <is>
          <t>Field Hospital</t>
        </is>
      </c>
      <c r="B96" s="43" t="inlineStr">
        <is>
          <t>Ward</t>
        </is>
      </c>
      <c r="C96" s="43" t="inlineStr">
        <is>
          <t>healing</t>
        </is>
      </c>
      <c r="D96" s="56" t="n">
        <v>2</v>
      </c>
      <c r="E96" s="56">
        <f>ROUND('Towers'!$C$10*POWER('Tuning'!$B$12,D96),0)</f>
        <v/>
      </c>
      <c r="F96" s="56">
        <f>F95+E96</f>
        <v/>
      </c>
      <c r="G96" s="57" t="n">
        <v>1</v>
      </c>
      <c r="H96" s="57" t="n">
        <v>1</v>
      </c>
      <c r="I96" s="57" t="n">
        <v>1</v>
      </c>
      <c r="J96" s="92" t="n">
        <v>0</v>
      </c>
      <c r="K96" s="43" t="inlineStr">
        <is>
          <t>n/a</t>
        </is>
      </c>
      <c r="L96" s="57" t="n">
        <v>1</v>
      </c>
      <c r="M96" s="43" t="inlineStr">
        <is>
          <t>Extra Cots</t>
        </is>
      </c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/>
      <c r="AD96" s="57" t="n"/>
      <c r="AE96" s="57" t="n"/>
      <c r="AF96" s="57" t="n"/>
      <c r="AG96" s="57" t="n"/>
      <c r="AH96" s="57" t="n"/>
      <c r="AI96" s="57" t="n"/>
      <c r="AJ96" s="57" t="n"/>
      <c r="AK96" s="57" t="n"/>
      <c r="AL96" s="57" t="n"/>
      <c r="AM96" s="57" t="n"/>
      <c r="AN96" s="57" t="n"/>
      <c r="AO96" s="57" t="n"/>
      <c r="AP96" s="57" t="n"/>
      <c r="AQ96" s="57" t="n"/>
      <c r="AR96" s="57" t="n"/>
      <c r="AS96" s="57" t="n"/>
      <c r="AT96" s="57" t="n"/>
      <c r="AU96" s="57" t="n"/>
      <c r="AV96" s="57" t="n"/>
      <c r="AW96" s="57" t="n"/>
      <c r="AX96" s="57" t="n"/>
      <c r="AY96" s="57" t="n"/>
      <c r="AZ96" s="57" t="n"/>
      <c r="BA96" s="57" t="n"/>
      <c r="BB96" s="57" t="n">
        <v>2</v>
      </c>
      <c r="BC96" s="57" t="n"/>
      <c r="BD96" s="57" t="n"/>
      <c r="BE96" s="57" t="n"/>
      <c r="BF96" s="57" t="n"/>
      <c r="BG96" s="57" t="n"/>
      <c r="BH96" s="57" t="n"/>
      <c r="BI96" s="57" t="n"/>
    </row>
    <row r="97">
      <c r="A97" s="43" t="inlineStr">
        <is>
          <t>Field Hospital</t>
        </is>
      </c>
      <c r="B97" s="43" t="inlineStr">
        <is>
          <t>Ward</t>
        </is>
      </c>
      <c r="C97" s="43" t="inlineStr">
        <is>
          <t>healing</t>
        </is>
      </c>
      <c r="D97" s="56" t="n">
        <v>3</v>
      </c>
      <c r="E97" s="56">
        <f>ROUND('Towers'!$C$10*POWER('Tuning'!$B$12,D97),0)</f>
        <v/>
      </c>
      <c r="F97" s="56">
        <f>F96+E97</f>
        <v/>
      </c>
      <c r="G97" s="57" t="n">
        <v>1</v>
      </c>
      <c r="H97" s="57" t="n">
        <v>1</v>
      </c>
      <c r="I97" s="57" t="n">
        <v>1</v>
      </c>
      <c r="J97" s="92" t="n">
        <v>0</v>
      </c>
      <c r="K97" s="43" t="inlineStr">
        <is>
          <t>n/a</t>
        </is>
      </c>
      <c r="L97" s="57" t="n">
        <v>1</v>
      </c>
      <c r="M97" s="43" t="inlineStr">
        <is>
          <t>Stitch-Up</t>
        </is>
      </c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  <c r="AA97" s="57" t="n"/>
      <c r="AB97" s="57" t="n"/>
      <c r="AC97" s="57" t="n"/>
      <c r="AD97" s="57" t="n"/>
      <c r="AE97" s="57" t="n"/>
      <c r="AF97" s="57" t="n"/>
      <c r="AG97" s="57" t="n"/>
      <c r="AH97" s="57" t="n"/>
      <c r="AI97" s="57" t="n"/>
      <c r="AJ97" s="57" t="n"/>
      <c r="AK97" s="57" t="n"/>
      <c r="AL97" s="57" t="n"/>
      <c r="AM97" s="57" t="n"/>
      <c r="AN97" s="57" t="n"/>
      <c r="AO97" s="57" t="n"/>
      <c r="AP97" s="57" t="n"/>
      <c r="AQ97" s="57" t="n"/>
      <c r="AR97" s="57" t="n"/>
      <c r="AS97" s="57" t="n"/>
      <c r="AT97" s="57" t="n"/>
      <c r="AU97" s="57" t="n"/>
      <c r="AV97" s="57" t="n"/>
      <c r="AW97" s="57" t="n"/>
      <c r="AX97" s="57" t="n"/>
      <c r="AY97" s="57" t="n"/>
      <c r="AZ97" s="57" t="n"/>
      <c r="BA97" s="57" t="n"/>
      <c r="BB97" s="57" t="n">
        <v>2.5</v>
      </c>
      <c r="BC97" s="57" t="inlineStr">
        <is>
          <t>Yes</t>
        </is>
      </c>
      <c r="BD97" s="57" t="n">
        <v>0.5</v>
      </c>
      <c r="BE97" s="57" t="n"/>
      <c r="BF97" s="57" t="n"/>
      <c r="BG97" s="57" t="n"/>
      <c r="BH97" s="57" t="n"/>
      <c r="BI97" s="57" t="n"/>
    </row>
    <row r="98">
      <c r="A98" s="43" t="inlineStr">
        <is>
          <t>Field Hospital</t>
        </is>
      </c>
      <c r="B98" s="43" t="inlineStr">
        <is>
          <t>Ward</t>
        </is>
      </c>
      <c r="C98" s="43" t="inlineStr">
        <is>
          <t>healing</t>
        </is>
      </c>
      <c r="D98" s="56" t="n">
        <v>4</v>
      </c>
      <c r="E98" s="56">
        <f>ROUND('Towers'!$C$10*POWER('Tuning'!$B$12,D98),0)</f>
        <v/>
      </c>
      <c r="F98" s="56">
        <f>F97+E98</f>
        <v/>
      </c>
      <c r="G98" s="57" t="n">
        <v>1</v>
      </c>
      <c r="H98" s="57" t="n">
        <v>1</v>
      </c>
      <c r="I98" s="57" t="n">
        <v>1</v>
      </c>
      <c r="J98" s="92" t="n">
        <v>0</v>
      </c>
      <c r="K98" s="43" t="inlineStr">
        <is>
          <t>n/a</t>
        </is>
      </c>
      <c r="L98" s="57" t="n">
        <v>1</v>
      </c>
      <c r="M98" s="43" t="inlineStr">
        <is>
          <t>Night Shift</t>
        </is>
      </c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  <c r="AA98" s="57" t="n"/>
      <c r="AB98" s="57" t="n"/>
      <c r="AC98" s="57" t="n"/>
      <c r="AD98" s="57" t="n"/>
      <c r="AE98" s="57" t="n"/>
      <c r="AF98" s="57" t="n"/>
      <c r="AG98" s="57" t="n"/>
      <c r="AH98" s="57" t="n"/>
      <c r="AI98" s="57" t="n"/>
      <c r="AJ98" s="57" t="n"/>
      <c r="AK98" s="57" t="n"/>
      <c r="AL98" s="57" t="n"/>
      <c r="AM98" s="57" t="n"/>
      <c r="AN98" s="57" t="n"/>
      <c r="AO98" s="57" t="n"/>
      <c r="AP98" s="57" t="n"/>
      <c r="AQ98" s="57" t="n"/>
      <c r="AR98" s="57" t="n"/>
      <c r="AS98" s="57" t="n"/>
      <c r="AT98" s="57" t="n"/>
      <c r="AU98" s="57" t="n"/>
      <c r="AV98" s="57" t="n"/>
      <c r="AW98" s="57" t="n"/>
      <c r="AX98" s="57" t="n"/>
      <c r="AY98" s="57" t="n"/>
      <c r="AZ98" s="57" t="n"/>
      <c r="BA98" s="57" t="n"/>
      <c r="BB98" s="57" t="n">
        <v>1.2</v>
      </c>
      <c r="BC98" s="57" t="n"/>
      <c r="BD98" s="57" t="n"/>
      <c r="BE98" s="57" t="n"/>
      <c r="BF98" s="57" t="n"/>
      <c r="BG98" s="57" t="n"/>
      <c r="BH98" s="57" t="n"/>
      <c r="BI98" s="57" t="n"/>
      <c r="CI98" s="81" t="inlineStr">
        <is>
          <t>A</t>
        </is>
      </c>
      <c r="CJ98" s="81" t="inlineStr">
        <is>
          <t>Heals towers and hunters even faster</t>
        </is>
      </c>
    </row>
    <row r="99">
      <c r="A99" s="43" t="inlineStr">
        <is>
          <t>Field Hospital</t>
        </is>
      </c>
      <c r="B99" s="43" t="inlineStr">
        <is>
          <t>Ward</t>
        </is>
      </c>
      <c r="C99" s="43" t="inlineStr">
        <is>
          <t>healing</t>
        </is>
      </c>
      <c r="D99" s="56" t="n">
        <v>5</v>
      </c>
      <c r="E99" s="56">
        <f>ROUND('Towers'!$C$10*POWER('Tuning'!$B$12,D99),0)</f>
        <v/>
      </c>
      <c r="F99" s="56">
        <f>F98+E99</f>
        <v/>
      </c>
      <c r="G99" s="57" t="n">
        <v>1</v>
      </c>
      <c r="H99" s="57" t="n">
        <v>1</v>
      </c>
      <c r="I99" s="57" t="n">
        <v>1</v>
      </c>
      <c r="J99" s="92" t="n">
        <v>0</v>
      </c>
      <c r="K99" s="43" t="inlineStr">
        <is>
          <t>n/a</t>
        </is>
      </c>
      <c r="L99" s="57" t="n">
        <v>1</v>
      </c>
      <c r="M99" s="43" t="inlineStr">
        <is>
          <t>Miracle Ward</t>
        </is>
      </c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  <c r="AA99" s="57" t="n"/>
      <c r="AB99" s="57" t="n"/>
      <c r="AC99" s="57" t="n"/>
      <c r="AD99" s="57" t="n"/>
      <c r="AE99" s="57" t="n"/>
      <c r="AF99" s="57" t="n"/>
      <c r="AG99" s="57" t="n"/>
      <c r="AH99" s="57" t="n"/>
      <c r="AI99" s="57" t="n"/>
      <c r="AJ99" s="57" t="n"/>
      <c r="AK99" s="57" t="n"/>
      <c r="AL99" s="57" t="n"/>
      <c r="AM99" s="57" t="n"/>
      <c r="AN99" s="57" t="n"/>
      <c r="AO99" s="57" t="n"/>
      <c r="AP99" s="57" t="n"/>
      <c r="AQ99" s="57" t="n"/>
      <c r="AR99" s="57" t="n"/>
      <c r="AS99" s="57" t="n"/>
      <c r="AT99" s="57" t="n"/>
      <c r="AU99" s="57" t="n"/>
      <c r="AV99" s="57" t="n"/>
      <c r="AW99" s="57" t="n"/>
      <c r="AX99" s="57" t="n"/>
      <c r="AY99" s="57" t="n"/>
      <c r="AZ99" s="57" t="n"/>
      <c r="BA99" s="57" t="n"/>
      <c r="BB99" s="57" t="n">
        <v>1.5</v>
      </c>
      <c r="BC99" s="57" t="n"/>
      <c r="BD99" s="57" t="n">
        <v>1</v>
      </c>
      <c r="BE99" s="57" t="n"/>
      <c r="BF99" s="57" t="n"/>
      <c r="BG99" s="57" t="n"/>
      <c r="BH99" s="57" t="n"/>
      <c r="BI99" s="57" t="n"/>
      <c r="CI99" s="81" t="inlineStr">
        <is>
          <t>A</t>
        </is>
      </c>
      <c r="CJ99" s="81" t="inlineStr">
        <is>
          <t>The fastest heals; trampled towers revive at full speed</t>
        </is>
      </c>
    </row>
    <row r="100">
      <c r="A100" s="43" t="inlineStr">
        <is>
          <t>Field Hospital</t>
        </is>
      </c>
      <c r="B100" s="43" t="inlineStr">
        <is>
          <t>Rescue</t>
        </is>
      </c>
      <c r="C100" s="43" t="inlineStr">
        <is>
          <t>hunters</t>
        </is>
      </c>
      <c r="D100" s="56" t="n">
        <v>1</v>
      </c>
      <c r="E100" s="56">
        <f>ROUND('Towers'!$C$10*POWER('Tuning'!$B$12,D100),0)</f>
        <v/>
      </c>
      <c r="F100" s="56">
        <f>'Towers'!$C$10+E100</f>
        <v/>
      </c>
      <c r="G100" s="57" t="n">
        <v>1</v>
      </c>
      <c r="H100" s="57" t="n">
        <v>1</v>
      </c>
      <c r="I100" s="57" t="n">
        <v>1</v>
      </c>
      <c r="J100" s="92" t="n">
        <v>0</v>
      </c>
      <c r="K100" s="43" t="inlineStr">
        <is>
          <t>n/a</t>
        </is>
      </c>
      <c r="L100" s="57" t="n">
        <v>1.2</v>
      </c>
      <c r="M100" s="43" t="inlineStr">
        <is>
          <t>Stretcher Team</t>
        </is>
      </c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  <c r="AA100" s="57" t="n"/>
      <c r="AB100" s="57" t="n"/>
      <c r="AC100" s="57" t="n"/>
      <c r="AD100" s="57" t="n"/>
      <c r="AE100" s="57" t="n"/>
      <c r="AF100" s="57" t="n"/>
      <c r="AG100" s="57" t="n"/>
      <c r="AH100" s="57" t="n"/>
      <c r="AI100" s="57" t="n"/>
      <c r="AJ100" s="57" t="n"/>
      <c r="AK100" s="57" t="n"/>
      <c r="AL100" s="57" t="n"/>
      <c r="AM100" s="57" t="n"/>
      <c r="AN100" s="57" t="n"/>
      <c r="AO100" s="57" t="n"/>
      <c r="AP100" s="57" t="n"/>
      <c r="AQ100" s="57" t="n"/>
      <c r="AR100" s="57" t="n"/>
      <c r="AS100" s="57" t="n"/>
      <c r="AT100" s="57" t="n"/>
      <c r="AU100" s="57" t="n"/>
      <c r="AV100" s="57" t="n"/>
      <c r="AW100" s="57" t="n"/>
      <c r="AX100" s="57" t="n"/>
      <c r="AY100" s="57" t="n"/>
      <c r="AZ100" s="57" t="n"/>
      <c r="BA100" s="57" t="n"/>
      <c r="BB100" s="57" t="n"/>
      <c r="BC100" s="57" t="n"/>
      <c r="BD100" s="57" t="n"/>
      <c r="BE100" s="57" t="n"/>
      <c r="BF100" s="57" t="n"/>
      <c r="BG100" s="57" t="n"/>
      <c r="BH100" s="57" t="n"/>
      <c r="BI100" s="57" t="n"/>
    </row>
    <row r="101">
      <c r="A101" s="43" t="inlineStr">
        <is>
          <t>Field Hospital</t>
        </is>
      </c>
      <c r="B101" s="43" t="inlineStr">
        <is>
          <t>Rescue</t>
        </is>
      </c>
      <c r="C101" s="43" t="inlineStr">
        <is>
          <t>hunters</t>
        </is>
      </c>
      <c r="D101" s="56" t="n">
        <v>2</v>
      </c>
      <c r="E101" s="56">
        <f>ROUND('Towers'!$C$10*POWER('Tuning'!$B$12,D101),0)</f>
        <v/>
      </c>
      <c r="F101" s="56">
        <f>F100+E101</f>
        <v/>
      </c>
      <c r="G101" s="57" t="n">
        <v>1</v>
      </c>
      <c r="H101" s="57" t="n">
        <v>1</v>
      </c>
      <c r="I101" s="57" t="n">
        <v>1</v>
      </c>
      <c r="J101" s="92" t="n">
        <v>0</v>
      </c>
      <c r="K101" s="43" t="inlineStr">
        <is>
          <t>n/a</t>
        </is>
      </c>
      <c r="L101" s="57" t="n">
        <v>1.4</v>
      </c>
      <c r="M101" s="43" t="inlineStr">
        <is>
          <t>Signal Whistle</t>
        </is>
      </c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  <c r="AG101" s="57" t="n"/>
      <c r="AH101" s="57" t="n"/>
      <c r="AI101" s="57" t="n"/>
      <c r="AJ101" s="57" t="n"/>
      <c r="AK101" s="57" t="n"/>
      <c r="AL101" s="57" t="n"/>
      <c r="AM101" s="57" t="n"/>
      <c r="AN101" s="57" t="n"/>
      <c r="AO101" s="57" t="n"/>
      <c r="AP101" s="57" t="n"/>
      <c r="AQ101" s="57" t="n"/>
      <c r="AR101" s="57" t="n"/>
      <c r="AS101" s="57" t="n"/>
      <c r="AT101" s="57" t="n"/>
      <c r="AU101" s="57" t="n"/>
      <c r="AV101" s="57" t="n"/>
      <c r="AW101" s="57" t="n"/>
      <c r="AX101" s="57" t="n"/>
      <c r="AY101" s="57" t="n"/>
      <c r="AZ101" s="57" t="n"/>
      <c r="BA101" s="57" t="n"/>
      <c r="BB101" s="57" t="n"/>
      <c r="BC101" s="57" t="n"/>
      <c r="BD101" s="57" t="n"/>
      <c r="BE101" s="57" t="n"/>
      <c r="BF101" s="57" t="n"/>
      <c r="BG101" s="57" t="n"/>
      <c r="BH101" s="57" t="n"/>
      <c r="BI101" s="57" t="n"/>
    </row>
    <row r="102">
      <c r="A102" s="43" t="inlineStr">
        <is>
          <t>Field Hospital</t>
        </is>
      </c>
      <c r="B102" s="43" t="inlineStr">
        <is>
          <t>Rescue</t>
        </is>
      </c>
      <c r="C102" s="43" t="inlineStr">
        <is>
          <t>hunters</t>
        </is>
      </c>
      <c r="D102" s="56" t="n">
        <v>3</v>
      </c>
      <c r="E102" s="56">
        <f>ROUND('Towers'!$C$10*POWER('Tuning'!$B$12,D102),0)</f>
        <v/>
      </c>
      <c r="F102" s="56">
        <f>F101+E102</f>
        <v/>
      </c>
      <c r="G102" s="57" t="n">
        <v>1</v>
      </c>
      <c r="H102" s="57" t="n">
        <v>1</v>
      </c>
      <c r="I102" s="57" t="n">
        <v>1</v>
      </c>
      <c r="J102" s="92" t="n">
        <v>0</v>
      </c>
      <c r="K102" s="43" t="inlineStr">
        <is>
          <t>n/a</t>
        </is>
      </c>
      <c r="L102" s="57" t="n">
        <v>1.4</v>
      </c>
      <c r="M102" s="43" t="inlineStr">
        <is>
          <t>Med Kits</t>
        </is>
      </c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  <c r="AG102" s="57" t="n"/>
      <c r="AH102" s="57" t="n"/>
      <c r="AI102" s="57" t="n"/>
      <c r="AJ102" s="57" t="n"/>
      <c r="AK102" s="57" t="n"/>
      <c r="AL102" s="57" t="n"/>
      <c r="AM102" s="57" t="n"/>
      <c r="AN102" s="57" t="n"/>
      <c r="AO102" s="57" t="n"/>
      <c r="AP102" s="57" t="n"/>
      <c r="AQ102" s="57" t="n"/>
      <c r="AR102" s="57" t="n"/>
      <c r="AS102" s="57" t="n"/>
      <c r="AT102" s="57" t="n"/>
      <c r="AU102" s="57" t="n"/>
      <c r="AV102" s="57" t="n"/>
      <c r="AW102" s="57" t="n"/>
      <c r="AX102" s="57" t="n"/>
      <c r="AY102" s="57" t="n"/>
      <c r="AZ102" s="57" t="n"/>
      <c r="BA102" s="57" t="n"/>
      <c r="BB102" s="57" t="n"/>
      <c r="BC102" s="57" t="n"/>
      <c r="BD102" s="57" t="n"/>
      <c r="BE102" s="57" t="n">
        <v>2</v>
      </c>
      <c r="BF102" s="57" t="n">
        <v>30</v>
      </c>
      <c r="BG102" s="57" t="n"/>
      <c r="BH102" s="57" t="n"/>
      <c r="BI102" s="57" t="n"/>
    </row>
    <row r="103">
      <c r="A103" s="43" t="inlineStr">
        <is>
          <t>Field Hospital</t>
        </is>
      </c>
      <c r="B103" s="43" t="inlineStr">
        <is>
          <t>Rescue</t>
        </is>
      </c>
      <c r="C103" s="43" t="inlineStr">
        <is>
          <t>hunters</t>
        </is>
      </c>
      <c r="D103" s="56" t="n">
        <v>4</v>
      </c>
      <c r="E103" s="56">
        <f>ROUND('Towers'!$C$10*POWER('Tuning'!$B$12,D103),0)</f>
        <v/>
      </c>
      <c r="F103" s="56">
        <f>F102+E103</f>
        <v/>
      </c>
      <c r="G103" s="57" t="n">
        <v>1</v>
      </c>
      <c r="H103" s="57" t="n">
        <v>1</v>
      </c>
      <c r="I103" s="57" t="n">
        <v>1</v>
      </c>
      <c r="J103" s="92" t="n">
        <v>0</v>
      </c>
      <c r="K103" s="43" t="inlineStr">
        <is>
          <t>n/a</t>
        </is>
      </c>
      <c r="L103" s="57" t="n">
        <v>1</v>
      </c>
      <c r="M103" s="43" t="inlineStr">
        <is>
          <t>Pack Mules</t>
        </is>
      </c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  <c r="AG103" s="57" t="n"/>
      <c r="AH103" s="57" t="n"/>
      <c r="AI103" s="57" t="n"/>
      <c r="AJ103" s="57" t="n"/>
      <c r="AK103" s="57" t="n"/>
      <c r="AL103" s="57" t="n"/>
      <c r="AM103" s="57" t="n"/>
      <c r="AN103" s="57" t="n"/>
      <c r="AO103" s="57" t="n"/>
      <c r="AP103" s="57" t="n"/>
      <c r="AQ103" s="57" t="n"/>
      <c r="AR103" s="57" t="n"/>
      <c r="AS103" s="57" t="n"/>
      <c r="AT103" s="57" t="n"/>
      <c r="AU103" s="57" t="n"/>
      <c r="AV103" s="57" t="n"/>
      <c r="AW103" s="57" t="n"/>
      <c r="AX103" s="57" t="n"/>
      <c r="AY103" s="57" t="n"/>
      <c r="AZ103" s="57" t="n"/>
      <c r="BA103" s="57" t="n"/>
      <c r="BB103" s="57" t="n"/>
      <c r="BC103" s="57" t="n"/>
      <c r="BD103" s="57" t="n"/>
      <c r="BE103" s="57" t="n">
        <v>3</v>
      </c>
      <c r="BF103" s="57" t="n">
        <v>40</v>
      </c>
      <c r="BG103" s="57" t="n"/>
      <c r="BH103" s="57" t="n"/>
      <c r="BI103" s="57" t="n"/>
      <c r="CI103" s="81" t="inlineStr">
        <is>
          <t>A</t>
        </is>
      </c>
      <c r="CJ103" s="81" t="inlineStr">
        <is>
          <t>Three med kits a round, and each heals more</t>
        </is>
      </c>
    </row>
    <row r="104">
      <c r="A104" s="43" t="inlineStr">
        <is>
          <t>Field Hospital</t>
        </is>
      </c>
      <c r="B104" s="43" t="inlineStr">
        <is>
          <t>Rescue</t>
        </is>
      </c>
      <c r="C104" s="43" t="inlineStr">
        <is>
          <t>hunters</t>
        </is>
      </c>
      <c r="D104" s="56" t="n">
        <v>5</v>
      </c>
      <c r="E104" s="56">
        <f>ROUND('Towers'!$C$10*POWER('Tuning'!$B$12,D104),0)</f>
        <v/>
      </c>
      <c r="F104" s="56">
        <f>F103+E104</f>
        <v/>
      </c>
      <c r="G104" s="57" t="n">
        <v>1</v>
      </c>
      <c r="H104" s="57" t="n">
        <v>1</v>
      </c>
      <c r="I104" s="57" t="n">
        <v>1</v>
      </c>
      <c r="J104" s="92" t="n">
        <v>0</v>
      </c>
      <c r="K104" s="43" t="inlineStr">
        <is>
          <t>n/a</t>
        </is>
      </c>
      <c r="L104" s="57" t="n">
        <v>1.285714285714</v>
      </c>
      <c r="M104" s="43" t="inlineStr">
        <is>
          <t>Rescue Beacon</t>
        </is>
      </c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  <c r="AG104" s="57" t="n"/>
      <c r="AH104" s="57" t="n"/>
      <c r="AI104" s="57" t="n"/>
      <c r="AJ104" s="57" t="n"/>
      <c r="AK104" s="57" t="n"/>
      <c r="AL104" s="57" t="n"/>
      <c r="AM104" s="57" t="n"/>
      <c r="AN104" s="57" t="n"/>
      <c r="AO104" s="57" t="n"/>
      <c r="AP104" s="57" t="n"/>
      <c r="AQ104" s="57" t="n"/>
      <c r="AR104" s="57" t="n"/>
      <c r="AS104" s="57" t="n"/>
      <c r="AT104" s="57" t="n"/>
      <c r="AU104" s="57" t="n"/>
      <c r="AV104" s="57" t="n"/>
      <c r="AW104" s="57" t="n"/>
      <c r="AX104" s="57" t="n"/>
      <c r="AY104" s="57" t="n"/>
      <c r="AZ104" s="57" t="n"/>
      <c r="BA104" s="57" t="n"/>
      <c r="BB104" s="57" t="n"/>
      <c r="BC104" s="57" t="n"/>
      <c r="BD104" s="57" t="n"/>
      <c r="BE104" s="57" t="n"/>
      <c r="BF104" s="57" t="n">
        <v>50</v>
      </c>
      <c r="BG104" s="57" t="n">
        <v>0.5</v>
      </c>
      <c r="BH104" s="57" t="n"/>
      <c r="BI104" s="57" t="n"/>
      <c r="CI104" s="81" t="inlineStr">
        <is>
          <t>A</t>
        </is>
      </c>
      <c r="CJ104" s="81" t="inlineStr">
        <is>
          <t>Bigger kits and reach; downed hunters return sooner</t>
        </is>
      </c>
    </row>
    <row r="105">
      <c r="A105" s="43" t="inlineStr">
        <is>
          <t>Field Hospital</t>
        </is>
      </c>
      <c r="B105" s="43" t="inlineStr">
        <is>
          <t>Tonic</t>
        </is>
      </c>
      <c r="C105" s="43" t="inlineStr">
        <is>
          <t>tougher towers</t>
        </is>
      </c>
      <c r="D105" s="56" t="n">
        <v>1</v>
      </c>
      <c r="E105" s="56">
        <f>ROUND('Towers'!$C$10*POWER('Tuning'!$B$12,D105),0)</f>
        <v/>
      </c>
      <c r="F105" s="56">
        <f>'Towers'!$C$10+E105</f>
        <v/>
      </c>
      <c r="G105" s="57" t="n">
        <v>1</v>
      </c>
      <c r="H105" s="57" t="n">
        <v>1</v>
      </c>
      <c r="I105" s="57" t="n">
        <v>1</v>
      </c>
      <c r="J105" s="92" t="n">
        <v>0</v>
      </c>
      <c r="K105" s="43" t="inlineStr">
        <is>
          <t>n/a</t>
        </is>
      </c>
      <c r="L105" s="57" t="n">
        <v>1</v>
      </c>
      <c r="M105" s="43" t="inlineStr">
        <is>
          <t>Camp Rations</t>
        </is>
      </c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  <c r="AA105" s="57" t="n"/>
      <c r="AB105" s="57" t="n"/>
      <c r="AC105" s="57" t="n"/>
      <c r="AD105" s="57" t="n"/>
      <c r="AE105" s="57" t="n"/>
      <c r="AF105" s="57" t="n"/>
      <c r="AG105" s="57" t="n"/>
      <c r="AH105" s="57" t="n"/>
      <c r="AI105" s="57" t="n"/>
      <c r="AJ105" s="57" t="n"/>
      <c r="AK105" s="57" t="n"/>
      <c r="AL105" s="57" t="n"/>
      <c r="AM105" s="57" t="n"/>
      <c r="AN105" s="57" t="n"/>
      <c r="AO105" s="57" t="n"/>
      <c r="AP105" s="57" t="n"/>
      <c r="AQ105" s="57" t="n"/>
      <c r="AR105" s="57" t="n"/>
      <c r="AS105" s="57" t="n"/>
      <c r="AT105" s="57" t="n"/>
      <c r="AU105" s="57" t="n"/>
      <c r="AV105" s="57" t="n"/>
      <c r="AW105" s="57" t="n"/>
      <c r="AX105" s="57" t="n"/>
      <c r="AY105" s="57" t="n"/>
      <c r="AZ105" s="57" t="n"/>
      <c r="BA105" s="57" t="n"/>
      <c r="BB105" s="57" t="n"/>
      <c r="BC105" s="57" t="n"/>
      <c r="BD105" s="57" t="n"/>
      <c r="BE105" s="57" t="n"/>
      <c r="BF105" s="57" t="n"/>
      <c r="BG105" s="57" t="n"/>
      <c r="BH105" s="57" t="n">
        <v>10</v>
      </c>
      <c r="BI105" s="57" t="n"/>
    </row>
    <row r="106">
      <c r="A106" s="43" t="inlineStr">
        <is>
          <t>Field Hospital</t>
        </is>
      </c>
      <c r="B106" s="43" t="inlineStr">
        <is>
          <t>Tonic</t>
        </is>
      </c>
      <c r="C106" s="43" t="inlineStr">
        <is>
          <t>tougher towers</t>
        </is>
      </c>
      <c r="D106" s="56" t="n">
        <v>2</v>
      </c>
      <c r="E106" s="56">
        <f>ROUND('Towers'!$C$10*POWER('Tuning'!$B$12,D106),0)</f>
        <v/>
      </c>
      <c r="F106" s="56">
        <f>F105+E106</f>
        <v/>
      </c>
      <c r="G106" s="57" t="n">
        <v>1</v>
      </c>
      <c r="H106" s="57" t="n">
        <v>1</v>
      </c>
      <c r="I106" s="57" t="n">
        <v>1</v>
      </c>
      <c r="J106" s="92" t="n">
        <v>0</v>
      </c>
      <c r="K106" s="43" t="inlineStr">
        <is>
          <t>n/a</t>
        </is>
      </c>
      <c r="L106" s="57" t="n">
        <v>1</v>
      </c>
      <c r="M106" s="43" t="inlineStr">
        <is>
          <t>Iron Tonic</t>
        </is>
      </c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  <c r="AG106" s="57" t="n"/>
      <c r="AH106" s="57" t="n"/>
      <c r="AI106" s="57" t="n"/>
      <c r="AJ106" s="57" t="n"/>
      <c r="AK106" s="57" t="n"/>
      <c r="AL106" s="57" t="n"/>
      <c r="AM106" s="57" t="n"/>
      <c r="AN106" s="57" t="n"/>
      <c r="AO106" s="57" t="n"/>
      <c r="AP106" s="57" t="n"/>
      <c r="AQ106" s="57" t="n"/>
      <c r="AR106" s="57" t="n"/>
      <c r="AS106" s="57" t="n"/>
      <c r="AT106" s="57" t="n"/>
      <c r="AU106" s="57" t="n"/>
      <c r="AV106" s="57" t="n"/>
      <c r="AW106" s="57" t="n"/>
      <c r="AX106" s="57" t="n"/>
      <c r="AY106" s="57" t="n"/>
      <c r="AZ106" s="57" t="n"/>
      <c r="BA106" s="57" t="n"/>
      <c r="BB106" s="57" t="n"/>
      <c r="BC106" s="57" t="n"/>
      <c r="BD106" s="57" t="n"/>
      <c r="BE106" s="57" t="n"/>
      <c r="BF106" s="57" t="n"/>
      <c r="BG106" s="57" t="n"/>
      <c r="BH106" s="57" t="n">
        <v>20</v>
      </c>
      <c r="BI106" s="57" t="n"/>
    </row>
    <row r="107">
      <c r="A107" s="43" t="inlineStr">
        <is>
          <t>Field Hospital</t>
        </is>
      </c>
      <c r="B107" s="43" t="inlineStr">
        <is>
          <t>Tonic</t>
        </is>
      </c>
      <c r="C107" s="43" t="inlineStr">
        <is>
          <t>tougher towers</t>
        </is>
      </c>
      <c r="D107" s="56" t="n">
        <v>3</v>
      </c>
      <c r="E107" s="56">
        <f>ROUND('Towers'!$C$10*POWER('Tuning'!$B$12,D107),0)</f>
        <v/>
      </c>
      <c r="F107" s="56">
        <f>F106+E107</f>
        <v/>
      </c>
      <c r="G107" s="57" t="n">
        <v>1</v>
      </c>
      <c r="H107" s="57" t="n">
        <v>1</v>
      </c>
      <c r="I107" s="57" t="n">
        <v>1</v>
      </c>
      <c r="J107" s="92" t="n">
        <v>0</v>
      </c>
      <c r="K107" s="43" t="inlineStr">
        <is>
          <t>n/a</t>
        </is>
      </c>
      <c r="L107" s="57" t="n">
        <v>1</v>
      </c>
      <c r="M107" s="43" t="inlineStr">
        <is>
          <t>Smelling Salts</t>
        </is>
      </c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>
        <v>10</v>
      </c>
      <c r="AC107" s="57" t="n"/>
      <c r="AD107" s="57" t="n"/>
      <c r="AE107" s="57" t="n"/>
      <c r="AF107" s="57" t="n"/>
      <c r="AG107" s="57" t="n"/>
      <c r="AH107" s="57" t="n"/>
      <c r="AI107" s="57" t="n"/>
      <c r="AJ107" s="57" t="n"/>
      <c r="AK107" s="57" t="n"/>
      <c r="AL107" s="57" t="n"/>
      <c r="AM107" s="57" t="n"/>
      <c r="AN107" s="57" t="n"/>
      <c r="AO107" s="57" t="n"/>
      <c r="AP107" s="57" t="n"/>
      <c r="AQ107" s="57" t="n"/>
      <c r="AR107" s="57" t="n"/>
      <c r="AS107" s="57" t="n"/>
      <c r="AT107" s="57" t="n"/>
      <c r="AU107" s="57" t="n"/>
      <c r="AV107" s="57" t="n"/>
      <c r="AW107" s="57" t="n"/>
      <c r="AX107" s="57" t="n"/>
      <c r="AY107" s="57" t="n"/>
      <c r="AZ107" s="57" t="n"/>
      <c r="BA107" s="57" t="n"/>
      <c r="BB107" s="57" t="n"/>
      <c r="BC107" s="57" t="n"/>
      <c r="BD107" s="57" t="n"/>
      <c r="BE107" s="57" t="n"/>
      <c r="BF107" s="57" t="n"/>
      <c r="BG107" s="57" t="n"/>
      <c r="BH107" s="57" t="n">
        <v>20</v>
      </c>
      <c r="BI107" s="57" t="n"/>
    </row>
    <row r="108">
      <c r="A108" s="43" t="inlineStr">
        <is>
          <t>Field Hospital</t>
        </is>
      </c>
      <c r="B108" s="43" t="inlineStr">
        <is>
          <t>Tonic</t>
        </is>
      </c>
      <c r="C108" s="43" t="inlineStr">
        <is>
          <t>tougher towers</t>
        </is>
      </c>
      <c r="D108" s="56" t="n">
        <v>4</v>
      </c>
      <c r="E108" s="56">
        <f>ROUND('Towers'!$C$10*POWER('Tuning'!$B$12,D108),0)</f>
        <v/>
      </c>
      <c r="F108" s="56">
        <f>F107+E108</f>
        <v/>
      </c>
      <c r="G108" s="57" t="n">
        <v>1</v>
      </c>
      <c r="H108" s="57" t="n">
        <v>1</v>
      </c>
      <c r="I108" s="57" t="n">
        <v>1</v>
      </c>
      <c r="J108" s="92" t="n">
        <v>0</v>
      </c>
      <c r="K108" s="43" t="inlineStr">
        <is>
          <t>n/a</t>
        </is>
      </c>
      <c r="L108" s="57" t="n">
        <v>1</v>
      </c>
      <c r="M108" s="43" t="inlineStr">
        <is>
          <t>Bone Broth</t>
        </is>
      </c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  <c r="AG108" s="57" t="n"/>
      <c r="AH108" s="57" t="n"/>
      <c r="AI108" s="57" t="n"/>
      <c r="AJ108" s="57" t="n"/>
      <c r="AK108" s="57" t="n"/>
      <c r="AL108" s="57" t="n"/>
      <c r="AM108" s="57" t="n"/>
      <c r="AN108" s="57" t="n"/>
      <c r="AO108" s="57" t="n"/>
      <c r="AP108" s="57" t="n"/>
      <c r="AQ108" s="57" t="n"/>
      <c r="AR108" s="57" t="n"/>
      <c r="AS108" s="57" t="n"/>
      <c r="AT108" s="57" t="n"/>
      <c r="AU108" s="57" t="n"/>
      <c r="AV108" s="57" t="n"/>
      <c r="AW108" s="57" t="n"/>
      <c r="AX108" s="57" t="n"/>
      <c r="AY108" s="57" t="n"/>
      <c r="AZ108" s="57" t="n"/>
      <c r="BA108" s="57" t="n"/>
      <c r="BB108" s="57" t="n"/>
      <c r="BC108" s="57" t="n"/>
      <c r="BD108" s="57" t="n"/>
      <c r="BE108" s="57" t="n"/>
      <c r="BF108" s="57" t="n"/>
      <c r="BG108" s="57" t="n"/>
      <c r="BH108" s="57" t="n">
        <v>35</v>
      </c>
      <c r="BI108" s="57" t="n"/>
      <c r="CI108" s="81" t="inlineStr">
        <is>
          <t>A</t>
        </is>
      </c>
      <c r="CJ108" s="81" t="inlineStr">
        <is>
          <t>Towers in range get much more health</t>
        </is>
      </c>
    </row>
    <row r="109">
      <c r="A109" s="43" t="inlineStr">
        <is>
          <t>Field Hospital</t>
        </is>
      </c>
      <c r="B109" s="43" t="inlineStr">
        <is>
          <t>Tonic</t>
        </is>
      </c>
      <c r="C109" s="43" t="inlineStr">
        <is>
          <t>tougher towers</t>
        </is>
      </c>
      <c r="D109" s="56" t="n">
        <v>5</v>
      </c>
      <c r="E109" s="56">
        <f>ROUND('Towers'!$C$10*POWER('Tuning'!$B$12,D109),0)</f>
        <v/>
      </c>
      <c r="F109" s="56">
        <f>F108+E109</f>
        <v/>
      </c>
      <c r="G109" s="57" t="n">
        <v>1</v>
      </c>
      <c r="H109" s="57" t="n">
        <v>1</v>
      </c>
      <c r="I109" s="57" t="n">
        <v>1</v>
      </c>
      <c r="J109" s="92" t="n">
        <v>0</v>
      </c>
      <c r="K109" s="43" t="inlineStr">
        <is>
          <t>n/a</t>
        </is>
      </c>
      <c r="L109" s="57" t="n">
        <v>1</v>
      </c>
      <c r="M109" s="43" t="inlineStr">
        <is>
          <t>Last Stand</t>
        </is>
      </c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  <c r="AG109" s="57" t="n"/>
      <c r="AH109" s="57" t="n"/>
      <c r="AI109" s="57" t="n"/>
      <c r="AJ109" s="57" t="n"/>
      <c r="AK109" s="57" t="n"/>
      <c r="AL109" s="57" t="n"/>
      <c r="AM109" s="57" t="n"/>
      <c r="AN109" s="57" t="n"/>
      <c r="AO109" s="57" t="n"/>
      <c r="AP109" s="57" t="n"/>
      <c r="AQ109" s="57" t="n"/>
      <c r="AR109" s="57" t="n"/>
      <c r="AS109" s="57" t="n"/>
      <c r="AT109" s="57" t="n"/>
      <c r="AU109" s="57" t="n"/>
      <c r="AV109" s="57" t="n"/>
      <c r="AW109" s="57" t="n"/>
      <c r="AX109" s="57" t="n"/>
      <c r="AY109" s="57" t="n"/>
      <c r="AZ109" s="57" t="n"/>
      <c r="BA109" s="57" t="n"/>
      <c r="BB109" s="57" t="n"/>
      <c r="BC109" s="57" t="n"/>
      <c r="BD109" s="57" t="n"/>
      <c r="BE109" s="57" t="n"/>
      <c r="BF109" s="57" t="n"/>
      <c r="BG109" s="57" t="n"/>
      <c r="BH109" s="57" t="n">
        <v>50</v>
      </c>
      <c r="BI109" s="57" t="inlineStr">
        <is>
          <t>Yes</t>
        </is>
      </c>
      <c r="CI109" s="81" t="inlineStr">
        <is>
          <t>A</t>
        </is>
      </c>
      <c r="CJ109" s="81" t="inlineStr">
        <is>
          <t>More health; once a round, saves a tower from trampling</t>
        </is>
      </c>
    </row>
    <row r="110">
      <c r="A110" s="43" t="inlineStr">
        <is>
          <t>Storm Coil</t>
        </is>
      </c>
      <c r="B110" s="43" t="inlineStr">
        <is>
          <t>Arc</t>
        </is>
      </c>
      <c r="C110" s="43" t="inlineStr">
        <is>
          <t>more arcs, reach</t>
        </is>
      </c>
      <c r="D110" s="56" t="n">
        <v>1</v>
      </c>
      <c r="E110" s="56">
        <f>ROUND('Towers'!$C$15*POWER('Tuning'!$B$12,D110),0)</f>
        <v/>
      </c>
      <c r="F110" s="56">
        <f>'Towers'!$C$15+E110</f>
        <v/>
      </c>
      <c r="G110" s="57" t="n">
        <v>1.45</v>
      </c>
      <c r="H110" s="57" t="n">
        <v>1</v>
      </c>
      <c r="I110" s="57" t="n">
        <v>1</v>
      </c>
      <c r="J110" s="92">
        <f>'Towers'!$G$15*G110*H110*I110</f>
        <v/>
      </c>
      <c r="K110" s="92">
        <f>IF(J110=0,0,F110/J110)</f>
        <v/>
      </c>
      <c r="L110" s="57" t="n">
        <v>1</v>
      </c>
      <c r="M110" s="43" t="inlineStr">
        <is>
          <t>Copper Wire</t>
        </is>
      </c>
      <c r="BK110" s="81" t="n">
        <v>6</v>
      </c>
    </row>
    <row r="111">
      <c r="A111" s="43" t="inlineStr">
        <is>
          <t>Storm Coil</t>
        </is>
      </c>
      <c r="B111" s="43" t="inlineStr">
        <is>
          <t>Arc</t>
        </is>
      </c>
      <c r="C111" s="43" t="inlineStr">
        <is>
          <t>more arcs, reach</t>
        </is>
      </c>
      <c r="D111" s="56" t="n">
        <v>2</v>
      </c>
      <c r="E111" s="56">
        <f>ROUND('Towers'!$C$15*POWER('Tuning'!$B$12,D111),0)</f>
        <v/>
      </c>
      <c r="F111" s="56">
        <f>F110+E111</f>
        <v/>
      </c>
      <c r="G111" s="57" t="n">
        <v>2.1</v>
      </c>
      <c r="H111" s="57" t="n">
        <v>1</v>
      </c>
      <c r="I111" s="57" t="n">
        <v>1</v>
      </c>
      <c r="J111" s="92">
        <f>'Towers'!$G$15*G111*H111*I111</f>
        <v/>
      </c>
      <c r="K111" s="92">
        <f>IF(J111=0,0,F111/J111)</f>
        <v/>
      </c>
      <c r="L111" s="57" t="n">
        <v>1</v>
      </c>
      <c r="M111" s="43" t="inlineStr">
        <is>
          <t>Long Arc</t>
        </is>
      </c>
      <c r="BK111" s="81" t="n">
        <v>6</v>
      </c>
      <c r="BL111" s="81" t="n">
        <v>15</v>
      </c>
    </row>
    <row r="112">
      <c r="A112" s="43" t="inlineStr">
        <is>
          <t>Storm Coil</t>
        </is>
      </c>
      <c r="B112" s="43" t="inlineStr">
        <is>
          <t>Arc</t>
        </is>
      </c>
      <c r="C112" s="43" t="inlineStr">
        <is>
          <t>more arcs, reach</t>
        </is>
      </c>
      <c r="D112" s="56" t="n">
        <v>3</v>
      </c>
      <c r="E112" s="56">
        <f>ROUND('Towers'!$C$15*POWER('Tuning'!$B$12,D112),0)</f>
        <v/>
      </c>
      <c r="F112" s="56">
        <f>F111+E112</f>
        <v/>
      </c>
      <c r="G112" s="57" t="n">
        <v>3.05</v>
      </c>
      <c r="H112" s="57" t="n">
        <v>1</v>
      </c>
      <c r="I112" s="57" t="n">
        <v>1</v>
      </c>
      <c r="J112" s="92">
        <f>'Towers'!$G$15*G112*H112*I112</f>
        <v/>
      </c>
      <c r="K112" s="92">
        <f>IF(J112=0,0,F112/J112)</f>
        <v/>
      </c>
      <c r="L112" s="57" t="n">
        <v>1</v>
      </c>
      <c r="M112" s="43" t="inlineStr">
        <is>
          <t>Fork Lightning</t>
        </is>
      </c>
      <c r="BK112" s="81" t="n">
        <v>6</v>
      </c>
      <c r="BL112" s="81" t="n">
        <v>15</v>
      </c>
      <c r="BM112" s="81" t="n">
        <v>2</v>
      </c>
    </row>
    <row r="113">
      <c r="A113" s="43" t="inlineStr">
        <is>
          <t>Storm Coil</t>
        </is>
      </c>
      <c r="B113" s="43" t="inlineStr">
        <is>
          <t>Arc</t>
        </is>
      </c>
      <c r="C113" s="43" t="inlineStr">
        <is>
          <t>more arcs, reach</t>
        </is>
      </c>
      <c r="D113" s="56" t="n">
        <v>4</v>
      </c>
      <c r="E113" s="56">
        <f>ROUND('Towers'!$C$15*POWER('Tuning'!$B$12,D113),0)</f>
        <v/>
      </c>
      <c r="F113" s="56">
        <f>F112+E113</f>
        <v/>
      </c>
      <c r="G113" s="57" t="n">
        <v>1.449180327869</v>
      </c>
      <c r="H113" s="57" t="n">
        <v>1</v>
      </c>
      <c r="I113" s="57" t="n">
        <v>1</v>
      </c>
      <c r="J113" s="92">
        <f>J112*G113*H113*I113</f>
        <v/>
      </c>
      <c r="K113" s="92">
        <f>IF(J113=0,0,F113/J113)</f>
        <v/>
      </c>
      <c r="L113" s="57" t="n">
        <v>1</v>
      </c>
      <c r="M113" s="43" t="inlineStr">
        <is>
          <t>Jump Spark</t>
        </is>
      </c>
      <c r="BK113" s="81" t="n"/>
      <c r="BL113" s="81" t="n"/>
      <c r="BM113" s="81" t="n"/>
      <c r="BN113" s="46" t="inlineStr">
        <is>
          <t>Yes</t>
        </is>
      </c>
      <c r="CI113" s="81" t="inlineStr">
        <is>
          <t>A</t>
        </is>
      </c>
      <c r="CJ113" s="81" t="inlineStr">
        <is>
          <t>Arcs can jump from one coil's range to another's</t>
        </is>
      </c>
    </row>
    <row r="114">
      <c r="A114" s="43" t="inlineStr">
        <is>
          <t>Storm Coil</t>
        </is>
      </c>
      <c r="B114" s="43" t="inlineStr">
        <is>
          <t>Arc</t>
        </is>
      </c>
      <c r="C114" s="43" t="inlineStr">
        <is>
          <t>more arcs, reach</t>
        </is>
      </c>
      <c r="D114" s="56" t="n">
        <v>5</v>
      </c>
      <c r="E114" s="56">
        <f>ROUND('Towers'!$C$15*POWER('Tuning'!$B$12,D114),0)</f>
        <v/>
      </c>
      <c r="F114" s="56">
        <f>F113+E114</f>
        <v/>
      </c>
      <c r="G114" s="57" t="n">
        <v>1.450226244344</v>
      </c>
      <c r="H114" s="57" t="n">
        <v>1</v>
      </c>
      <c r="I114" s="57" t="n">
        <v>1</v>
      </c>
      <c r="J114" s="92">
        <f>J113*G114*H114*I114</f>
        <v/>
      </c>
      <c r="K114" s="92">
        <f>IF(J114=0,0,F114/J114)</f>
        <v/>
      </c>
      <c r="L114" s="57" t="n">
        <v>1</v>
      </c>
      <c r="M114" s="43" t="inlineStr">
        <is>
          <t>Power Grid</t>
        </is>
      </c>
      <c r="BK114" s="81" t="n"/>
      <c r="BL114" s="81" t="n"/>
      <c r="BM114" s="81" t="n"/>
      <c r="BN114" s="46" t="n"/>
      <c r="BO114" s="46" t="inlineStr">
        <is>
          <t>Yes</t>
        </is>
      </c>
      <c r="CI114" s="81" t="inlineStr">
        <is>
          <t>A</t>
        </is>
      </c>
      <c r="CJ114" s="81" t="inlineStr">
        <is>
          <t>Strikes every dino near every coil; more coils, more power</t>
        </is>
      </c>
    </row>
    <row r="115">
      <c r="A115" s="43" t="inlineStr">
        <is>
          <t>Storm Coil</t>
        </is>
      </c>
      <c r="B115" s="43" t="inlineStr">
        <is>
          <t>Charge</t>
        </is>
      </c>
      <c r="C115" s="43" t="inlineStr">
        <is>
          <t>power, armour, stun</t>
        </is>
      </c>
      <c r="D115" s="56" t="n">
        <v>1</v>
      </c>
      <c r="E115" s="56">
        <f>ROUND('Towers'!$C$15*POWER('Tuning'!$B$12,D115),0)</f>
        <v/>
      </c>
      <c r="F115" s="56">
        <f>'Towers'!$C$15+E115</f>
        <v/>
      </c>
      <c r="G115" s="57" t="n">
        <v>1.3</v>
      </c>
      <c r="H115" s="57" t="n">
        <v>1</v>
      </c>
      <c r="I115" s="57" t="n">
        <v>1</v>
      </c>
      <c r="J115" s="92">
        <f>'Towers'!$G$15*G115*H115*I115</f>
        <v/>
      </c>
      <c r="K115" s="92">
        <f>IF(J115=0,0,F115/J115)</f>
        <v/>
      </c>
      <c r="L115" s="57" t="n">
        <v>1</v>
      </c>
      <c r="M115" s="43" t="inlineStr">
        <is>
          <t>Battery Pack</t>
        </is>
      </c>
    </row>
    <row r="116">
      <c r="A116" s="43" t="inlineStr">
        <is>
          <t>Storm Coil</t>
        </is>
      </c>
      <c r="B116" s="43" t="inlineStr">
        <is>
          <t>Charge</t>
        </is>
      </c>
      <c r="C116" s="43" t="inlineStr">
        <is>
          <t>power, armour, stun</t>
        </is>
      </c>
      <c r="D116" s="56" t="n">
        <v>2</v>
      </c>
      <c r="E116" s="56">
        <f>ROUND('Towers'!$C$15*POWER('Tuning'!$B$12,D116),0)</f>
        <v/>
      </c>
      <c r="F116" s="56">
        <f>F115+E116</f>
        <v/>
      </c>
      <c r="G116" s="57" t="n">
        <v>2.47</v>
      </c>
      <c r="H116" s="57" t="n">
        <v>1</v>
      </c>
      <c r="I116" s="57" t="n">
        <v>1</v>
      </c>
      <c r="J116" s="92">
        <f>'Towers'!$G$15*G116*H116*I116</f>
        <v/>
      </c>
      <c r="K116" s="92">
        <f>IF(J116=0,0,F116/J116)</f>
        <v/>
      </c>
      <c r="L116" s="57" t="n">
        <v>1</v>
      </c>
      <c r="M116" s="43" t="inlineStr">
        <is>
          <t>Static Shock</t>
        </is>
      </c>
      <c r="BP116" s="81" t="n">
        <v>10</v>
      </c>
    </row>
    <row r="117">
      <c r="A117" s="43" t="inlineStr">
        <is>
          <t>Storm Coil</t>
        </is>
      </c>
      <c r="B117" s="43" t="inlineStr">
        <is>
          <t>Charge</t>
        </is>
      </c>
      <c r="C117" s="43" t="inlineStr">
        <is>
          <t>power, armour, stun</t>
        </is>
      </c>
      <c r="D117" s="56" t="n">
        <v>3</v>
      </c>
      <c r="E117" s="56">
        <f>ROUND('Towers'!$C$15*POWER('Tuning'!$B$12,D117),0)</f>
        <v/>
      </c>
      <c r="F117" s="56">
        <f>F116+E117</f>
        <v/>
      </c>
      <c r="G117" s="57" t="n">
        <v>4.7</v>
      </c>
      <c r="H117" s="57" t="n">
        <v>1</v>
      </c>
      <c r="I117" s="57" t="n">
        <v>1</v>
      </c>
      <c r="J117" s="92">
        <f>'Towers'!$G$15*G117*H117*I117</f>
        <v/>
      </c>
      <c r="K117" s="92">
        <f>IF(J117=0,0,F117/J117)</f>
        <v/>
      </c>
      <c r="L117" s="57" t="n">
        <v>1</v>
      </c>
      <c r="M117" s="43" t="inlineStr">
        <is>
          <t>Thunderclap</t>
        </is>
      </c>
      <c r="U117" s="57" t="n">
        <v>0.4</v>
      </c>
      <c r="BP117" s="81" t="n">
        <v>10</v>
      </c>
    </row>
    <row r="118">
      <c r="A118" s="43" t="inlineStr">
        <is>
          <t>Storm Coil</t>
        </is>
      </c>
      <c r="B118" s="43" t="inlineStr">
        <is>
          <t>Charge</t>
        </is>
      </c>
      <c r="C118" s="43" t="inlineStr">
        <is>
          <t>power, armour, stun</t>
        </is>
      </c>
      <c r="D118" s="56" t="n">
        <v>4</v>
      </c>
      <c r="E118" s="56">
        <f>ROUND('Towers'!$C$15*POWER('Tuning'!$B$12,D118),0)</f>
        <v/>
      </c>
      <c r="F118" s="56">
        <f>F117+E118</f>
        <v/>
      </c>
      <c r="G118" s="57" t="n">
        <v>1.4</v>
      </c>
      <c r="H118" s="57" t="n">
        <v>1</v>
      </c>
      <c r="I118" s="57" t="n">
        <v>1</v>
      </c>
      <c r="J118" s="92">
        <f>J117*G118*H118*I118</f>
        <v/>
      </c>
      <c r="K118" s="92">
        <f>IF(J118=0,0,F118/J118)</f>
        <v/>
      </c>
      <c r="L118" s="57" t="n">
        <v>1</v>
      </c>
      <c r="M118" s="43" t="inlineStr">
        <is>
          <t>High Voltage</t>
        </is>
      </c>
      <c r="N118" s="46" t="inlineStr">
        <is>
          <t>Yes</t>
        </is>
      </c>
      <c r="U118" s="57" t="n"/>
      <c r="BP118" s="81" t="n"/>
      <c r="CI118" s="81" t="inlineStr">
        <is>
          <t>A</t>
        </is>
      </c>
      <c r="CJ118" s="81" t="inlineStr">
        <is>
          <t>Hurts armoured dinos, and hits harder</t>
        </is>
      </c>
    </row>
    <row r="119">
      <c r="A119" s="43" t="inlineStr">
        <is>
          <t>Storm Coil</t>
        </is>
      </c>
      <c r="B119" s="43" t="inlineStr">
        <is>
          <t>Charge</t>
        </is>
      </c>
      <c r="C119" s="43" t="inlineStr">
        <is>
          <t>power, armour, stun</t>
        </is>
      </c>
      <c r="D119" s="56" t="n">
        <v>5</v>
      </c>
      <c r="E119" s="56">
        <f>ROUND('Towers'!$C$15*POWER('Tuning'!$B$12,D119),0)</f>
        <v/>
      </c>
      <c r="F119" s="56">
        <f>F118+E119</f>
        <v/>
      </c>
      <c r="G119" s="57" t="n">
        <v>1.899696048632</v>
      </c>
      <c r="H119" s="57" t="n">
        <v>1</v>
      </c>
      <c r="I119" s="57" t="n">
        <v>1</v>
      </c>
      <c r="J119" s="92">
        <f>J118*G119*H119*I119</f>
        <v/>
      </c>
      <c r="K119" s="92">
        <f>IF(J119=0,0,F119/J119)</f>
        <v/>
      </c>
      <c r="L119" s="57" t="n">
        <v>1</v>
      </c>
      <c r="M119" s="43" t="inlineStr">
        <is>
          <t>Judgement Bolt</t>
        </is>
      </c>
      <c r="N119" s="46" t="n"/>
      <c r="U119" s="57" t="n"/>
      <c r="BP119" s="81" t="n"/>
      <c r="BQ119" s="46" t="inlineStr">
        <is>
          <t>Yes</t>
        </is>
      </c>
      <c r="CI119" s="81" t="inlineStr">
        <is>
          <t>A</t>
        </is>
      </c>
      <c r="CJ119" s="81" t="inlineStr">
        <is>
          <t>A huge bolt shrinks the biggest dino 3 sizes</t>
        </is>
      </c>
    </row>
    <row r="120">
      <c r="A120" s="43" t="inlineStr">
        <is>
          <t>Storm Coil</t>
        </is>
      </c>
      <c r="B120" s="43" t="inlineStr">
        <is>
          <t>Lightning Rod</t>
        </is>
      </c>
      <c r="C120" s="43" t="inlineStr">
        <is>
          <t>support, defence</t>
        </is>
      </c>
      <c r="D120" s="56" t="n">
        <v>1</v>
      </c>
      <c r="E120" s="56">
        <f>ROUND('Towers'!$C$15*POWER('Tuning'!$B$12,D120),0)</f>
        <v/>
      </c>
      <c r="F120" s="56">
        <f>'Towers'!$C$15+E120</f>
        <v/>
      </c>
      <c r="G120" s="57" t="n">
        <v>1.3</v>
      </c>
      <c r="H120" s="57" t="n">
        <v>1</v>
      </c>
      <c r="I120" s="57" t="n">
        <v>1</v>
      </c>
      <c r="J120" s="92">
        <f>'Towers'!$G$15*G120*H120*I120</f>
        <v/>
      </c>
      <c r="K120" s="92">
        <f>IF(J120=0,0,F120/J120)</f>
        <v/>
      </c>
      <c r="L120" s="57" t="n">
        <v>1.2</v>
      </c>
      <c r="M120" s="43" t="inlineStr">
        <is>
          <t>Tall Mast</t>
        </is>
      </c>
    </row>
    <row r="121">
      <c r="A121" s="43" t="inlineStr">
        <is>
          <t>Storm Coil</t>
        </is>
      </c>
      <c r="B121" s="43" t="inlineStr">
        <is>
          <t>Lightning Rod</t>
        </is>
      </c>
      <c r="C121" s="43" t="inlineStr">
        <is>
          <t>support, defence</t>
        </is>
      </c>
      <c r="D121" s="56" t="n">
        <v>2</v>
      </c>
      <c r="E121" s="56">
        <f>ROUND('Towers'!$C$15*POWER('Tuning'!$B$12,D121),0)</f>
        <v/>
      </c>
      <c r="F121" s="56">
        <f>F120+E121</f>
        <v/>
      </c>
      <c r="G121" s="57" t="n">
        <v>1.69</v>
      </c>
      <c r="H121" s="57" t="n">
        <v>1</v>
      </c>
      <c r="I121" s="57" t="n">
        <v>1</v>
      </c>
      <c r="J121" s="92">
        <f>'Towers'!$G$15*G121*H121*I121</f>
        <v/>
      </c>
      <c r="K121" s="92">
        <f>IF(J121=0,0,F121/J121)</f>
        <v/>
      </c>
      <c r="L121" s="57" t="n">
        <v>1.2</v>
      </c>
      <c r="M121" s="43" t="inlineStr">
        <is>
          <t>Charged Air</t>
        </is>
      </c>
      <c r="AB121" s="57" t="n">
        <v>10</v>
      </c>
    </row>
    <row r="122">
      <c r="A122" s="43" t="inlineStr">
        <is>
          <t>Storm Coil</t>
        </is>
      </c>
      <c r="B122" s="43" t="inlineStr">
        <is>
          <t>Lightning Rod</t>
        </is>
      </c>
      <c r="C122" s="43" t="inlineStr">
        <is>
          <t>support, defence</t>
        </is>
      </c>
      <c r="D122" s="56" t="n">
        <v>3</v>
      </c>
      <c r="E122" s="56">
        <f>ROUND('Towers'!$C$15*POWER('Tuning'!$B$12,D122),0)</f>
        <v/>
      </c>
      <c r="F122" s="56">
        <f>F121+E122</f>
        <v/>
      </c>
      <c r="G122" s="57" t="n">
        <v>2.2</v>
      </c>
      <c r="H122" s="57" t="n">
        <v>1</v>
      </c>
      <c r="I122" s="57" t="n">
        <v>1</v>
      </c>
      <c r="J122" s="92">
        <f>'Towers'!$G$15*G122*H122*I122</f>
        <v/>
      </c>
      <c r="K122" s="92">
        <f>IF(J122=0,0,F122/J122)</f>
        <v/>
      </c>
      <c r="L122" s="57" t="n">
        <v>1.2</v>
      </c>
      <c r="M122" s="43" t="inlineStr">
        <is>
          <t>Grounding Spike</t>
        </is>
      </c>
      <c r="AB122" s="57" t="n">
        <v>10</v>
      </c>
      <c r="BR122" s="81" t="n">
        <v>4</v>
      </c>
    </row>
    <row r="123">
      <c r="A123" s="43" t="inlineStr">
        <is>
          <t>Storm Coil</t>
        </is>
      </c>
      <c r="B123" s="43" t="inlineStr">
        <is>
          <t>Lightning Rod</t>
        </is>
      </c>
      <c r="C123" s="43" t="inlineStr">
        <is>
          <t>support, defence</t>
        </is>
      </c>
      <c r="D123" s="56" t="n">
        <v>4</v>
      </c>
      <c r="E123" s="56">
        <f>ROUND('Towers'!$C$15*POWER('Tuning'!$B$12,D123),0)</f>
        <v/>
      </c>
      <c r="F123" s="56">
        <f>F122+E123</f>
        <v/>
      </c>
      <c r="G123" s="57" t="n">
        <v>1.3</v>
      </c>
      <c r="H123" s="57" t="n">
        <v>1</v>
      </c>
      <c r="I123" s="57" t="n">
        <v>1</v>
      </c>
      <c r="J123" s="92">
        <f>J122*G123*H123*I123</f>
        <v/>
      </c>
      <c r="K123" s="92">
        <f>IF(J123=0,0,F123/J123)</f>
        <v/>
      </c>
      <c r="L123" s="57" t="n">
        <v>1</v>
      </c>
      <c r="M123" s="43" t="inlineStr">
        <is>
          <t>Storm Warning</t>
        </is>
      </c>
      <c r="AB123" s="57" t="n"/>
      <c r="AC123" s="57" t="n">
        <v>15</v>
      </c>
      <c r="BR123" s="81" t="n"/>
      <c r="CI123" s="81" t="inlineStr">
        <is>
          <t>A</t>
        </is>
      </c>
      <c r="CJ123" s="81" t="inlineStr">
        <is>
          <t>Towers in range hit harder</t>
        </is>
      </c>
    </row>
    <row r="124">
      <c r="A124" s="43" t="inlineStr">
        <is>
          <t>Storm Coil</t>
        </is>
      </c>
      <c r="B124" s="43" t="inlineStr">
        <is>
          <t>Lightning Rod</t>
        </is>
      </c>
      <c r="C124" s="43" t="inlineStr">
        <is>
          <t>support, defence</t>
        </is>
      </c>
      <c r="D124" s="56" t="n">
        <v>5</v>
      </c>
      <c r="E124" s="56">
        <f>ROUND('Towers'!$C$15*POWER('Tuning'!$B$12,D124),0)</f>
        <v/>
      </c>
      <c r="F124" s="56">
        <f>F123+E124</f>
        <v/>
      </c>
      <c r="G124" s="57" t="n">
        <v>1.297202797203</v>
      </c>
      <c r="H124" s="57" t="n">
        <v>1</v>
      </c>
      <c r="I124" s="57" t="n">
        <v>1</v>
      </c>
      <c r="J124" s="92">
        <f>J123*G124*H124*I124</f>
        <v/>
      </c>
      <c r="K124" s="92">
        <f>IF(J124=0,0,F124/J124)</f>
        <v/>
      </c>
      <c r="L124" s="57" t="n">
        <v>1</v>
      </c>
      <c r="M124" s="43" t="inlineStr">
        <is>
          <t>Lightning Rodeo</t>
        </is>
      </c>
      <c r="AB124" s="57" t="n"/>
      <c r="AC124" s="57" t="n"/>
      <c r="BR124" s="81" t="n"/>
      <c r="BS124" s="81" t="n">
        <v>50</v>
      </c>
      <c r="CI124" s="81" t="inlineStr">
        <is>
          <t>A</t>
        </is>
      </c>
      <c r="CJ124" s="81" t="inlineStr">
        <is>
          <t>Towers in range chain their shots to one more dino</t>
        </is>
      </c>
    </row>
    <row r="125">
      <c r="A125" s="43" t="inlineStr">
        <is>
          <t>Falcon Roost</t>
        </is>
      </c>
      <c r="B125" s="43" t="inlineStr">
        <is>
          <t>Talons</t>
        </is>
      </c>
      <c r="C125" s="43" t="inlineStr">
        <is>
          <t>raw damage, pierces armour</t>
        </is>
      </c>
      <c r="D125" s="56" t="n">
        <v>1</v>
      </c>
      <c r="E125" s="56">
        <f>ROUND('Towers'!$C$16*POWER('Tuning'!$B$12,D125),0)</f>
        <v/>
      </c>
      <c r="F125" s="56">
        <f>'Towers'!$C$16+E125</f>
        <v/>
      </c>
      <c r="G125" s="57" t="n">
        <v>1.9</v>
      </c>
      <c r="H125" s="57" t="n">
        <v>1</v>
      </c>
      <c r="I125" s="57" t="n">
        <v>1</v>
      </c>
      <c r="J125" s="92">
        <f>'Towers'!$G$16*G125*H125*I125</f>
        <v/>
      </c>
      <c r="K125" s="92">
        <f>IF(J125=0,0,F125/J125)</f>
        <v/>
      </c>
      <c r="L125" s="57" t="n">
        <v>1</v>
      </c>
      <c r="M125" s="43" t="inlineStr">
        <is>
          <t>Sharp Talons</t>
        </is>
      </c>
    </row>
    <row r="126">
      <c r="A126" s="43" t="inlineStr">
        <is>
          <t>Falcon Roost</t>
        </is>
      </c>
      <c r="B126" s="43" t="inlineStr">
        <is>
          <t>Talons</t>
        </is>
      </c>
      <c r="C126" s="43" t="inlineStr">
        <is>
          <t>raw damage, pierces armour</t>
        </is>
      </c>
      <c r="D126" s="56" t="n">
        <v>2</v>
      </c>
      <c r="E126" s="56">
        <f>ROUND('Towers'!$C$16*POWER('Tuning'!$B$12,D126),0)</f>
        <v/>
      </c>
      <c r="F126" s="56">
        <f>F125+E126</f>
        <v/>
      </c>
      <c r="G126" s="57" t="n">
        <v>3.61</v>
      </c>
      <c r="H126" s="57" t="n">
        <v>1</v>
      </c>
      <c r="I126" s="57" t="n">
        <v>1</v>
      </c>
      <c r="J126" s="92">
        <f>'Towers'!$G$16*G126*H126*I126</f>
        <v/>
      </c>
      <c r="K126" s="92">
        <f>IF(J126=0,0,F126/J126)</f>
        <v/>
      </c>
      <c r="L126" s="57" t="n">
        <v>1</v>
      </c>
      <c r="M126" s="43" t="inlineStr">
        <is>
          <t>Hooked Beak</t>
        </is>
      </c>
    </row>
    <row r="127">
      <c r="A127" s="43" t="inlineStr">
        <is>
          <t>Falcon Roost</t>
        </is>
      </c>
      <c r="B127" s="43" t="inlineStr">
        <is>
          <t>Talons</t>
        </is>
      </c>
      <c r="C127" s="43" t="inlineStr">
        <is>
          <t>raw damage, pierces armour</t>
        </is>
      </c>
      <c r="D127" s="56" t="n">
        <v>3</v>
      </c>
      <c r="E127" s="56">
        <f>ROUND('Towers'!$C$16*POWER('Tuning'!$B$12,D127),0)</f>
        <v/>
      </c>
      <c r="F127" s="56">
        <f>F126+E127</f>
        <v/>
      </c>
      <c r="G127" s="57" t="n">
        <v>6.86</v>
      </c>
      <c r="H127" s="57" t="n">
        <v>1</v>
      </c>
      <c r="I127" s="57" t="n">
        <v>1</v>
      </c>
      <c r="J127" s="92">
        <f>'Towers'!$G$16*G127*H127*I127</f>
        <v/>
      </c>
      <c r="K127" s="92">
        <f>IF(J127=0,0,F127/J127)</f>
        <v/>
      </c>
      <c r="L127" s="57" t="n">
        <v>1</v>
      </c>
      <c r="M127" s="43" t="inlineStr">
        <is>
          <t>Power Dive</t>
        </is>
      </c>
      <c r="BJ127" s="81" t="n">
        <v>2</v>
      </c>
      <c r="BU127" s="81" t="n">
        <v>3</v>
      </c>
    </row>
    <row r="128">
      <c r="A128" s="43" t="inlineStr">
        <is>
          <t>Falcon Roost</t>
        </is>
      </c>
      <c r="B128" s="43" t="inlineStr">
        <is>
          <t>Talons</t>
        </is>
      </c>
      <c r="C128" s="43" t="inlineStr">
        <is>
          <t>raw damage, pierces armour</t>
        </is>
      </c>
      <c r="D128" s="56" t="n">
        <v>4</v>
      </c>
      <c r="E128" s="56">
        <f>ROUND('Towers'!$C$16*POWER('Tuning'!$B$12,D128),0)</f>
        <v/>
      </c>
      <c r="F128" s="56">
        <f>F127+E128</f>
        <v/>
      </c>
      <c r="G128" s="57" t="n">
        <v>1.899416909621</v>
      </c>
      <c r="H128" s="57" t="n">
        <v>1</v>
      </c>
      <c r="I128" s="57" t="n">
        <v>1</v>
      </c>
      <c r="J128" s="92">
        <f>J127*G128*H128*I128</f>
        <v/>
      </c>
      <c r="K128" s="92">
        <f>IF(J128=0,0,F128/J128)</f>
        <v/>
      </c>
      <c r="L128" s="57" t="n">
        <v>1</v>
      </c>
      <c r="M128" s="43" t="inlineStr">
        <is>
          <t>Iron Talons</t>
        </is>
      </c>
      <c r="N128" s="81" t="inlineStr">
        <is>
          <t>Yes</t>
        </is>
      </c>
      <c r="BJ128" s="81" t="n">
        <v>3</v>
      </c>
      <c r="BU128" s="81" t="n"/>
      <c r="CI128" s="81" t="inlineStr">
        <is>
          <t>A</t>
        </is>
      </c>
      <c r="CJ128" s="81" t="inlineStr">
        <is>
          <t>Hurts armoured dinos; dives shrink a dino 3 sizes</t>
        </is>
      </c>
    </row>
    <row r="129">
      <c r="A129" s="43" t="inlineStr">
        <is>
          <t>Falcon Roost</t>
        </is>
      </c>
      <c r="B129" s="43" t="inlineStr">
        <is>
          <t>Talons</t>
        </is>
      </c>
      <c r="C129" s="43" t="inlineStr">
        <is>
          <t>raw damage, pierces armour</t>
        </is>
      </c>
      <c r="D129" s="56" t="n">
        <v>5</v>
      </c>
      <c r="E129" s="56">
        <f>ROUND('Towers'!$C$16*POWER('Tuning'!$B$12,D129),0)</f>
        <v/>
      </c>
      <c r="F129" s="56">
        <f>F128+E129</f>
        <v/>
      </c>
      <c r="G129" s="57" t="n">
        <v>0.9209516500379999</v>
      </c>
      <c r="H129" s="57" t="n">
        <v>1</v>
      </c>
      <c r="I129" s="57" t="n">
        <v>1</v>
      </c>
      <c r="J129" s="92">
        <f>J128*G129*H129*I129</f>
        <v/>
      </c>
      <c r="K129" s="92">
        <f>IF(J129=0,0,F129/J129)</f>
        <v/>
      </c>
      <c r="L129" s="57" t="n">
        <v>1</v>
      </c>
      <c r="M129" s="43" t="inlineStr">
        <is>
          <t>Eagle of the Peak</t>
        </is>
      </c>
      <c r="N129" s="81" t="n"/>
      <c r="U129" s="81" t="n">
        <v>0.5</v>
      </c>
      <c r="BJ129" s="81" t="n"/>
      <c r="BU129" s="81" t="n"/>
      <c r="BV129" s="81" t="inlineStr">
        <is>
          <t>Yes</t>
        </is>
      </c>
      <c r="CI129" s="81" t="inlineStr">
        <is>
          <t>A</t>
        </is>
      </c>
      <c r="CJ129" s="81" t="inlineStr">
        <is>
          <t>One giant eagle dives, stuns and shrinks a dino 3 sizes</t>
        </is>
      </c>
    </row>
    <row r="130">
      <c r="A130" s="43" t="inlineStr">
        <is>
          <t>Falcon Roost</t>
        </is>
      </c>
      <c r="B130" s="43" t="inlineStr">
        <is>
          <t>Flock</t>
        </is>
      </c>
      <c r="C130" s="43" t="inlineStr">
        <is>
          <t>more birds</t>
        </is>
      </c>
      <c r="D130" s="56" t="n">
        <v>1</v>
      </c>
      <c r="E130" s="56">
        <f>ROUND('Towers'!$C$16*POWER('Tuning'!$B$12,D130),0)</f>
        <v/>
      </c>
      <c r="F130" s="56">
        <f>'Towers'!$C$16+E130</f>
        <v/>
      </c>
      <c r="G130" s="57" t="n">
        <v>1</v>
      </c>
      <c r="H130" s="57" t="n">
        <v>2</v>
      </c>
      <c r="I130" s="57" t="n">
        <v>1</v>
      </c>
      <c r="J130" s="92">
        <f>'Towers'!$G$16*G130*H130*I130</f>
        <v/>
      </c>
      <c r="K130" s="92">
        <f>IF(J130=0,0,F130/J130)</f>
        <v/>
      </c>
      <c r="L130" s="57" t="n">
        <v>1</v>
      </c>
      <c r="M130" s="43" t="inlineStr">
        <is>
          <t>Second Pair</t>
        </is>
      </c>
      <c r="BT130" s="81" t="n">
        <v>4</v>
      </c>
    </row>
    <row r="131">
      <c r="A131" s="43" t="inlineStr">
        <is>
          <t>Falcon Roost</t>
        </is>
      </c>
      <c r="B131" s="43" t="inlineStr">
        <is>
          <t>Flock</t>
        </is>
      </c>
      <c r="C131" s="43" t="inlineStr">
        <is>
          <t>more birds</t>
        </is>
      </c>
      <c r="D131" s="56" t="n">
        <v>2</v>
      </c>
      <c r="E131" s="56">
        <f>ROUND('Towers'!$C$16*POWER('Tuning'!$B$12,D131),0)</f>
        <v/>
      </c>
      <c r="F131" s="56">
        <f>F130+E131</f>
        <v/>
      </c>
      <c r="G131" s="57" t="n">
        <v>1.5</v>
      </c>
      <c r="H131" s="57" t="n">
        <v>2.5</v>
      </c>
      <c r="I131" s="57" t="n">
        <v>1</v>
      </c>
      <c r="J131" s="92">
        <f>'Towers'!$G$16*G131*H131*I131</f>
        <v/>
      </c>
      <c r="K131" s="92">
        <f>IF(J131=0,0,F131/J131)</f>
        <v/>
      </c>
      <c r="L131" s="57" t="n">
        <v>1</v>
      </c>
      <c r="M131" s="43" t="inlineStr">
        <is>
          <t>Quick Return</t>
        </is>
      </c>
      <c r="BT131" s="81" t="n">
        <v>4</v>
      </c>
    </row>
    <row r="132">
      <c r="A132" s="43" t="inlineStr">
        <is>
          <t>Falcon Roost</t>
        </is>
      </c>
      <c r="B132" s="43" t="inlineStr">
        <is>
          <t>Flock</t>
        </is>
      </c>
      <c r="C132" s="43" t="inlineStr">
        <is>
          <t>more birds</t>
        </is>
      </c>
      <c r="D132" s="56" t="n">
        <v>3</v>
      </c>
      <c r="E132" s="56">
        <f>ROUND('Towers'!$C$16*POWER('Tuning'!$B$12,D132),0)</f>
        <v/>
      </c>
      <c r="F132" s="56">
        <f>F131+E132</f>
        <v/>
      </c>
      <c r="G132" s="57" t="n">
        <v>1.85</v>
      </c>
      <c r="H132" s="57" t="n">
        <v>3.75</v>
      </c>
      <c r="I132" s="57" t="n">
        <v>1</v>
      </c>
      <c r="J132" s="92">
        <f>'Towers'!$G$16*G132*H132*I132</f>
        <v/>
      </c>
      <c r="K132" s="92">
        <f>IF(J132=0,0,F132/J132)</f>
        <v/>
      </c>
      <c r="L132" s="57" t="n">
        <v>1</v>
      </c>
      <c r="M132" s="43" t="inlineStr">
        <is>
          <t>Flock of Six</t>
        </is>
      </c>
      <c r="BT132" s="81" t="n">
        <v>6</v>
      </c>
    </row>
    <row r="133">
      <c r="A133" s="43" t="inlineStr">
        <is>
          <t>Falcon Roost</t>
        </is>
      </c>
      <c r="B133" s="43" t="inlineStr">
        <is>
          <t>Flock</t>
        </is>
      </c>
      <c r="C133" s="43" t="inlineStr">
        <is>
          <t>more birds</t>
        </is>
      </c>
      <c r="D133" s="56" t="n">
        <v>4</v>
      </c>
      <c r="E133" s="56">
        <f>ROUND('Towers'!$C$16*POWER('Tuning'!$B$12,D133),0)</f>
        <v/>
      </c>
      <c r="F133" s="56">
        <f>F132+E133</f>
        <v/>
      </c>
      <c r="G133" s="57" t="n">
        <v>2.810810810811</v>
      </c>
      <c r="H133" s="57" t="n">
        <v>1</v>
      </c>
      <c r="I133" s="57" t="n">
        <v>1</v>
      </c>
      <c r="J133" s="92">
        <f>J132*G133*H133*I133</f>
        <v/>
      </c>
      <c r="K133" s="92">
        <f>IF(J133=0,0,F133/J133)</f>
        <v/>
      </c>
      <c r="L133" s="57" t="n">
        <v>1.5</v>
      </c>
      <c r="M133" s="43" t="inlineStr">
        <is>
          <t>Wide Circle</t>
        </is>
      </c>
      <c r="BT133" s="81" t="n"/>
      <c r="CI133" s="81" t="inlineStr">
        <is>
          <t>A</t>
        </is>
      </c>
      <c r="CJ133" s="81" t="inlineStr">
        <is>
          <t>The birds hunt much further out</t>
        </is>
      </c>
    </row>
    <row r="134">
      <c r="A134" s="43" t="inlineStr">
        <is>
          <t>Falcon Roost</t>
        </is>
      </c>
      <c r="B134" s="43" t="inlineStr">
        <is>
          <t>Flock</t>
        </is>
      </c>
      <c r="C134" s="43" t="inlineStr">
        <is>
          <t>more birds</t>
        </is>
      </c>
      <c r="D134" s="56" t="n">
        <v>5</v>
      </c>
      <c r="E134" s="56">
        <f>ROUND('Towers'!$C$16*POWER('Tuning'!$B$12,D134),0)</f>
        <v/>
      </c>
      <c r="F134" s="56">
        <f>F133+E134</f>
        <v/>
      </c>
      <c r="G134" s="57" t="n">
        <v>0.846153846154</v>
      </c>
      <c r="H134" s="57" t="n">
        <v>1</v>
      </c>
      <c r="I134" s="57" t="n">
        <v>1</v>
      </c>
      <c r="J134" s="92">
        <f>J133*G134*H134*I134</f>
        <v/>
      </c>
      <c r="K134" s="92">
        <f>IF(J134=0,0,F134/J134)</f>
        <v/>
      </c>
      <c r="L134" s="57" t="n">
        <v>1</v>
      </c>
      <c r="M134" s="43" t="inlineStr">
        <is>
          <t>Murmuration</t>
        </is>
      </c>
      <c r="BT134" s="81" t="n">
        <v>12</v>
      </c>
      <c r="BW134" s="81" t="inlineStr">
        <is>
          <t>Yes</t>
        </is>
      </c>
      <c r="CI134" s="81" t="inlineStr">
        <is>
          <t>A</t>
        </is>
      </c>
      <c r="CJ134" s="81" t="inlineStr">
        <is>
          <t>A swarm of small birds pecks every dino in range</t>
        </is>
      </c>
    </row>
    <row r="135">
      <c r="A135" s="43" t="inlineStr">
        <is>
          <t>Falcon Roost</t>
        </is>
      </c>
      <c r="B135" s="43" t="inlineStr">
        <is>
          <t>Falconer</t>
        </is>
      </c>
      <c r="C135" s="43" t="inlineStr">
        <is>
          <t>support</t>
        </is>
      </c>
      <c r="D135" s="56" t="n">
        <v>1</v>
      </c>
      <c r="E135" s="56">
        <f>ROUND('Towers'!$C$16*POWER('Tuning'!$B$12,D135),0)</f>
        <v/>
      </c>
      <c r="F135" s="56">
        <f>'Towers'!$C$16+E135</f>
        <v/>
      </c>
      <c r="G135" s="57" t="n">
        <v>1.3</v>
      </c>
      <c r="H135" s="57" t="n">
        <v>1</v>
      </c>
      <c r="I135" s="57" t="n">
        <v>1</v>
      </c>
      <c r="J135" s="92">
        <f>'Towers'!$G$16*G135*H135*I135</f>
        <v/>
      </c>
      <c r="K135" s="92">
        <f>IF(J135=0,0,F135/J135)</f>
        <v/>
      </c>
      <c r="L135" s="57" t="n">
        <v>1.1</v>
      </c>
      <c r="M135" s="43" t="inlineStr">
        <is>
          <t>Long Leash</t>
        </is>
      </c>
    </row>
    <row r="136">
      <c r="A136" s="43" t="inlineStr">
        <is>
          <t>Falcon Roost</t>
        </is>
      </c>
      <c r="B136" s="43" t="inlineStr">
        <is>
          <t>Falconer</t>
        </is>
      </c>
      <c r="C136" s="43" t="inlineStr">
        <is>
          <t>support</t>
        </is>
      </c>
      <c r="D136" s="56" t="n">
        <v>2</v>
      </c>
      <c r="E136" s="56">
        <f>ROUND('Towers'!$C$16*POWER('Tuning'!$B$12,D136),0)</f>
        <v/>
      </c>
      <c r="F136" s="56">
        <f>F135+E136</f>
        <v/>
      </c>
      <c r="G136" s="57" t="n">
        <v>1.69</v>
      </c>
      <c r="H136" s="57" t="n">
        <v>1</v>
      </c>
      <c r="I136" s="57" t="n">
        <v>1</v>
      </c>
      <c r="J136" s="92">
        <f>'Towers'!$G$16*G136*H136*I136</f>
        <v/>
      </c>
      <c r="K136" s="92">
        <f>IF(J136=0,0,F136/J136)</f>
        <v/>
      </c>
      <c r="L136" s="57" t="n">
        <v>1.1</v>
      </c>
      <c r="M136" s="43" t="inlineStr">
        <is>
          <t>Falcon Bells</t>
        </is>
      </c>
      <c r="T136" s="81" t="n">
        <v>10</v>
      </c>
    </row>
    <row r="137">
      <c r="A137" s="43" t="inlineStr">
        <is>
          <t>Falcon Roost</t>
        </is>
      </c>
      <c r="B137" s="43" t="inlineStr">
        <is>
          <t>Falconer</t>
        </is>
      </c>
      <c r="C137" s="43" t="inlineStr">
        <is>
          <t>support</t>
        </is>
      </c>
      <c r="D137" s="56" t="n">
        <v>3</v>
      </c>
      <c r="E137" s="56">
        <f>ROUND('Towers'!$C$16*POWER('Tuning'!$B$12,D137),0)</f>
        <v/>
      </c>
      <c r="F137" s="56">
        <f>F136+E137</f>
        <v/>
      </c>
      <c r="G137" s="57" t="n">
        <v>2.2</v>
      </c>
      <c r="H137" s="57" t="n">
        <v>1</v>
      </c>
      <c r="I137" s="57" t="n">
        <v>1</v>
      </c>
      <c r="J137" s="92">
        <f>'Towers'!$G$16*G137*H137*I137</f>
        <v/>
      </c>
      <c r="K137" s="92">
        <f>IF(J137=0,0,F137/J137)</f>
        <v/>
      </c>
      <c r="L137" s="57" t="n">
        <v>1.1</v>
      </c>
      <c r="M137" s="43" t="inlineStr">
        <is>
          <t>Hooded Scout</t>
        </is>
      </c>
      <c r="T137" s="81" t="n">
        <v>10</v>
      </c>
      <c r="BX137" s="81" t="n">
        <v>25</v>
      </c>
    </row>
    <row r="138">
      <c r="A138" s="43" t="inlineStr">
        <is>
          <t>Falcon Roost</t>
        </is>
      </c>
      <c r="B138" s="43" t="inlineStr">
        <is>
          <t>Falconer</t>
        </is>
      </c>
      <c r="C138" s="43" t="inlineStr">
        <is>
          <t>support</t>
        </is>
      </c>
      <c r="D138" s="56" t="n">
        <v>4</v>
      </c>
      <c r="E138" s="56">
        <f>ROUND('Towers'!$C$16*POWER('Tuning'!$B$12,D138),0)</f>
        <v/>
      </c>
      <c r="F138" s="56">
        <f>F137+E138</f>
        <v/>
      </c>
      <c r="G138" s="57" t="n">
        <v>1.3</v>
      </c>
      <c r="H138" s="57" t="n">
        <v>1</v>
      </c>
      <c r="I138" s="57" t="n">
        <v>1</v>
      </c>
      <c r="J138" s="92">
        <f>J137*G138*H138*I138</f>
        <v/>
      </c>
      <c r="K138" s="92">
        <f>IF(J138=0,0,F138/J138)</f>
        <v/>
      </c>
      <c r="L138" s="57" t="n">
        <v>1</v>
      </c>
      <c r="M138" s="43" t="inlineStr">
        <is>
          <t>Lure</t>
        </is>
      </c>
      <c r="T138" s="81" t="n"/>
      <c r="W138" s="81" t="n">
        <v>2</v>
      </c>
      <c r="BX138" s="81" t="n"/>
      <c r="CI138" s="81" t="inlineStr">
        <is>
          <t>A</t>
        </is>
      </c>
      <c r="CJ138" s="81" t="inlineStr">
        <is>
          <t>Struck dinos get pulled back (not bosses)</t>
        </is>
      </c>
    </row>
    <row r="139">
      <c r="A139" s="43" t="inlineStr">
        <is>
          <t>Falcon Roost</t>
        </is>
      </c>
      <c r="B139" s="43" t="inlineStr">
        <is>
          <t>Falconer</t>
        </is>
      </c>
      <c r="C139" s="43" t="inlineStr">
        <is>
          <t>support</t>
        </is>
      </c>
      <c r="D139" s="56" t="n">
        <v>5</v>
      </c>
      <c r="E139" s="56">
        <f>ROUND('Towers'!$C$16*POWER('Tuning'!$B$12,D139),0)</f>
        <v/>
      </c>
      <c r="F139" s="56">
        <f>F138+E139</f>
        <v/>
      </c>
      <c r="G139" s="57" t="n">
        <v>1.297202797203</v>
      </c>
      <c r="H139" s="57" t="n">
        <v>1</v>
      </c>
      <c r="I139" s="57" t="n">
        <v>1</v>
      </c>
      <c r="J139" s="92">
        <f>J138*G139*H139*I139</f>
        <v/>
      </c>
      <c r="K139" s="92">
        <f>IF(J139=0,0,F139/J139)</f>
        <v/>
      </c>
      <c r="L139" s="57" t="n">
        <v>1</v>
      </c>
      <c r="M139" s="43" t="inlineStr">
        <is>
          <t>Hunting Party</t>
        </is>
      </c>
      <c r="T139" s="81" t="n"/>
      <c r="W139" s="81" t="n"/>
      <c r="BX139" s="81" t="n"/>
      <c r="BY139" s="81" t="n">
        <v>15</v>
      </c>
      <c r="CI139" s="81" t="inlineStr">
        <is>
          <t>A</t>
        </is>
      </c>
      <c r="CJ139" s="81" t="inlineStr">
        <is>
          <t>Towers in range shoot faster while a bird dives</t>
        </is>
      </c>
    </row>
    <row r="140">
      <c r="A140" s="43" t="inlineStr">
        <is>
          <t>Tar Pit</t>
        </is>
      </c>
      <c r="B140" s="43" t="inlineStr">
        <is>
          <t>Deep Tar</t>
        </is>
      </c>
      <c r="C140" s="43" t="inlineStr">
        <is>
          <t>slow and sink</t>
        </is>
      </c>
      <c r="D140" s="56" t="n">
        <v>1</v>
      </c>
      <c r="E140" s="56">
        <f>ROUND('Towers'!$C$17*POWER('Tuning'!$B$12,D140),0)</f>
        <v/>
      </c>
      <c r="F140" s="56">
        <f>'Towers'!$C$17+E140</f>
        <v/>
      </c>
      <c r="G140" s="57" t="n">
        <v>1</v>
      </c>
      <c r="H140" s="57" t="n">
        <v>1</v>
      </c>
      <c r="I140" s="57" t="n">
        <v>1</v>
      </c>
      <c r="J140" s="92">
        <f>'Towers'!$G$17*G140*H140*I140</f>
        <v/>
      </c>
      <c r="K140" s="92">
        <f>IF(J140=0,0,F140/J140)</f>
        <v/>
      </c>
      <c r="L140" s="57" t="n">
        <v>1</v>
      </c>
      <c r="M140" s="43" t="inlineStr">
        <is>
          <t>Thick Tar</t>
        </is>
      </c>
      <c r="AE140" s="81" t="n">
        <v>35</v>
      </c>
    </row>
    <row r="141">
      <c r="A141" s="43" t="inlineStr">
        <is>
          <t>Tar Pit</t>
        </is>
      </c>
      <c r="B141" s="43" t="inlineStr">
        <is>
          <t>Deep Tar</t>
        </is>
      </c>
      <c r="C141" s="43" t="inlineStr">
        <is>
          <t>slow and sink</t>
        </is>
      </c>
      <c r="D141" s="56" t="n">
        <v>2</v>
      </c>
      <c r="E141" s="56">
        <f>ROUND('Towers'!$C$17*POWER('Tuning'!$B$12,D141),0)</f>
        <v/>
      </c>
      <c r="F141" s="56">
        <f>F140+E141</f>
        <v/>
      </c>
      <c r="G141" s="57" t="n">
        <v>1</v>
      </c>
      <c r="H141" s="57" t="n">
        <v>1</v>
      </c>
      <c r="I141" s="57" t="n">
        <v>1</v>
      </c>
      <c r="J141" s="92">
        <f>'Towers'!$G$17*G141*H141*I141</f>
        <v/>
      </c>
      <c r="K141" s="92">
        <f>IF(J141=0,0,F141/J141)</f>
        <v/>
      </c>
      <c r="L141" s="57" t="n">
        <v>1.5</v>
      </c>
      <c r="M141" s="43" t="inlineStr">
        <is>
          <t>Wide Pool</t>
        </is>
      </c>
      <c r="AE141" s="81" t="n">
        <v>35</v>
      </c>
    </row>
    <row r="142">
      <c r="A142" s="43" t="inlineStr">
        <is>
          <t>Tar Pit</t>
        </is>
      </c>
      <c r="B142" s="43" t="inlineStr">
        <is>
          <t>Deep Tar</t>
        </is>
      </c>
      <c r="C142" s="43" t="inlineStr">
        <is>
          <t>slow and sink</t>
        </is>
      </c>
      <c r="D142" s="56" t="n">
        <v>3</v>
      </c>
      <c r="E142" s="56">
        <f>ROUND('Towers'!$C$17*POWER('Tuning'!$B$12,D142),0)</f>
        <v/>
      </c>
      <c r="F142" s="56">
        <f>F141+E142</f>
        <v/>
      </c>
      <c r="G142" s="57" t="n">
        <v>1</v>
      </c>
      <c r="H142" s="57" t="n">
        <v>1</v>
      </c>
      <c r="I142" s="57" t="n">
        <v>1</v>
      </c>
      <c r="J142" s="92">
        <f>'Towers'!$G$17*G142*H142*I142</f>
        <v/>
      </c>
      <c r="K142" s="92">
        <f>IF(J142=0,0,F142/J142)</f>
        <v/>
      </c>
      <c r="L142" s="57" t="n">
        <v>1.5</v>
      </c>
      <c r="M142" s="43" t="inlineStr">
        <is>
          <t>Fast Sink</t>
        </is>
      </c>
      <c r="AE142" s="81" t="n">
        <v>35</v>
      </c>
      <c r="CC142" s="81" t="n">
        <v>0.5</v>
      </c>
    </row>
    <row r="143">
      <c r="A143" s="43" t="inlineStr">
        <is>
          <t>Tar Pit</t>
        </is>
      </c>
      <c r="B143" s="43" t="inlineStr">
        <is>
          <t>Deep Tar</t>
        </is>
      </c>
      <c r="C143" s="43" t="inlineStr">
        <is>
          <t>slow and sink</t>
        </is>
      </c>
      <c r="D143" s="56" t="n">
        <v>4</v>
      </c>
      <c r="E143" s="56">
        <f>ROUND('Towers'!$C$17*POWER('Tuning'!$B$12,D143),0)</f>
        <v/>
      </c>
      <c r="F143" s="56">
        <f>F142+E143</f>
        <v/>
      </c>
      <c r="G143" s="57" t="n">
        <v>1</v>
      </c>
      <c r="H143" s="57" t="n">
        <v>1</v>
      </c>
      <c r="I143" s="57" t="n">
        <v>1</v>
      </c>
      <c r="J143" s="92">
        <f>J142*G143*H143*I143</f>
        <v/>
      </c>
      <c r="K143" s="92">
        <f>IF(J143=0,0,F143/J143)</f>
        <v/>
      </c>
      <c r="L143" s="57" t="n">
        <v>1</v>
      </c>
      <c r="M143" s="43" t="inlineStr">
        <is>
          <t>Clinging Tar</t>
        </is>
      </c>
      <c r="AE143" s="81" t="n"/>
      <c r="AF143" s="81" t="n">
        <v>3</v>
      </c>
      <c r="CC143" s="81" t="n"/>
      <c r="CI143" s="81" t="inlineStr">
        <is>
          <t>A</t>
        </is>
      </c>
      <c r="CJ143" s="81" t="inlineStr">
        <is>
          <t>Dinos stay slowed for a while after they leave</t>
        </is>
      </c>
    </row>
    <row r="144">
      <c r="A144" s="43" t="inlineStr">
        <is>
          <t>Tar Pit</t>
        </is>
      </c>
      <c r="B144" s="43" t="inlineStr">
        <is>
          <t>Deep Tar</t>
        </is>
      </c>
      <c r="C144" s="43" t="inlineStr">
        <is>
          <t>slow and sink</t>
        </is>
      </c>
      <c r="D144" s="56" t="n">
        <v>5</v>
      </c>
      <c r="E144" s="56">
        <f>ROUND('Towers'!$C$17*POWER('Tuning'!$B$12,D144),0)</f>
        <v/>
      </c>
      <c r="F144" s="56">
        <f>F143+E144</f>
        <v/>
      </c>
      <c r="G144" s="57" t="n">
        <v>1</v>
      </c>
      <c r="H144" s="57" t="n">
        <v>1</v>
      </c>
      <c r="I144" s="57" t="n">
        <v>1</v>
      </c>
      <c r="J144" s="92">
        <f>J143*G144*H144*I144</f>
        <v/>
      </c>
      <c r="K144" s="92">
        <f>IF(J144=0,0,F144/J144)</f>
        <v/>
      </c>
      <c r="L144" s="57" t="n">
        <v>3</v>
      </c>
      <c r="M144" s="43" t="inlineStr">
        <is>
          <t>Tar Lake</t>
        </is>
      </c>
      <c r="AE144" s="81" t="n"/>
      <c r="AF144" s="81" t="n"/>
      <c r="CC144" s="81" t="n"/>
      <c r="CI144" s="81" t="inlineStr">
        <is>
          <t>A</t>
        </is>
      </c>
      <c r="CJ144" s="81" t="inlineStr">
        <is>
          <t>The pool covers three times as much track</t>
        </is>
      </c>
    </row>
    <row r="145">
      <c r="A145" s="43" t="inlineStr">
        <is>
          <t>Tar Pit</t>
        </is>
      </c>
      <c r="B145" s="43" t="inlineStr">
        <is>
          <t>Bubbling</t>
        </is>
      </c>
      <c r="C145" s="43" t="inlineStr">
        <is>
          <t>damage</t>
        </is>
      </c>
      <c r="D145" s="56" t="n">
        <v>1</v>
      </c>
      <c r="E145" s="56">
        <f>ROUND('Towers'!$C$17*POWER('Tuning'!$B$12,D145),0)</f>
        <v/>
      </c>
      <c r="F145" s="56">
        <f>'Towers'!$C$17+E145</f>
        <v/>
      </c>
      <c r="G145" s="57" t="n">
        <v>1</v>
      </c>
      <c r="H145" s="57" t="n">
        <v>1</v>
      </c>
      <c r="I145" s="57" t="n">
        <v>1</v>
      </c>
      <c r="J145" s="92">
        <f>'Towers'!$G$17*G145*H145*I145</f>
        <v/>
      </c>
      <c r="K145" s="92">
        <f>IF(J145=0,0,F145/J145)</f>
        <v/>
      </c>
      <c r="L145" s="57" t="n">
        <v>1</v>
      </c>
      <c r="M145" s="43" t="inlineStr">
        <is>
          <t>Warm Tar</t>
        </is>
      </c>
      <c r="X145" s="81" t="n">
        <v>8</v>
      </c>
    </row>
    <row r="146">
      <c r="A146" s="43" t="inlineStr">
        <is>
          <t>Tar Pit</t>
        </is>
      </c>
      <c r="B146" s="43" t="inlineStr">
        <is>
          <t>Bubbling</t>
        </is>
      </c>
      <c r="C146" s="43" t="inlineStr">
        <is>
          <t>damage</t>
        </is>
      </c>
      <c r="D146" s="56" t="n">
        <v>2</v>
      </c>
      <c r="E146" s="56">
        <f>ROUND('Towers'!$C$17*POWER('Tuning'!$B$12,D146),0)</f>
        <v/>
      </c>
      <c r="F146" s="56">
        <f>F145+E146</f>
        <v/>
      </c>
      <c r="G146" s="57" t="n">
        <v>1</v>
      </c>
      <c r="H146" s="57" t="n">
        <v>1</v>
      </c>
      <c r="I146" s="57" t="n">
        <v>1</v>
      </c>
      <c r="J146" s="92">
        <f>'Towers'!$G$17*G146*H146*I146</f>
        <v/>
      </c>
      <c r="K146" s="92">
        <f>IF(J146=0,0,F146/J146)</f>
        <v/>
      </c>
      <c r="L146" s="57" t="n">
        <v>1</v>
      </c>
      <c r="M146" s="43" t="inlineStr">
        <is>
          <t>Simmer</t>
        </is>
      </c>
      <c r="X146" s="81" t="n">
        <v>22</v>
      </c>
    </row>
    <row r="147">
      <c r="A147" s="43" t="inlineStr">
        <is>
          <t>Tar Pit</t>
        </is>
      </c>
      <c r="B147" s="43" t="inlineStr">
        <is>
          <t>Bubbling</t>
        </is>
      </c>
      <c r="C147" s="43" t="inlineStr">
        <is>
          <t>damage</t>
        </is>
      </c>
      <c r="D147" s="56" t="n">
        <v>3</v>
      </c>
      <c r="E147" s="56">
        <f>ROUND('Towers'!$C$17*POWER('Tuning'!$B$12,D147),0)</f>
        <v/>
      </c>
      <c r="F147" s="56">
        <f>F146+E147</f>
        <v/>
      </c>
      <c r="G147" s="57" t="n">
        <v>1</v>
      </c>
      <c r="H147" s="57" t="n">
        <v>1</v>
      </c>
      <c r="I147" s="57" t="n">
        <v>1</v>
      </c>
      <c r="J147" s="92">
        <f>'Towers'!$G$17*G147*H147*I147</f>
        <v/>
      </c>
      <c r="K147" s="92">
        <f>IF(J147=0,0,F147/J147)</f>
        <v/>
      </c>
      <c r="L147" s="57" t="n">
        <v>1</v>
      </c>
      <c r="M147" s="43" t="inlineStr">
        <is>
          <t>Boiling Pit</t>
        </is>
      </c>
      <c r="X147" s="81" t="n">
        <v>80</v>
      </c>
    </row>
    <row r="148">
      <c r="A148" s="43" t="inlineStr">
        <is>
          <t>Tar Pit</t>
        </is>
      </c>
      <c r="B148" s="43" t="inlineStr">
        <is>
          <t>Bubbling</t>
        </is>
      </c>
      <c r="C148" s="43" t="inlineStr">
        <is>
          <t>damage</t>
        </is>
      </c>
      <c r="D148" s="56" t="n">
        <v>4</v>
      </c>
      <c r="E148" s="56">
        <f>ROUND('Towers'!$C$17*POWER('Tuning'!$B$12,D148),0)</f>
        <v/>
      </c>
      <c r="F148" s="56">
        <f>F147+E148</f>
        <v/>
      </c>
      <c r="G148" s="57" t="n">
        <v>1</v>
      </c>
      <c r="H148" s="57" t="n">
        <v>1</v>
      </c>
      <c r="I148" s="57" t="n">
        <v>1</v>
      </c>
      <c r="J148" s="92">
        <f>J147*G148*H148*I148</f>
        <v/>
      </c>
      <c r="K148" s="92">
        <f>IF(J148=0,0,F148/J148)</f>
        <v/>
      </c>
      <c r="L148" s="57" t="n">
        <v>1</v>
      </c>
      <c r="M148" s="43" t="inlineStr">
        <is>
          <t>Tar Fire</t>
        </is>
      </c>
      <c r="X148" s="81" t="n"/>
      <c r="Y148" s="81" t="n">
        <v>2</v>
      </c>
      <c r="CI148" s="81" t="inlineStr">
        <is>
          <t>A</t>
        </is>
      </c>
      <c r="CJ148" s="81" t="inlineStr">
        <is>
          <t>Dinos walk out of the tar still burning</t>
        </is>
      </c>
    </row>
    <row r="149">
      <c r="A149" s="43" t="inlineStr">
        <is>
          <t>Tar Pit</t>
        </is>
      </c>
      <c r="B149" s="43" t="inlineStr">
        <is>
          <t>Bubbling</t>
        </is>
      </c>
      <c r="C149" s="43" t="inlineStr">
        <is>
          <t>damage</t>
        </is>
      </c>
      <c r="D149" s="56" t="n">
        <v>5</v>
      </c>
      <c r="E149" s="56">
        <f>ROUND('Towers'!$C$17*POWER('Tuning'!$B$12,D149),0)</f>
        <v/>
      </c>
      <c r="F149" s="56">
        <f>F148+E149</f>
        <v/>
      </c>
      <c r="G149" s="57" t="n">
        <v>1</v>
      </c>
      <c r="H149" s="57" t="n">
        <v>1</v>
      </c>
      <c r="I149" s="57" t="n">
        <v>1</v>
      </c>
      <c r="J149" s="92">
        <f>J148*G149*H149*I149</f>
        <v/>
      </c>
      <c r="K149" s="92">
        <f>IF(J149=0,0,F149/J149)</f>
        <v/>
      </c>
      <c r="L149" s="57" t="n">
        <v>1</v>
      </c>
      <c r="M149" s="43" t="inlineStr">
        <is>
          <t>Eruption</t>
        </is>
      </c>
      <c r="X149" s="81" t="n"/>
      <c r="Y149" s="81" t="n"/>
      <c r="CF149" s="81" t="inlineStr">
        <is>
          <t>Yes</t>
        </is>
      </c>
      <c r="CI149" s="81" t="inlineStr">
        <is>
          <t>A</t>
        </is>
      </c>
      <c r="CJ149" s="81" t="inlineStr">
        <is>
          <t>A geyser shrinks every dino in the pool 2 sizes</t>
        </is>
      </c>
    </row>
    <row r="150">
      <c r="A150" s="43" t="inlineStr">
        <is>
          <t>Tar Pit</t>
        </is>
      </c>
      <c r="B150" s="43" t="inlineStr">
        <is>
          <t>Dig Site</t>
        </is>
      </c>
      <c r="C150" s="43" t="inlineStr">
        <is>
          <t>cash and support</t>
        </is>
      </c>
      <c r="D150" s="56" t="n">
        <v>1</v>
      </c>
      <c r="E150" s="56">
        <f>ROUND('Towers'!$C$17*POWER('Tuning'!$B$12,D150),0)</f>
        <v/>
      </c>
      <c r="F150" s="56">
        <f>'Towers'!$C$17+E150</f>
        <v/>
      </c>
      <c r="G150" s="57" t="n">
        <v>1</v>
      </c>
      <c r="H150" s="57" t="n">
        <v>1</v>
      </c>
      <c r="I150" s="57" t="n">
        <v>1</v>
      </c>
      <c r="J150" s="92">
        <f>'Towers'!$G$17*G150*H150*I150</f>
        <v/>
      </c>
      <c r="K150" s="92">
        <f>IF(J150=0,0,F150/J150)</f>
        <v/>
      </c>
      <c r="L150" s="57" t="n">
        <v>1</v>
      </c>
      <c r="M150" s="43" t="inlineStr">
        <is>
          <t>Pick and Shovel</t>
        </is>
      </c>
      <c r="CD150" s="81" t="n">
        <v>2</v>
      </c>
    </row>
    <row r="151">
      <c r="A151" s="43" t="inlineStr">
        <is>
          <t>Tar Pit</t>
        </is>
      </c>
      <c r="B151" s="43" t="inlineStr">
        <is>
          <t>Dig Site</t>
        </is>
      </c>
      <c r="C151" s="43" t="inlineStr">
        <is>
          <t>cash and support</t>
        </is>
      </c>
      <c r="D151" s="56" t="n">
        <v>2</v>
      </c>
      <c r="E151" s="56">
        <f>ROUND('Towers'!$C$17*POWER('Tuning'!$B$12,D151),0)</f>
        <v/>
      </c>
      <c r="F151" s="56">
        <f>F150+E151</f>
        <v/>
      </c>
      <c r="G151" s="57" t="n">
        <v>1</v>
      </c>
      <c r="H151" s="57" t="n">
        <v>1</v>
      </c>
      <c r="I151" s="57" t="n">
        <v>1</v>
      </c>
      <c r="J151" s="92">
        <f>'Towers'!$G$17*G151*H151*I151</f>
        <v/>
      </c>
      <c r="K151" s="92">
        <f>IF(J151=0,0,F151/J151)</f>
        <v/>
      </c>
      <c r="L151" s="57" t="n">
        <v>1</v>
      </c>
      <c r="M151" s="43" t="inlineStr">
        <is>
          <t>Fossil Hunter</t>
        </is>
      </c>
      <c r="CD151" s="81" t="n">
        <v>6</v>
      </c>
    </row>
    <row r="152">
      <c r="A152" s="43" t="inlineStr">
        <is>
          <t>Tar Pit</t>
        </is>
      </c>
      <c r="B152" s="43" t="inlineStr">
        <is>
          <t>Dig Site</t>
        </is>
      </c>
      <c r="C152" s="43" t="inlineStr">
        <is>
          <t>cash and support</t>
        </is>
      </c>
      <c r="D152" s="56" t="n">
        <v>3</v>
      </c>
      <c r="E152" s="56">
        <f>ROUND('Towers'!$C$17*POWER('Tuning'!$B$12,D152),0)</f>
        <v/>
      </c>
      <c r="F152" s="56">
        <f>F151+E152</f>
        <v/>
      </c>
      <c r="G152" s="57" t="n">
        <v>1</v>
      </c>
      <c r="H152" s="57" t="n">
        <v>1</v>
      </c>
      <c r="I152" s="57" t="n">
        <v>1</v>
      </c>
      <c r="J152" s="92">
        <f>'Towers'!$G$17*G152*H152*I152</f>
        <v/>
      </c>
      <c r="K152" s="92">
        <f>IF(J152=0,0,F152/J152)</f>
        <v/>
      </c>
      <c r="L152" s="57" t="n">
        <v>1</v>
      </c>
      <c r="M152" s="43" t="inlineStr">
        <is>
          <t>Lucky Finds</t>
        </is>
      </c>
      <c r="CD152" s="81" t="n">
        <v>6</v>
      </c>
      <c r="CE152" s="81" t="n">
        <v>10</v>
      </c>
    </row>
    <row r="153">
      <c r="A153" s="43" t="inlineStr">
        <is>
          <t>Tar Pit</t>
        </is>
      </c>
      <c r="B153" s="43" t="inlineStr">
        <is>
          <t>Dig Site</t>
        </is>
      </c>
      <c r="C153" s="43" t="inlineStr">
        <is>
          <t>cash and support</t>
        </is>
      </c>
      <c r="D153" s="56" t="n">
        <v>4</v>
      </c>
      <c r="E153" s="56">
        <f>ROUND('Towers'!$C$17*POWER('Tuning'!$B$12,D153),0)</f>
        <v/>
      </c>
      <c r="F153" s="56">
        <f>F152+E153</f>
        <v/>
      </c>
      <c r="G153" s="57" t="n">
        <v>1</v>
      </c>
      <c r="H153" s="57" t="n">
        <v>1</v>
      </c>
      <c r="I153" s="57" t="n">
        <v>1</v>
      </c>
      <c r="J153" s="92">
        <f>J152*G153*H153*I153</f>
        <v/>
      </c>
      <c r="K153" s="92">
        <f>IF(J153=0,0,F153/J153)</f>
        <v/>
      </c>
      <c r="L153" s="57" t="n">
        <v>1</v>
      </c>
      <c r="M153" s="43" t="inlineStr">
        <is>
          <t>Tar Tracks</t>
        </is>
      </c>
      <c r="CD153" s="81" t="n">
        <v>25</v>
      </c>
      <c r="CE153" s="81" t="n">
        <v>40</v>
      </c>
      <c r="CG153" s="81" t="n">
        <v>15</v>
      </c>
      <c r="CI153" s="81" t="inlineStr">
        <is>
          <t>A</t>
        </is>
      </c>
      <c r="CJ153" s="81" t="inlineStr">
        <is>
          <t>Dinos leaving the tar leave a slowing trail</t>
        </is>
      </c>
    </row>
    <row r="154">
      <c r="A154" s="43" t="inlineStr">
        <is>
          <t>Tar Pit</t>
        </is>
      </c>
      <c r="B154" s="43" t="inlineStr">
        <is>
          <t>Dig Site</t>
        </is>
      </c>
      <c r="C154" s="43" t="inlineStr">
        <is>
          <t>cash and support</t>
        </is>
      </c>
      <c r="D154" s="56" t="n">
        <v>5</v>
      </c>
      <c r="E154" s="56">
        <f>ROUND('Towers'!$C$17*POWER('Tuning'!$B$12,D154),0)</f>
        <v/>
      </c>
      <c r="F154" s="56">
        <f>F153+E154</f>
        <v/>
      </c>
      <c r="G154" s="57" t="n">
        <v>1</v>
      </c>
      <c r="H154" s="57" t="n">
        <v>1</v>
      </c>
      <c r="I154" s="57" t="n">
        <v>1</v>
      </c>
      <c r="J154" s="92">
        <f>J153*G154*H154*I154</f>
        <v/>
      </c>
      <c r="K154" s="92">
        <f>IF(J154=0,0,F154/J154)</f>
        <v/>
      </c>
      <c r="L154" s="57" t="n">
        <v>1</v>
      </c>
      <c r="M154" s="43" t="inlineStr">
        <is>
          <t>Tar Totem</t>
        </is>
      </c>
      <c r="CD154" s="81" t="n"/>
      <c r="CE154" s="81" t="n"/>
      <c r="CG154" s="81" t="n"/>
      <c r="CH154" s="81" t="n">
        <v>15</v>
      </c>
      <c r="CI154" s="81" t="inlineStr">
        <is>
          <t>A</t>
        </is>
      </c>
      <c r="CJ154" s="81" t="inlineStr">
        <is>
          <t>Towers in range hit slowed dinos harder</t>
        </is>
      </c>
    </row>
    <row r="155">
      <c r="A155" s="43" t="inlineStr">
        <is>
          <t>Harpoon Ballista</t>
        </is>
      </c>
      <c r="B155" s="43" t="inlineStr">
        <is>
          <t>Spearhead</t>
        </is>
      </c>
      <c r="C155" s="43" t="inlineStr">
        <is>
          <t>raw damage, breaks</t>
        </is>
      </c>
      <c r="D155" s="56" t="n">
        <v>1</v>
      </c>
      <c r="E155" s="56">
        <f>ROUND('Towers'!$C$18*POWER('Tuning'!$B$12,D155),0)</f>
        <v/>
      </c>
      <c r="F155" s="56">
        <f>'Towers'!$C$18+E155</f>
        <v/>
      </c>
      <c r="G155" s="57" t="n">
        <v>1.9</v>
      </c>
      <c r="H155" s="57" t="n">
        <v>1</v>
      </c>
      <c r="I155" s="57" t="n">
        <v>1</v>
      </c>
      <c r="J155" s="92">
        <f>'Towers'!$G$18*G155*H155*I155</f>
        <v/>
      </c>
      <c r="K155" s="92">
        <f>IF(J155=0,0,F155/J155)</f>
        <v/>
      </c>
      <c r="L155" s="57" t="n">
        <v>1</v>
      </c>
      <c r="M155" s="43" t="inlineStr">
        <is>
          <t>Steel Head</t>
        </is>
      </c>
    </row>
    <row r="156">
      <c r="A156" s="43" t="inlineStr">
        <is>
          <t>Harpoon Ballista</t>
        </is>
      </c>
      <c r="B156" s="43" t="inlineStr">
        <is>
          <t>Spearhead</t>
        </is>
      </c>
      <c r="C156" s="43" t="inlineStr">
        <is>
          <t>raw damage, breaks</t>
        </is>
      </c>
      <c r="D156" s="56" t="n">
        <v>2</v>
      </c>
      <c r="E156" s="56">
        <f>ROUND('Towers'!$C$18*POWER('Tuning'!$B$12,D156),0)</f>
        <v/>
      </c>
      <c r="F156" s="56">
        <f>F155+E156</f>
        <v/>
      </c>
      <c r="G156" s="57" t="n">
        <v>3.61</v>
      </c>
      <c r="H156" s="57" t="n">
        <v>1</v>
      </c>
      <c r="I156" s="57" t="n">
        <v>1</v>
      </c>
      <c r="J156" s="92">
        <f>'Towers'!$G$18*G156*H156*I156</f>
        <v/>
      </c>
      <c r="K156" s="92">
        <f>IF(J156=0,0,F156/J156)</f>
        <v/>
      </c>
      <c r="L156" s="57" t="n">
        <v>1</v>
      </c>
      <c r="M156" s="43" t="inlineStr">
        <is>
          <t>Saw Tip</t>
        </is>
      </c>
    </row>
    <row r="157">
      <c r="A157" s="43" t="inlineStr">
        <is>
          <t>Harpoon Ballista</t>
        </is>
      </c>
      <c r="B157" s="43" t="inlineStr">
        <is>
          <t>Spearhead</t>
        </is>
      </c>
      <c r="C157" s="43" t="inlineStr">
        <is>
          <t>raw damage, breaks</t>
        </is>
      </c>
      <c r="D157" s="56" t="n">
        <v>3</v>
      </c>
      <c r="E157" s="56">
        <f>ROUND('Towers'!$C$18*POWER('Tuning'!$B$12,D157),0)</f>
        <v/>
      </c>
      <c r="F157" s="56">
        <f>F156+E157</f>
        <v/>
      </c>
      <c r="G157" s="57" t="n">
        <v>6.86</v>
      </c>
      <c r="H157" s="57" t="n">
        <v>1</v>
      </c>
      <c r="I157" s="57" t="n">
        <v>1</v>
      </c>
      <c r="J157" s="92">
        <f>'Towers'!$G$18*G157*H157*I157</f>
        <v/>
      </c>
      <c r="K157" s="92">
        <f>IF(J157=0,0,F157/J157)</f>
        <v/>
      </c>
      <c r="L157" s="57" t="n">
        <v>1</v>
      </c>
      <c r="M157" s="43" t="inlineStr">
        <is>
          <t>Crusher Bolt</t>
        </is>
      </c>
      <c r="BJ157" s="81" t="n">
        <v>2</v>
      </c>
    </row>
    <row r="158">
      <c r="A158" s="43" t="inlineStr">
        <is>
          <t>Harpoon Ballista</t>
        </is>
      </c>
      <c r="B158" s="43" t="inlineStr">
        <is>
          <t>Spearhead</t>
        </is>
      </c>
      <c r="C158" s="43" t="inlineStr">
        <is>
          <t>raw damage, breaks</t>
        </is>
      </c>
      <c r="D158" s="56" t="n">
        <v>4</v>
      </c>
      <c r="E158" s="56">
        <f>ROUND('Towers'!$C$18*POWER('Tuning'!$B$12,D158),0)</f>
        <v/>
      </c>
      <c r="F158" s="56">
        <f>F157+E158</f>
        <v/>
      </c>
      <c r="G158" s="57" t="n">
        <v>1.899416909621</v>
      </c>
      <c r="H158" s="57" t="n">
        <v>1</v>
      </c>
      <c r="I158" s="57" t="n">
        <v>1</v>
      </c>
      <c r="J158" s="92">
        <f>J157*G158*H158*I158</f>
        <v/>
      </c>
      <c r="K158" s="92">
        <f>IF(J158=0,0,F158/J158)</f>
        <v/>
      </c>
      <c r="L158" s="57" t="n">
        <v>1</v>
      </c>
      <c r="M158" s="43" t="inlineStr">
        <is>
          <t>Great Harpoon</t>
        </is>
      </c>
      <c r="N158" s="81" t="inlineStr">
        <is>
          <t>Yes</t>
        </is>
      </c>
      <c r="BJ158" s="81" t="n">
        <v>3</v>
      </c>
      <c r="CI158" s="81" t="inlineStr">
        <is>
          <t>A</t>
        </is>
      </c>
      <c r="CJ158" s="81" t="inlineStr">
        <is>
          <t>Pierces armour and shrinks a dino 3 sizes</t>
        </is>
      </c>
    </row>
    <row r="159">
      <c r="A159" s="43" t="inlineStr">
        <is>
          <t>Harpoon Ballista</t>
        </is>
      </c>
      <c r="B159" s="43" t="inlineStr">
        <is>
          <t>Spearhead</t>
        </is>
      </c>
      <c r="C159" s="43" t="inlineStr">
        <is>
          <t>raw damage, breaks</t>
        </is>
      </c>
      <c r="D159" s="56" t="n">
        <v>5</v>
      </c>
      <c r="E159" s="56">
        <f>ROUND('Towers'!$C$18*POWER('Tuning'!$B$12,D159),0)</f>
        <v/>
      </c>
      <c r="F159" s="56">
        <f>F158+E159</f>
        <v/>
      </c>
      <c r="G159" s="57" t="n">
        <v>1.900230237913</v>
      </c>
      <c r="H159" s="57" t="n">
        <v>1.15</v>
      </c>
      <c r="I159" s="57" t="n">
        <v>1</v>
      </c>
      <c r="J159" s="92">
        <f>J158*G159*H159*I159</f>
        <v/>
      </c>
      <c r="K159" s="92">
        <f>IF(J159=0,0,F159/J159)</f>
        <v/>
      </c>
      <c r="L159" s="57" t="n">
        <v>1</v>
      </c>
      <c r="M159" s="43" t="inlineStr">
        <is>
          <t>Skewer</t>
        </is>
      </c>
      <c r="N159" s="81" t="n"/>
      <c r="BJ159" s="81" t="n"/>
      <c r="BZ159" s="81" t="inlineStr">
        <is>
          <t>Yes</t>
        </is>
      </c>
      <c r="CI159" s="81" t="inlineStr">
        <is>
          <t>A</t>
        </is>
      </c>
      <c r="CJ159" s="81" t="inlineStr">
        <is>
          <t>The bolt flies on through every dino in its line</t>
        </is>
      </c>
    </row>
    <row r="160">
      <c r="A160" s="43" t="inlineStr">
        <is>
          <t>Harpoon Ballista</t>
        </is>
      </c>
      <c r="B160" s="43" t="inlineStr">
        <is>
          <t>Reel</t>
        </is>
      </c>
      <c r="C160" s="43" t="inlineStr">
        <is>
          <t>control</t>
        </is>
      </c>
      <c r="D160" s="56" t="n">
        <v>1</v>
      </c>
      <c r="E160" s="56">
        <f>ROUND('Towers'!$C$18*POWER('Tuning'!$B$12,D160),0)</f>
        <v/>
      </c>
      <c r="F160" s="56">
        <f>'Towers'!$C$18+E160</f>
        <v/>
      </c>
      <c r="G160" s="57" t="n">
        <v>1.3</v>
      </c>
      <c r="H160" s="57" t="n">
        <v>1</v>
      </c>
      <c r="I160" s="57" t="n">
        <v>1</v>
      </c>
      <c r="J160" s="92">
        <f>'Towers'!$G$18*G160*H160*I160</f>
        <v/>
      </c>
      <c r="K160" s="92">
        <f>IF(J160=0,0,F160/J160)</f>
        <v/>
      </c>
      <c r="L160" s="57" t="n">
        <v>1.1</v>
      </c>
      <c r="M160" s="43" t="inlineStr">
        <is>
          <t>Rope Line</t>
        </is>
      </c>
    </row>
    <row r="161">
      <c r="A161" s="43" t="inlineStr">
        <is>
          <t>Harpoon Ballista</t>
        </is>
      </c>
      <c r="B161" s="43" t="inlineStr">
        <is>
          <t>Reel</t>
        </is>
      </c>
      <c r="C161" s="43" t="inlineStr">
        <is>
          <t>control</t>
        </is>
      </c>
      <c r="D161" s="56" t="n">
        <v>2</v>
      </c>
      <c r="E161" s="56">
        <f>ROUND('Towers'!$C$18*POWER('Tuning'!$B$12,D161),0)</f>
        <v/>
      </c>
      <c r="F161" s="56">
        <f>F160+E161</f>
        <v/>
      </c>
      <c r="G161" s="57" t="n">
        <v>1.69</v>
      </c>
      <c r="H161" s="57" t="n">
        <v>1</v>
      </c>
      <c r="I161" s="57" t="n">
        <v>1</v>
      </c>
      <c r="J161" s="92">
        <f>'Towers'!$G$18*G161*H161*I161</f>
        <v/>
      </c>
      <c r="K161" s="92">
        <f>IF(J161=0,0,F161/J161)</f>
        <v/>
      </c>
      <c r="L161" s="57" t="n">
        <v>1.1</v>
      </c>
      <c r="M161" s="43" t="inlineStr">
        <is>
          <t>Winch</t>
        </is>
      </c>
    </row>
    <row r="162">
      <c r="A162" s="43" t="inlineStr">
        <is>
          <t>Harpoon Ballista</t>
        </is>
      </c>
      <c r="B162" s="43" t="inlineStr">
        <is>
          <t>Reel</t>
        </is>
      </c>
      <c r="C162" s="43" t="inlineStr">
        <is>
          <t>control</t>
        </is>
      </c>
      <c r="D162" s="56" t="n">
        <v>3</v>
      </c>
      <c r="E162" s="56">
        <f>ROUND('Towers'!$C$18*POWER('Tuning'!$B$12,D162),0)</f>
        <v/>
      </c>
      <c r="F162" s="56">
        <f>F161+E162</f>
        <v/>
      </c>
      <c r="G162" s="57" t="n">
        <v>2.2</v>
      </c>
      <c r="H162" s="57" t="n">
        <v>1</v>
      </c>
      <c r="I162" s="57" t="n">
        <v>1</v>
      </c>
      <c r="J162" s="92">
        <f>'Towers'!$G$18*G162*H162*I162</f>
        <v/>
      </c>
      <c r="K162" s="92">
        <f>IF(J162=0,0,F162/J162)</f>
        <v/>
      </c>
      <c r="L162" s="57" t="n">
        <v>1.1</v>
      </c>
      <c r="M162" s="43" t="inlineStr">
        <is>
          <t>Pin Down</t>
        </is>
      </c>
      <c r="U162" s="81" t="n">
        <v>1</v>
      </c>
    </row>
    <row r="163">
      <c r="A163" s="43" t="inlineStr">
        <is>
          <t>Harpoon Ballista</t>
        </is>
      </c>
      <c r="B163" s="43" t="inlineStr">
        <is>
          <t>Reel</t>
        </is>
      </c>
      <c r="C163" s="43" t="inlineStr">
        <is>
          <t>control</t>
        </is>
      </c>
      <c r="D163" s="56" t="n">
        <v>4</v>
      </c>
      <c r="E163" s="56">
        <f>ROUND('Towers'!$C$18*POWER('Tuning'!$B$12,D163),0)</f>
        <v/>
      </c>
      <c r="F163" s="56">
        <f>F162+E163</f>
        <v/>
      </c>
      <c r="G163" s="57" t="n">
        <v>1.3</v>
      </c>
      <c r="H163" s="57" t="n">
        <v>1</v>
      </c>
      <c r="I163" s="57" t="n">
        <v>1</v>
      </c>
      <c r="J163" s="92">
        <f>J162*G163*H163*I163</f>
        <v/>
      </c>
      <c r="K163" s="92">
        <f>IF(J163=0,0,F163/J163)</f>
        <v/>
      </c>
      <c r="L163" s="57" t="n">
        <v>1</v>
      </c>
      <c r="M163" s="43" t="inlineStr">
        <is>
          <t>Reel In</t>
        </is>
      </c>
      <c r="U163" s="81" t="n"/>
      <c r="W163" s="81" t="n">
        <v>6</v>
      </c>
      <c r="CI163" s="81" t="inlineStr">
        <is>
          <t>A</t>
        </is>
      </c>
      <c r="CJ163" s="81" t="inlineStr">
        <is>
          <t>Drags the hit dino back along the track (not bosses)</t>
        </is>
      </c>
    </row>
    <row r="164">
      <c r="A164" s="43" t="inlineStr">
        <is>
          <t>Harpoon Ballista</t>
        </is>
      </c>
      <c r="B164" s="43" t="inlineStr">
        <is>
          <t>Reel</t>
        </is>
      </c>
      <c r="C164" s="43" t="inlineStr">
        <is>
          <t>control</t>
        </is>
      </c>
      <c r="D164" s="56" t="n">
        <v>5</v>
      </c>
      <c r="E164" s="56">
        <f>ROUND('Towers'!$C$18*POWER('Tuning'!$B$12,D164),0)</f>
        <v/>
      </c>
      <c r="F164" s="56">
        <f>F163+E164</f>
        <v/>
      </c>
      <c r="G164" s="57" t="n">
        <v>1.297202797203</v>
      </c>
      <c r="H164" s="57" t="n">
        <v>1</v>
      </c>
      <c r="I164" s="57" t="n">
        <v>1</v>
      </c>
      <c r="J164" s="92">
        <f>J163*G164*H164*I164</f>
        <v/>
      </c>
      <c r="K164" s="92">
        <f>IF(J164=0,0,F164/J164)</f>
        <v/>
      </c>
      <c r="L164" s="57" t="n">
        <v>1</v>
      </c>
      <c r="M164" s="43" t="inlineStr">
        <is>
          <t>Tow Line</t>
        </is>
      </c>
      <c r="U164" s="81" t="n"/>
      <c r="W164" s="81" t="n"/>
      <c r="CA164" s="81" t="inlineStr">
        <is>
          <t>Yes</t>
        </is>
      </c>
      <c r="CI164" s="81" t="inlineStr">
        <is>
          <t>A</t>
        </is>
      </c>
      <c r="CJ164" s="81" t="inlineStr">
        <is>
          <t>Every 15 seconds, pulls a boss back along the track</t>
        </is>
      </c>
    </row>
    <row r="165">
      <c r="A165" s="43" t="inlineStr">
        <is>
          <t>Harpoon Ballista</t>
        </is>
      </c>
      <c r="B165" s="43" t="inlineStr">
        <is>
          <t>Volley</t>
        </is>
      </c>
      <c r="C165" s="43" t="inlineStr">
        <is>
          <t>more bolts</t>
        </is>
      </c>
      <c r="D165" s="56" t="n">
        <v>1</v>
      </c>
      <c r="E165" s="56">
        <f>ROUND('Towers'!$C$18*POWER('Tuning'!$B$12,D165),0)</f>
        <v/>
      </c>
      <c r="F165" s="56">
        <f>'Towers'!$C$18+E165</f>
        <v/>
      </c>
      <c r="G165" s="57" t="n">
        <v>1</v>
      </c>
      <c r="H165" s="57" t="n">
        <v>1</v>
      </c>
      <c r="I165" s="57" t="n">
        <v>1</v>
      </c>
      <c r="J165" s="92">
        <f>'Towers'!$G$18*G165*H165*I165</f>
        <v/>
      </c>
      <c r="K165" s="92">
        <f>IF(J165=0,0,F165/J165)</f>
        <v/>
      </c>
      <c r="L165" s="57" t="n">
        <v>1</v>
      </c>
      <c r="M165" s="43" t="inlineStr">
        <is>
          <t>Twin Bolts</t>
        </is>
      </c>
      <c r="Q165" s="81" t="n">
        <v>2</v>
      </c>
    </row>
    <row r="166">
      <c r="A166" s="43" t="inlineStr">
        <is>
          <t>Harpoon Ballista</t>
        </is>
      </c>
      <c r="B166" s="43" t="inlineStr">
        <is>
          <t>Volley</t>
        </is>
      </c>
      <c r="C166" s="43" t="inlineStr">
        <is>
          <t>more bolts</t>
        </is>
      </c>
      <c r="D166" s="56" t="n">
        <v>2</v>
      </c>
      <c r="E166" s="56">
        <f>ROUND('Towers'!$C$18*POWER('Tuning'!$B$12,D166),0)</f>
        <v/>
      </c>
      <c r="F166" s="56">
        <f>F165+E166</f>
        <v/>
      </c>
      <c r="G166" s="57" t="n">
        <v>1</v>
      </c>
      <c r="H166" s="57" t="n">
        <v>1.9</v>
      </c>
      <c r="I166" s="57" t="n">
        <v>1</v>
      </c>
      <c r="J166" s="92">
        <f>'Towers'!$G$18*G166*H166*I166</f>
        <v/>
      </c>
      <c r="K166" s="92">
        <f>IF(J166=0,0,F166/J166)</f>
        <v/>
      </c>
      <c r="L166" s="57" t="n">
        <v>1</v>
      </c>
      <c r="M166" s="43" t="inlineStr">
        <is>
          <t>Fast Crank</t>
        </is>
      </c>
      <c r="Q166" s="81" t="n">
        <v>2</v>
      </c>
    </row>
    <row r="167">
      <c r="A167" s="43" t="inlineStr">
        <is>
          <t>Harpoon Ballista</t>
        </is>
      </c>
      <c r="B167" s="43" t="inlineStr">
        <is>
          <t>Volley</t>
        </is>
      </c>
      <c r="C167" s="43" t="inlineStr">
        <is>
          <t>more bolts</t>
        </is>
      </c>
      <c r="D167" s="56" t="n">
        <v>3</v>
      </c>
      <c r="E167" s="56">
        <f>ROUND('Towers'!$C$18*POWER('Tuning'!$B$12,D167),0)</f>
        <v/>
      </c>
      <c r="F167" s="56">
        <f>F166+E167</f>
        <v/>
      </c>
      <c r="G167" s="57" t="n">
        <v>1.2</v>
      </c>
      <c r="H167" s="57" t="n">
        <v>1.9</v>
      </c>
      <c r="I167" s="57" t="n">
        <v>1</v>
      </c>
      <c r="J167" s="92">
        <f>'Towers'!$G$18*G167*H167*I167</f>
        <v/>
      </c>
      <c r="K167" s="92">
        <f>IF(J167=0,0,F167/J167)</f>
        <v/>
      </c>
      <c r="L167" s="57" t="n">
        <v>1</v>
      </c>
      <c r="M167" s="43" t="inlineStr">
        <is>
          <t>Spread Volley</t>
        </is>
      </c>
      <c r="Q167" s="81" t="n">
        <v>3</v>
      </c>
    </row>
    <row r="168">
      <c r="A168" s="43" t="inlineStr">
        <is>
          <t>Harpoon Ballista</t>
        </is>
      </c>
      <c r="B168" s="43" t="inlineStr">
        <is>
          <t>Volley</t>
        </is>
      </c>
      <c r="C168" s="43" t="inlineStr">
        <is>
          <t>more bolts</t>
        </is>
      </c>
      <c r="D168" s="56" t="n">
        <v>4</v>
      </c>
      <c r="E168" s="56">
        <f>ROUND('Towers'!$C$18*POWER('Tuning'!$B$12,D168),0)</f>
        <v/>
      </c>
      <c r="F168" s="56">
        <f>F167+E168</f>
        <v/>
      </c>
      <c r="G168" s="57" t="n">
        <v>1</v>
      </c>
      <c r="H168" s="57" t="n">
        <v>2</v>
      </c>
      <c r="I168" s="57" t="n">
        <v>1</v>
      </c>
      <c r="J168" s="92">
        <f>J167*G168*H168*I168</f>
        <v/>
      </c>
      <c r="K168" s="92">
        <f>IF(J168=0,0,F168/J168)</f>
        <v/>
      </c>
      <c r="L168" s="57" t="n">
        <v>1</v>
      </c>
      <c r="M168" s="43" t="inlineStr">
        <is>
          <t>Steam Crank</t>
        </is>
      </c>
      <c r="Q168" s="81" t="n"/>
      <c r="CI168" s="81" t="inlineStr">
        <is>
          <t>A</t>
        </is>
      </c>
      <c r="CJ168" s="81" t="inlineStr">
        <is>
          <t>Fires twice as fast</t>
        </is>
      </c>
    </row>
    <row r="169">
      <c r="A169" s="43" t="inlineStr">
        <is>
          <t>Harpoon Ballista</t>
        </is>
      </c>
      <c r="B169" s="43" t="inlineStr">
        <is>
          <t>Volley</t>
        </is>
      </c>
      <c r="C169" s="43" t="inlineStr">
        <is>
          <t>more bolts</t>
        </is>
      </c>
      <c r="D169" s="56" t="n">
        <v>5</v>
      </c>
      <c r="E169" s="56">
        <f>ROUND('Towers'!$C$18*POWER('Tuning'!$B$12,D169),0)</f>
        <v/>
      </c>
      <c r="F169" s="56">
        <f>F168+E169</f>
        <v/>
      </c>
      <c r="G169" s="57" t="n">
        <v>1.333333333333</v>
      </c>
      <c r="H169" s="57" t="n">
        <v>1</v>
      </c>
      <c r="I169" s="57" t="n">
        <v>1</v>
      </c>
      <c r="J169" s="92">
        <f>J168*G169*H169*I169</f>
        <v/>
      </c>
      <c r="K169" s="92">
        <f>IF(J169=0,0,F169/J169)</f>
        <v/>
      </c>
      <c r="L169" s="57" t="n">
        <v>1</v>
      </c>
      <c r="M169" s="43" t="inlineStr">
        <is>
          <t>Chain Harpoons</t>
        </is>
      </c>
      <c r="Q169" s="81" t="n">
        <v>4</v>
      </c>
      <c r="CB169" s="81" t="inlineStr">
        <is>
          <t>Yes</t>
        </is>
      </c>
      <c r="CI169" s="81" t="inlineStr">
        <is>
          <t>A</t>
        </is>
      </c>
      <c r="CJ169" s="81" t="inlineStr">
        <is>
          <t>Chained bolt pairs hit every dino between them</t>
        </is>
      </c>
    </row>
    <row r="170">
      <c r="A170" s="43" t="inlineStr">
        <is>
          <t>Hunting Blind</t>
        </is>
      </c>
      <c r="B170" s="43" t="inlineStr">
        <is>
          <t>Lookout</t>
        </is>
      </c>
      <c r="C170" s="43" t="inlineStr">
        <is>
          <t>range</t>
        </is>
      </c>
      <c r="D170" s="56" t="n">
        <v>4</v>
      </c>
      <c r="E170" s="56">
        <f>E8</f>
        <v/>
      </c>
      <c r="F170" s="56">
        <f>F8</f>
        <v/>
      </c>
      <c r="G170" s="57" t="n">
        <v>1.15</v>
      </c>
      <c r="H170" s="57" t="n">
        <v>1</v>
      </c>
      <c r="I170" s="57" t="n">
        <v>1</v>
      </c>
      <c r="J170" s="92" t="n"/>
      <c r="K170" s="92" t="n"/>
      <c r="L170" s="57" t="n">
        <v>1</v>
      </c>
      <c r="M170" s="43" t="inlineStr">
        <is>
          <t>Signal Mirror</t>
        </is>
      </c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  <c r="AA170" s="57" t="n"/>
      <c r="AB170" s="57" t="n">
        <v>18</v>
      </c>
      <c r="AC170" s="57" t="n"/>
      <c r="AD170" s="57" t="n"/>
      <c r="AE170" s="57" t="n"/>
      <c r="AF170" s="57" t="n"/>
      <c r="AG170" s="57" t="n"/>
      <c r="AH170" s="57" t="n"/>
      <c r="AI170" s="57" t="n"/>
      <c r="AJ170" s="57" t="n"/>
      <c r="AK170" s="57" t="n"/>
      <c r="AL170" s="57" t="n"/>
      <c r="AM170" s="57" t="n"/>
      <c r="AN170" s="57" t="n"/>
      <c r="AO170" s="57" t="n"/>
      <c r="AP170" s="57" t="n"/>
      <c r="AQ170" s="57" t="n"/>
      <c r="AR170" s="57" t="n"/>
      <c r="AS170" s="57" t="n"/>
      <c r="AT170" s="57" t="n"/>
      <c r="CI170" s="81" t="inlineStr">
        <is>
          <t>B</t>
        </is>
      </c>
      <c r="CJ170" s="81" t="inlineStr">
        <is>
          <t>Towers in range fire 18% faster</t>
        </is>
      </c>
    </row>
    <row r="171">
      <c r="A171" s="43" t="inlineStr">
        <is>
          <t>Hunting Blind</t>
        </is>
      </c>
      <c r="B171" s="43" t="inlineStr">
        <is>
          <t>Lookout</t>
        </is>
      </c>
      <c r="C171" s="43" t="inlineStr">
        <is>
          <t>range</t>
        </is>
      </c>
      <c r="D171" s="56" t="n">
        <v>4</v>
      </c>
      <c r="E171" s="56">
        <f>E8</f>
        <v/>
      </c>
      <c r="F171" s="56">
        <f>F8</f>
        <v/>
      </c>
      <c r="G171" s="57" t="n">
        <v>1.2</v>
      </c>
      <c r="H171" s="57" t="n">
        <v>1</v>
      </c>
      <c r="I171" s="57" t="n">
        <v>1</v>
      </c>
      <c r="J171" s="92" t="n"/>
      <c r="K171" s="92" t="n"/>
      <c r="L171" s="57" t="n">
        <v>1.1</v>
      </c>
      <c r="M171" s="43" t="inlineStr">
        <is>
          <t>Spotter's Call</t>
        </is>
      </c>
      <c r="N171" s="57" t="n"/>
      <c r="O171" s="57" t="n"/>
      <c r="P171" s="57" t="n"/>
      <c r="Q171" s="57" t="n"/>
      <c r="R171" s="57" t="n"/>
      <c r="S171" s="57" t="n"/>
      <c r="T171" s="57" t="n">
        <v>15</v>
      </c>
      <c r="U171" s="57" t="n"/>
      <c r="V171" s="57" t="n"/>
      <c r="W171" s="57" t="n"/>
      <c r="X171" s="57" t="n"/>
      <c r="Y171" s="57" t="n"/>
      <c r="Z171" s="57" t="n"/>
      <c r="AA171" s="57" t="n"/>
      <c r="AB171" s="57" t="n"/>
      <c r="AC171" s="57" t="n"/>
      <c r="AD171" s="57" t="n"/>
      <c r="AE171" s="57" t="n"/>
      <c r="AF171" s="57" t="n"/>
      <c r="AG171" s="57" t="n"/>
      <c r="AH171" s="57" t="n"/>
      <c r="AI171" s="57" t="n"/>
      <c r="AJ171" s="57" t="n"/>
      <c r="AK171" s="57" t="n"/>
      <c r="AL171" s="57" t="n"/>
      <c r="AM171" s="57" t="n"/>
      <c r="AN171" s="57" t="n"/>
      <c r="AO171" s="57" t="n"/>
      <c r="AP171" s="57" t="n"/>
      <c r="AQ171" s="57" t="n"/>
      <c r="AR171" s="57" t="n"/>
      <c r="AS171" s="57" t="n"/>
      <c r="AT171" s="57" t="n"/>
      <c r="CI171" s="81" t="inlineStr">
        <is>
          <t>C</t>
        </is>
      </c>
      <c r="CJ171" s="81" t="inlineStr">
        <is>
          <t>Its target takes +15% from every tower</t>
        </is>
      </c>
    </row>
    <row r="172">
      <c r="A172" s="43" t="inlineStr">
        <is>
          <t>Hunting Blind</t>
        </is>
      </c>
      <c r="B172" s="43" t="inlineStr">
        <is>
          <t>Lookout</t>
        </is>
      </c>
      <c r="C172" s="43" t="inlineStr">
        <is>
          <t>range</t>
        </is>
      </c>
      <c r="D172" s="56" t="n">
        <v>5</v>
      </c>
      <c r="E172" s="56">
        <f>E9</f>
        <v/>
      </c>
      <c r="F172" s="56">
        <f>F9</f>
        <v/>
      </c>
      <c r="G172" s="57" t="n">
        <v>1.4</v>
      </c>
      <c r="H172" s="57" t="n">
        <v>1</v>
      </c>
      <c r="I172" s="57" t="n">
        <v>1</v>
      </c>
      <c r="J172" s="92" t="n"/>
      <c r="K172" s="92" t="n"/>
      <c r="L172" s="57" t="n">
        <v>1.15</v>
      </c>
      <c r="M172" s="43" t="inlineStr">
        <is>
          <t>Beacon Fire</t>
        </is>
      </c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  <c r="AA172" s="57" t="n"/>
      <c r="AB172" s="57" t="n">
        <v>35</v>
      </c>
      <c r="AC172" s="57" t="n"/>
      <c r="AD172" s="46" t="n"/>
      <c r="AE172" s="57" t="n"/>
      <c r="AF172" s="57" t="n"/>
      <c r="AG172" s="57" t="n"/>
      <c r="AH172" s="57" t="n"/>
      <c r="AI172" s="57" t="n"/>
      <c r="AJ172" s="57" t="n"/>
      <c r="AK172" s="57" t="n"/>
      <c r="AL172" s="57" t="n"/>
      <c r="AM172" s="57" t="n"/>
      <c r="AN172" s="57" t="n"/>
      <c r="AO172" s="57" t="n"/>
      <c r="AP172" s="57" t="n"/>
      <c r="AQ172" s="57" t="n"/>
      <c r="AR172" s="57" t="n"/>
      <c r="AS172" s="57" t="n"/>
      <c r="AT172" s="57" t="n"/>
      <c r="CI172" s="81" t="inlineStr">
        <is>
          <t>B</t>
        </is>
      </c>
      <c r="CJ172" s="81" t="inlineStr">
        <is>
          <t>Towers in range fire 35% faster</t>
        </is>
      </c>
    </row>
    <row r="173">
      <c r="A173" s="43" t="inlineStr">
        <is>
          <t>Hunting Blind</t>
        </is>
      </c>
      <c r="B173" s="43" t="inlineStr">
        <is>
          <t>Lookout</t>
        </is>
      </c>
      <c r="C173" s="43" t="inlineStr">
        <is>
          <t>range</t>
        </is>
      </c>
      <c r="D173" s="56" t="n">
        <v>5</v>
      </c>
      <c r="E173" s="56">
        <f>E9</f>
        <v/>
      </c>
      <c r="F173" s="56">
        <f>F9</f>
        <v/>
      </c>
      <c r="G173" s="57" t="n">
        <v>1.55</v>
      </c>
      <c r="H173" s="57" t="n">
        <v>1</v>
      </c>
      <c r="I173" s="57" t="n">
        <v>1</v>
      </c>
      <c r="J173" s="92" t="n"/>
      <c r="K173" s="92" t="n"/>
      <c r="L173" s="57" t="n">
        <v>1.1</v>
      </c>
      <c r="M173" s="43" t="inlineStr">
        <is>
          <t>Alpha Spotter</t>
        </is>
      </c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  <c r="Z173" s="57" t="n"/>
      <c r="AA173" s="57" t="n"/>
      <c r="AB173" s="57" t="n"/>
      <c r="AC173" s="57" t="n"/>
      <c r="AD173" s="46" t="n"/>
      <c r="AE173" s="57" t="n"/>
      <c r="AF173" s="57" t="n"/>
      <c r="AG173" s="57" t="n"/>
      <c r="AH173" s="57" t="n"/>
      <c r="AI173" s="57" t="n"/>
      <c r="AJ173" s="57" t="n"/>
      <c r="AK173" s="57" t="n"/>
      <c r="AL173" s="57" t="n"/>
      <c r="AM173" s="57" t="n"/>
      <c r="AN173" s="57" t="n"/>
      <c r="AO173" s="57" t="n"/>
      <c r="AP173" s="57" t="n"/>
      <c r="AQ173" s="57" t="n"/>
      <c r="AR173" s="57" t="n"/>
      <c r="AS173" s="57" t="n"/>
      <c r="AT173" s="57" t="n"/>
      <c r="BX173" s="81" t="n">
        <v>40</v>
      </c>
      <c r="CI173" s="81" t="inlineStr">
        <is>
          <t>C</t>
        </is>
      </c>
      <c r="CJ173" s="81" t="inlineStr">
        <is>
          <t>Bosses in range take +40% from everything</t>
        </is>
      </c>
    </row>
    <row r="174">
      <c r="A174" s="43" t="inlineStr">
        <is>
          <t>Hunting Blind</t>
        </is>
      </c>
      <c r="B174" s="43" t="inlineStr">
        <is>
          <t>Trigger Happy</t>
        </is>
      </c>
      <c r="C174" s="43" t="inlineStr">
        <is>
          <t>rate</t>
        </is>
      </c>
      <c r="D174" s="56" t="n">
        <v>4</v>
      </c>
      <c r="E174" s="56">
        <f>E13</f>
        <v/>
      </c>
      <c r="F174" s="56">
        <f>F13</f>
        <v/>
      </c>
      <c r="G174" s="57" t="n">
        <v>1.05</v>
      </c>
      <c r="H174" s="57" t="n">
        <v>1.45</v>
      </c>
      <c r="I174" s="57" t="n">
        <v>1</v>
      </c>
      <c r="J174" s="92" t="n"/>
      <c r="K174" s="92" t="n"/>
      <c r="L174" s="57" t="n">
        <v>1</v>
      </c>
      <c r="M174" s="43" t="inlineStr">
        <is>
          <t>Belt Feed</t>
        </is>
      </c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  <c r="AA174" s="57" t="n"/>
      <c r="AB174" s="57" t="n"/>
      <c r="AC174" s="57" t="n"/>
      <c r="AD174" s="57" t="n"/>
      <c r="AE174" s="57" t="n"/>
      <c r="AF174" s="57" t="n"/>
      <c r="AG174" s="57" t="n"/>
      <c r="AH174" s="57" t="n"/>
      <c r="AI174" s="57" t="n"/>
      <c r="AJ174" s="57" t="n"/>
      <c r="AK174" s="57" t="n"/>
      <c r="AL174" s="57" t="n"/>
      <c r="AM174" s="57" t="n"/>
      <c r="AN174" s="57" t="n"/>
      <c r="AO174" s="57" t="n"/>
      <c r="AP174" s="57" t="n"/>
      <c r="AQ174" s="57" t="n"/>
      <c r="AR174" s="57" t="n"/>
      <c r="AS174" s="57" t="n"/>
      <c r="AT174" s="57" t="n"/>
      <c r="CI174" s="81" t="inlineStr">
        <is>
          <t>B</t>
        </is>
      </c>
      <c r="CJ174" s="81" t="inlineStr">
        <is>
          <t>Never stops to reload: fires 45% faster</t>
        </is>
      </c>
    </row>
    <row r="175">
      <c r="A175" s="43" t="inlineStr">
        <is>
          <t>Hunting Blind</t>
        </is>
      </c>
      <c r="B175" s="43" t="inlineStr">
        <is>
          <t>Trigger Happy</t>
        </is>
      </c>
      <c r="C175" s="43" t="inlineStr">
        <is>
          <t>rate</t>
        </is>
      </c>
      <c r="D175" s="56" t="n">
        <v>4</v>
      </c>
      <c r="E175" s="56">
        <f>E13</f>
        <v/>
      </c>
      <c r="F175" s="56">
        <f>F13</f>
        <v/>
      </c>
      <c r="G175" s="57" t="n">
        <v>1.2</v>
      </c>
      <c r="H175" s="57" t="n">
        <v>1.55</v>
      </c>
      <c r="I175" s="57" t="n">
        <v>1</v>
      </c>
      <c r="J175" s="92" t="n"/>
      <c r="K175" s="92" t="n"/>
      <c r="L175" s="57" t="n">
        <v>1.25</v>
      </c>
      <c r="M175" s="43" t="inlineStr">
        <is>
          <t>Long Burst</t>
        </is>
      </c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  <c r="AA175" s="57" t="n"/>
      <c r="AB175" s="57" t="n"/>
      <c r="AC175" s="57" t="n"/>
      <c r="AD175" s="57" t="n"/>
      <c r="AE175" s="57" t="n"/>
      <c r="AF175" s="57" t="n"/>
      <c r="AG175" s="57" t="n"/>
      <c r="AH175" s="57" t="n"/>
      <c r="AI175" s="57" t="n"/>
      <c r="AJ175" s="57" t="n"/>
      <c r="AK175" s="57" t="n"/>
      <c r="AL175" s="57" t="n"/>
      <c r="AM175" s="57" t="n"/>
      <c r="AN175" s="57" t="n"/>
      <c r="AO175" s="57" t="n"/>
      <c r="AP175" s="57" t="n"/>
      <c r="AQ175" s="57" t="n"/>
      <c r="AR175" s="57" t="n"/>
      <c r="AS175" s="57" t="n"/>
      <c r="AT175" s="57" t="n"/>
      <c r="CI175" s="81" t="inlineStr">
        <is>
          <t>C</t>
        </is>
      </c>
      <c r="CJ175" s="81" t="inlineStr">
        <is>
          <t>Fires faster from further away</t>
        </is>
      </c>
    </row>
    <row r="176">
      <c r="A176" s="43" t="inlineStr">
        <is>
          <t>Hunting Blind</t>
        </is>
      </c>
      <c r="B176" s="43" t="inlineStr">
        <is>
          <t>Trigger Happy</t>
        </is>
      </c>
      <c r="C176" s="43" t="inlineStr">
        <is>
          <t>rate</t>
        </is>
      </c>
      <c r="D176" s="56" t="n">
        <v>5</v>
      </c>
      <c r="E176" s="56">
        <f>E14</f>
        <v/>
      </c>
      <c r="F176" s="56">
        <f>F14</f>
        <v/>
      </c>
      <c r="G176" s="57" t="n">
        <v>0.8</v>
      </c>
      <c r="H176" s="57" t="n">
        <v>1</v>
      </c>
      <c r="I176" s="57" t="n">
        <v>1</v>
      </c>
      <c r="J176" s="92" t="n"/>
      <c r="K176" s="92" t="n"/>
      <c r="L176" s="57" t="n">
        <v>1</v>
      </c>
      <c r="M176" s="43" t="inlineStr">
        <is>
          <t>Bullet Storm</t>
        </is>
      </c>
      <c r="N176" s="57" t="n"/>
      <c r="O176" s="57" t="n"/>
      <c r="P176" s="57" t="n"/>
      <c r="Q176" s="57" t="n"/>
      <c r="R176" s="57" t="n">
        <v>4</v>
      </c>
      <c r="S176" s="57" t="n"/>
      <c r="T176" s="57" t="n"/>
      <c r="U176" s="57" t="n"/>
      <c r="V176" s="57" t="n"/>
      <c r="W176" s="57" t="n"/>
      <c r="X176" s="57" t="n"/>
      <c r="Y176" s="57" t="n"/>
      <c r="Z176" s="57" t="n"/>
      <c r="AA176" s="57" t="n"/>
      <c r="AB176" s="57" t="n"/>
      <c r="AC176" s="57" t="n"/>
      <c r="AD176" s="57" t="n"/>
      <c r="AE176" s="57" t="n"/>
      <c r="AF176" s="57" t="n"/>
      <c r="AG176" s="57" t="n"/>
      <c r="AH176" s="57" t="n"/>
      <c r="AI176" s="57" t="n"/>
      <c r="AJ176" s="57" t="n"/>
      <c r="AK176" s="57" t="n"/>
      <c r="AL176" s="57" t="n"/>
      <c r="AM176" s="57" t="n"/>
      <c r="AN176" s="57" t="n"/>
      <c r="AO176" s="57" t="n"/>
      <c r="AP176" s="57" t="n"/>
      <c r="AQ176" s="57" t="n"/>
      <c r="AR176" s="57" t="n"/>
      <c r="AS176" s="57" t="n"/>
      <c r="AT176" s="57" t="n"/>
      <c r="CI176" s="81" t="inlineStr">
        <is>
          <t>B</t>
        </is>
      </c>
      <c r="CJ176" s="81" t="inlineStr">
        <is>
          <t>Lighter bullets go through 4 dinos</t>
        </is>
      </c>
    </row>
    <row r="177">
      <c r="A177" s="43" t="inlineStr">
        <is>
          <t>Hunting Blind</t>
        </is>
      </c>
      <c r="B177" s="43" t="inlineStr">
        <is>
          <t>Trigger Happy</t>
        </is>
      </c>
      <c r="C177" s="43" t="inlineStr">
        <is>
          <t>rate</t>
        </is>
      </c>
      <c r="D177" s="56" t="n">
        <v>5</v>
      </c>
      <c r="E177" s="56">
        <f>E14</f>
        <v/>
      </c>
      <c r="F177" s="56">
        <f>F14</f>
        <v/>
      </c>
      <c r="G177" s="57" t="n">
        <v>1.55</v>
      </c>
      <c r="H177" s="57" t="n">
        <v>1.35</v>
      </c>
      <c r="I177" s="57" t="n">
        <v>1</v>
      </c>
      <c r="J177" s="92" t="n"/>
      <c r="K177" s="92" t="n"/>
      <c r="L177" s="57" t="n">
        <v>1</v>
      </c>
      <c r="M177" s="43" t="inlineStr">
        <is>
          <t>Shredder</t>
        </is>
      </c>
      <c r="N177" s="57" t="inlineStr">
        <is>
          <t>Yes</t>
        </is>
      </c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  <c r="AA177" s="57" t="n"/>
      <c r="AB177" s="57" t="n"/>
      <c r="AC177" s="57" t="n"/>
      <c r="AD177" s="57" t="n"/>
      <c r="AE177" s="57" t="n"/>
      <c r="AF177" s="57" t="n"/>
      <c r="AG177" s="57" t="n"/>
      <c r="AH177" s="57" t="n"/>
      <c r="AI177" s="57" t="n"/>
      <c r="AJ177" s="57" t="n"/>
      <c r="AK177" s="57" t="n"/>
      <c r="AL177" s="57" t="n"/>
      <c r="AM177" s="57" t="inlineStr">
        <is>
          <t>Yes</t>
        </is>
      </c>
      <c r="AN177" s="57" t="n"/>
      <c r="AO177" s="57" t="n"/>
      <c r="AP177" s="57" t="n"/>
      <c r="AQ177" s="57" t="n"/>
      <c r="AR177" s="57" t="n"/>
      <c r="AS177" s="57" t="n"/>
      <c r="AT177" s="57" t="n"/>
      <c r="CI177" s="81" t="inlineStr">
        <is>
          <t>C</t>
        </is>
      </c>
      <c r="CJ177" s="81" t="inlineStr">
        <is>
          <t>Bullets punch through armour and strip it</t>
        </is>
      </c>
    </row>
    <row r="178">
      <c r="A178" s="43" t="inlineStr">
        <is>
          <t>Hunting Blind</t>
        </is>
      </c>
      <c r="B178" s="43" t="inlineStr">
        <is>
          <t>Hardliner</t>
        </is>
      </c>
      <c r="C178" s="43" t="inlineStr">
        <is>
          <t>damage</t>
        </is>
      </c>
      <c r="D178" s="56" t="n">
        <v>4</v>
      </c>
      <c r="E178" s="56">
        <f>E18</f>
        <v/>
      </c>
      <c r="F178" s="56">
        <f>F18</f>
        <v/>
      </c>
      <c r="G178" s="57" t="n">
        <v>2.7</v>
      </c>
      <c r="H178" s="57" t="n">
        <v>1</v>
      </c>
      <c r="I178" s="57" t="n">
        <v>1</v>
      </c>
      <c r="J178" s="92" t="n"/>
      <c r="K178" s="92" t="n"/>
      <c r="L178" s="57" t="n">
        <v>1</v>
      </c>
      <c r="M178" s="43" t="inlineStr">
        <is>
          <t>Cracking Shot</t>
        </is>
      </c>
      <c r="N178" s="46" t="n"/>
      <c r="O178" s="57" t="n"/>
      <c r="P178" s="57" t="n"/>
      <c r="Q178" s="57" t="n"/>
      <c r="R178" s="57" t="n">
        <v>2</v>
      </c>
      <c r="S178" s="57" t="n"/>
      <c r="T178" s="57" t="n"/>
      <c r="U178" s="57" t="n"/>
      <c r="V178" s="57" t="n"/>
      <c r="W178" s="57" t="n"/>
      <c r="X178" s="57" t="n"/>
      <c r="Y178" s="57" t="n"/>
      <c r="Z178" s="57" t="n"/>
      <c r="AA178" s="57" t="n"/>
      <c r="AB178" s="57" t="n"/>
      <c r="AC178" s="57" t="n"/>
      <c r="AD178" s="57" t="n"/>
      <c r="AE178" s="57" t="n"/>
      <c r="AF178" s="57" t="n"/>
      <c r="AG178" s="57" t="n"/>
      <c r="AH178" s="57" t="n"/>
      <c r="AI178" s="57" t="n"/>
      <c r="AJ178" s="57" t="n"/>
      <c r="AK178" s="57" t="n"/>
      <c r="AL178" s="57" t="n"/>
      <c r="AM178" s="57" t="inlineStr">
        <is>
          <t>Yes</t>
        </is>
      </c>
      <c r="AN178" s="57" t="n"/>
      <c r="AO178" s="57" t="n"/>
      <c r="AP178" s="57" t="n"/>
      <c r="AQ178" s="57" t="n"/>
      <c r="AR178" s="57" t="n"/>
      <c r="AS178" s="57" t="n"/>
      <c r="AT178" s="57" t="n"/>
      <c r="BJ178" s="105" t="n"/>
      <c r="CI178" s="81" t="inlineStr">
        <is>
          <t>B</t>
        </is>
      </c>
      <c r="CJ178" s="81" t="inlineStr">
        <is>
          <t>Goes through 2 dinos and strips their armour</t>
        </is>
      </c>
    </row>
    <row r="179">
      <c r="A179" s="43" t="inlineStr">
        <is>
          <t>Hunting Blind</t>
        </is>
      </c>
      <c r="B179" s="43" t="inlineStr">
        <is>
          <t>Hardliner</t>
        </is>
      </c>
      <c r="C179" s="43" t="inlineStr">
        <is>
          <t>damage</t>
        </is>
      </c>
      <c r="D179" s="56" t="n">
        <v>4</v>
      </c>
      <c r="E179" s="56">
        <f>E18</f>
        <v/>
      </c>
      <c r="F179" s="56">
        <f>F18</f>
        <v/>
      </c>
      <c r="G179" s="57" t="n">
        <v>2.6</v>
      </c>
      <c r="H179" s="57" t="n">
        <v>1</v>
      </c>
      <c r="I179" s="57" t="n">
        <v>1</v>
      </c>
      <c r="J179" s="92" t="n"/>
      <c r="K179" s="92" t="n"/>
      <c r="L179" s="57" t="n">
        <v>1</v>
      </c>
      <c r="M179" s="43" t="inlineStr">
        <is>
          <t>Heavy Slug</t>
        </is>
      </c>
      <c r="N179" s="46" t="n"/>
      <c r="O179" s="57" t="n"/>
      <c r="P179" s="57" t="n"/>
      <c r="Q179" s="57" t="n"/>
      <c r="R179" s="57" t="n">
        <v>2</v>
      </c>
      <c r="S179" s="57" t="n"/>
      <c r="T179" s="57" t="n"/>
      <c r="U179" s="57" t="n"/>
      <c r="V179" s="57" t="n"/>
      <c r="W179" s="57" t="n"/>
      <c r="X179" s="57" t="n"/>
      <c r="Y179" s="57" t="n"/>
      <c r="Z179" s="57" t="n"/>
      <c r="AA179" s="57" t="n"/>
      <c r="AB179" s="57" t="n"/>
      <c r="AC179" s="57" t="n"/>
      <c r="AD179" s="57" t="n"/>
      <c r="AE179" s="57" t="n"/>
      <c r="AF179" s="57" t="n"/>
      <c r="AG179" s="57" t="n"/>
      <c r="AH179" s="57" t="n"/>
      <c r="AI179" s="57" t="n"/>
      <c r="AJ179" s="57" t="n"/>
      <c r="AK179" s="57" t="n"/>
      <c r="AL179" s="57" t="n"/>
      <c r="AM179" s="57" t="n"/>
      <c r="AN179" s="57" t="n"/>
      <c r="AO179" s="57" t="n"/>
      <c r="AP179" s="57" t="n"/>
      <c r="AQ179" s="57" t="n"/>
      <c r="AR179" s="57" t="n"/>
      <c r="AS179" s="57" t="n"/>
      <c r="AT179" s="57" t="n"/>
      <c r="BJ179" s="105" t="n">
        <v>3</v>
      </c>
      <c r="CI179" s="81" t="inlineStr">
        <is>
          <t>C</t>
        </is>
      </c>
      <c r="CJ179" s="81" t="inlineStr">
        <is>
          <t>Goes through 2 dinos, shrinking each 3 sizes</t>
        </is>
      </c>
    </row>
    <row r="180">
      <c r="A180" s="43" t="inlineStr">
        <is>
          <t>Hunting Blind</t>
        </is>
      </c>
      <c r="B180" s="43" t="inlineStr">
        <is>
          <t>Hardliner</t>
        </is>
      </c>
      <c r="C180" s="43" t="inlineStr">
        <is>
          <t>damage</t>
        </is>
      </c>
      <c r="D180" s="56" t="n">
        <v>5</v>
      </c>
      <c r="E180" s="56">
        <f>E19</f>
        <v/>
      </c>
      <c r="F180" s="56">
        <f>F19</f>
        <v/>
      </c>
      <c r="G180" s="57" t="n">
        <v>4.6</v>
      </c>
      <c r="H180" s="57" t="n">
        <v>1</v>
      </c>
      <c r="I180" s="57" t="n">
        <v>1</v>
      </c>
      <c r="J180" s="92" t="n"/>
      <c r="K180" s="92" t="n"/>
      <c r="L180" s="57" t="n">
        <v>1</v>
      </c>
      <c r="M180" s="43" t="inlineStr">
        <is>
          <t>Jolt Rounds</t>
        </is>
      </c>
      <c r="N180" s="46" t="n"/>
      <c r="O180" s="57" t="n">
        <v>2</v>
      </c>
      <c r="P180" s="57" t="n"/>
      <c r="Q180" s="57" t="n"/>
      <c r="R180" s="57" t="n"/>
      <c r="S180" s="57" t="n"/>
      <c r="T180" s="57" t="n"/>
      <c r="U180" s="57" t="n">
        <v>0.3</v>
      </c>
      <c r="V180" s="57" t="n"/>
      <c r="W180" s="57" t="n"/>
      <c r="X180" s="57" t="n"/>
      <c r="Y180" s="57" t="n"/>
      <c r="Z180" s="57" t="n"/>
      <c r="AA180" s="57" t="n"/>
      <c r="AB180" s="57" t="n"/>
      <c r="AC180" s="57" t="n"/>
      <c r="AD180" s="57" t="n"/>
      <c r="AE180" s="57" t="n"/>
      <c r="AF180" s="57" t="n"/>
      <c r="AG180" s="57" t="n"/>
      <c r="AH180" s="57" t="n"/>
      <c r="AI180" s="57" t="n"/>
      <c r="AJ180" s="57" t="n"/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BJ180" s="105" t="n"/>
      <c r="CI180" s="81" t="inlineStr">
        <is>
          <t>B</t>
        </is>
      </c>
      <c r="CJ180" s="81" t="inlineStr">
        <is>
          <t>Hits jolt dinos still for a moment</t>
        </is>
      </c>
    </row>
    <row r="181">
      <c r="A181" s="43" t="inlineStr">
        <is>
          <t>Hunting Blind</t>
        </is>
      </c>
      <c r="B181" s="43" t="inlineStr">
        <is>
          <t>Hardliner</t>
        </is>
      </c>
      <c r="C181" s="43" t="inlineStr">
        <is>
          <t>damage</t>
        </is>
      </c>
      <c r="D181" s="56" t="n">
        <v>5</v>
      </c>
      <c r="E181" s="56">
        <f>E19</f>
        <v/>
      </c>
      <c r="F181" s="56">
        <f>F19</f>
        <v/>
      </c>
      <c r="G181" s="57" t="n">
        <v>1.5</v>
      </c>
      <c r="H181" s="57" t="n">
        <v>1</v>
      </c>
      <c r="I181" s="57" t="n">
        <v>1</v>
      </c>
      <c r="J181" s="92" t="n"/>
      <c r="K181" s="92" t="n"/>
      <c r="L181" s="57" t="n">
        <v>1</v>
      </c>
      <c r="M181" s="43" t="inlineStr">
        <is>
          <t>Rail Lance</t>
        </is>
      </c>
      <c r="N181" s="46" t="n"/>
      <c r="O181" s="57" t="n">
        <v>1.5</v>
      </c>
      <c r="P181" s="57" t="n"/>
      <c r="Q181" s="57" t="n"/>
      <c r="R181" s="57" t="n">
        <v>6</v>
      </c>
      <c r="S181" s="57" t="n"/>
      <c r="T181" s="57" t="n"/>
      <c r="U181" s="57" t="n"/>
      <c r="V181" s="57" t="n"/>
      <c r="W181" s="57" t="n"/>
      <c r="X181" s="57" t="n"/>
      <c r="Y181" s="57" t="n"/>
      <c r="Z181" s="57" t="n"/>
      <c r="AA181" s="57" t="n"/>
      <c r="AB181" s="57" t="n"/>
      <c r="AC181" s="57" t="n"/>
      <c r="AD181" s="57" t="n"/>
      <c r="AE181" s="57" t="n"/>
      <c r="AF181" s="57" t="n"/>
      <c r="AG181" s="57" t="n"/>
      <c r="AH181" s="57" t="n"/>
      <c r="AI181" s="57" t="n"/>
      <c r="AJ181" s="57" t="n"/>
      <c r="AK181" s="57" t="n"/>
      <c r="AL181" s="57" t="n"/>
      <c r="AM181" s="57" t="n"/>
      <c r="AN181" s="57" t="n"/>
      <c r="AO181" s="57" t="n"/>
      <c r="AP181" s="57" t="n"/>
      <c r="AQ181" s="57" t="n"/>
      <c r="AR181" s="57" t="n"/>
      <c r="AS181" s="57" t="n"/>
      <c r="AT181" s="57" t="n"/>
      <c r="BJ181" s="105" t="n"/>
      <c r="CI181" s="81" t="inlineStr">
        <is>
          <t>C</t>
        </is>
      </c>
      <c r="CJ181" s="81" t="inlineStr">
        <is>
          <t>Each bullet goes through 6 dinos</t>
        </is>
      </c>
    </row>
    <row r="182">
      <c r="A182" s="43" t="inlineStr">
        <is>
          <t>Longshot Perch</t>
        </is>
      </c>
      <c r="B182" s="43" t="inlineStr">
        <is>
          <t>Deadeye</t>
        </is>
      </c>
      <c r="C182" s="43" t="inlineStr">
        <is>
          <t>targets</t>
        </is>
      </c>
      <c r="D182" s="56" t="n">
        <v>4</v>
      </c>
      <c r="E182" s="56">
        <f>E23</f>
        <v/>
      </c>
      <c r="F182" s="56">
        <f>F23</f>
        <v/>
      </c>
      <c r="G182" s="57" t="n">
        <v>1.45</v>
      </c>
      <c r="H182" s="57" t="n">
        <v>1</v>
      </c>
      <c r="I182" s="57" t="n">
        <v>1.2</v>
      </c>
      <c r="J182" s="92" t="n"/>
      <c r="K182" s="92" t="n"/>
      <c r="L182" s="57" t="n">
        <v>1</v>
      </c>
      <c r="M182" s="43" t="inlineStr">
        <is>
          <t>Wind Shear</t>
        </is>
      </c>
      <c r="N182" s="46" t="n"/>
      <c r="O182" s="57" t="n"/>
      <c r="P182" s="57" t="n"/>
      <c r="Q182" s="57" t="n"/>
      <c r="R182" s="57" t="n">
        <v>5</v>
      </c>
      <c r="S182" s="57" t="n"/>
      <c r="T182" s="57" t="n"/>
      <c r="U182" s="57" t="n"/>
      <c r="V182" s="57" t="n"/>
      <c r="W182" s="57" t="n">
        <v>3</v>
      </c>
      <c r="X182" s="57" t="n"/>
      <c r="Y182" s="57" t="n"/>
      <c r="Z182" s="57" t="n"/>
      <c r="AA182" s="57" t="n"/>
      <c r="AB182" s="57" t="n"/>
      <c r="AC182" s="57" t="n"/>
      <c r="AD182" s="57" t="n"/>
      <c r="AE182" s="57" t="n"/>
      <c r="AF182" s="57" t="n"/>
      <c r="AG182" s="57" t="n"/>
      <c r="AH182" s="57" t="n"/>
      <c r="AI182" s="57" t="n"/>
      <c r="AJ182" s="57" t="n"/>
      <c r="AK182" s="57" t="n"/>
      <c r="AL182" s="57" t="n"/>
      <c r="AM182" s="57" t="n"/>
      <c r="AN182" s="57" t="n"/>
      <c r="AO182" s="57" t="n"/>
      <c r="AP182" s="57" t="n"/>
      <c r="AQ182" s="57" t="n"/>
      <c r="AR182" s="57" t="n"/>
      <c r="AS182" s="57" t="n"/>
      <c r="AT182" s="57" t="n"/>
      <c r="BJ182" s="105" t="n"/>
      <c r="CI182" s="81" t="inlineStr">
        <is>
          <t>B</t>
        </is>
      </c>
      <c r="CJ182" s="81" t="inlineStr">
        <is>
          <t>Shots shove the whole line 3 studs back</t>
        </is>
      </c>
    </row>
    <row r="183">
      <c r="A183" s="43" t="inlineStr">
        <is>
          <t>Longshot Perch</t>
        </is>
      </c>
      <c r="B183" s="43" t="inlineStr">
        <is>
          <t>Deadeye</t>
        </is>
      </c>
      <c r="C183" s="43" t="inlineStr">
        <is>
          <t>targets</t>
        </is>
      </c>
      <c r="D183" s="56" t="n">
        <v>4</v>
      </c>
      <c r="E183" s="56">
        <f>E23</f>
        <v/>
      </c>
      <c r="F183" s="56">
        <f>F23</f>
        <v/>
      </c>
      <c r="G183" s="57" t="n">
        <v>1.1</v>
      </c>
      <c r="H183" s="57" t="n">
        <v>1.45</v>
      </c>
      <c r="I183" s="57" t="n">
        <v>1</v>
      </c>
      <c r="J183" s="92" t="n"/>
      <c r="K183" s="92" t="n"/>
      <c r="L183" s="57" t="n">
        <v>1</v>
      </c>
      <c r="M183" s="43" t="inlineStr">
        <is>
          <t>Fast Bolt</t>
        </is>
      </c>
      <c r="N183" s="46" t="n"/>
      <c r="O183" s="57" t="n"/>
      <c r="P183" s="57" t="n"/>
      <c r="Q183" s="57" t="n"/>
      <c r="R183" s="57" t="n">
        <v>5</v>
      </c>
      <c r="S183" s="57" t="n"/>
      <c r="T183" s="57" t="n"/>
      <c r="U183" s="57" t="n"/>
      <c r="V183" s="57" t="n"/>
      <c r="W183" s="57" t="n"/>
      <c r="X183" s="57" t="n"/>
      <c r="Y183" s="57" t="n"/>
      <c r="Z183" s="57" t="n"/>
      <c r="AA183" s="57" t="n"/>
      <c r="AB183" s="57" t="n"/>
      <c r="AC183" s="57" t="n"/>
      <c r="AD183" s="57" t="n"/>
      <c r="AE183" s="57" t="n"/>
      <c r="AF183" s="57" t="n"/>
      <c r="AG183" s="57" t="n"/>
      <c r="AH183" s="57" t="n"/>
      <c r="AI183" s="57" t="n"/>
      <c r="AJ183" s="57" t="n"/>
      <c r="AK183" s="57" t="n"/>
      <c r="AL183" s="57" t="n"/>
      <c r="AM183" s="57" t="n"/>
      <c r="AN183" s="57" t="n"/>
      <c r="AO183" s="57" t="n"/>
      <c r="AP183" s="57" t="n"/>
      <c r="AQ183" s="57" t="n"/>
      <c r="AR183" s="57" t="n"/>
      <c r="AS183" s="57" t="n"/>
      <c r="AT183" s="57" t="n"/>
      <c r="BJ183" s="105" t="n"/>
      <c r="CI183" s="81" t="inlineStr">
        <is>
          <t>C</t>
        </is>
      </c>
      <c r="CJ183" s="81" t="inlineStr">
        <is>
          <t>Fires much faster through 5 dinos</t>
        </is>
      </c>
    </row>
    <row r="184">
      <c r="A184" s="43" t="inlineStr">
        <is>
          <t>Longshot Perch</t>
        </is>
      </c>
      <c r="B184" s="43" t="inlineStr">
        <is>
          <t>Deadeye</t>
        </is>
      </c>
      <c r="C184" s="43" t="inlineStr">
        <is>
          <t>targets</t>
        </is>
      </c>
      <c r="D184" s="56" t="n">
        <v>5</v>
      </c>
      <c r="E184" s="56">
        <f>E24</f>
        <v/>
      </c>
      <c r="F184" s="56">
        <f>F24</f>
        <v/>
      </c>
      <c r="G184" s="57" t="n">
        <v>1.55</v>
      </c>
      <c r="H184" s="57" t="n">
        <v>1.6</v>
      </c>
      <c r="I184" s="57" t="n">
        <v>1.2</v>
      </c>
      <c r="J184" s="92" t="n"/>
      <c r="K184" s="92" t="n"/>
      <c r="L184" s="57" t="n">
        <v>1</v>
      </c>
      <c r="M184" s="43" t="inlineStr">
        <is>
          <t>Piercing Gale</t>
        </is>
      </c>
      <c r="N184" s="46" t="n"/>
      <c r="O184" s="57" t="n"/>
      <c r="P184" s="57" t="n"/>
      <c r="Q184" s="57" t="n"/>
      <c r="R184" s="57" t="n">
        <v>8</v>
      </c>
      <c r="S184" s="57" t="n"/>
      <c r="T184" s="57" t="n"/>
      <c r="U184" s="57" t="n"/>
      <c r="V184" s="57" t="n"/>
      <c r="W184" s="57" t="n"/>
      <c r="X184" s="57" t="n"/>
      <c r="Y184" s="57" t="n"/>
      <c r="Z184" s="57" t="n"/>
      <c r="AA184" s="57" t="n"/>
      <c r="AB184" s="57" t="n"/>
      <c r="AC184" s="57" t="n"/>
      <c r="AD184" s="57" t="n"/>
      <c r="AE184" s="57" t="n"/>
      <c r="AF184" s="57" t="n"/>
      <c r="AG184" s="57" t="n"/>
      <c r="AH184" s="57" t="n"/>
      <c r="AI184" s="57" t="n"/>
      <c r="AJ184" s="57" t="n"/>
      <c r="AK184" s="57" t="n"/>
      <c r="AL184" s="57" t="n"/>
      <c r="AM184" s="57" t="n"/>
      <c r="AN184" s="57" t="n"/>
      <c r="AO184" s="57" t="n"/>
      <c r="AP184" s="57" t="n"/>
      <c r="AQ184" s="57" t="n"/>
      <c r="AR184" s="57" t="n"/>
      <c r="AS184" s="57" t="n"/>
      <c r="AT184" s="57" t="n"/>
      <c r="BJ184" s="105" t="n"/>
      <c r="CI184" s="81" t="inlineStr">
        <is>
          <t>B</t>
        </is>
      </c>
      <c r="CJ184" s="81" t="inlineStr">
        <is>
          <t>Fast shots through 8 dinos</t>
        </is>
      </c>
    </row>
    <row r="185">
      <c r="A185" s="43" t="inlineStr">
        <is>
          <t>Longshot Perch</t>
        </is>
      </c>
      <c r="B185" s="43" t="inlineStr">
        <is>
          <t>Deadeye</t>
        </is>
      </c>
      <c r="C185" s="43" t="inlineStr">
        <is>
          <t>targets</t>
        </is>
      </c>
      <c r="D185" s="56" t="n">
        <v>5</v>
      </c>
      <c r="E185" s="56">
        <f>E24</f>
        <v/>
      </c>
      <c r="F185" s="56">
        <f>F24</f>
        <v/>
      </c>
      <c r="G185" s="57" t="n">
        <v>2.4</v>
      </c>
      <c r="H185" s="57" t="n">
        <v>1</v>
      </c>
      <c r="I185" s="57" t="n">
        <v>1.2</v>
      </c>
      <c r="J185" s="92" t="n"/>
      <c r="K185" s="92" t="n"/>
      <c r="L185" s="57" t="n">
        <v>1</v>
      </c>
      <c r="M185" s="43" t="inlineStr">
        <is>
          <t>Shatterline</t>
        </is>
      </c>
      <c r="N185" s="46" t="n"/>
      <c r="O185" s="57" t="n"/>
      <c r="P185" s="57" t="n"/>
      <c r="Q185" s="57" t="n"/>
      <c r="R185" s="57" t="n">
        <v>8</v>
      </c>
      <c r="S185" s="57" t="n"/>
      <c r="T185" s="57" t="n"/>
      <c r="U185" s="57" t="n"/>
      <c r="V185" s="57" t="n"/>
      <c r="W185" s="57" t="n"/>
      <c r="X185" s="57" t="n"/>
      <c r="Y185" s="57" t="n"/>
      <c r="Z185" s="57" t="n"/>
      <c r="AA185" s="57" t="n"/>
      <c r="AB185" s="57" t="n"/>
      <c r="AC185" s="57" t="n"/>
      <c r="AD185" s="57" t="n"/>
      <c r="AE185" s="57" t="n"/>
      <c r="AF185" s="57" t="n"/>
      <c r="AG185" s="57" t="n"/>
      <c r="AH185" s="57" t="n"/>
      <c r="AI185" s="57" t="n"/>
      <c r="AJ185" s="57" t="n"/>
      <c r="AK185" s="57" t="n"/>
      <c r="AL185" s="57" t="n"/>
      <c r="AM185" s="57" t="inlineStr">
        <is>
          <t>Yes</t>
        </is>
      </c>
      <c r="AN185" s="57" t="n"/>
      <c r="AO185" s="57" t="n"/>
      <c r="AP185" s="57" t="n"/>
      <c r="AQ185" s="57" t="n"/>
      <c r="AR185" s="57" t="n"/>
      <c r="AS185" s="57" t="n"/>
      <c r="AT185" s="57" t="n"/>
      <c r="BJ185" s="105" t="n"/>
      <c r="CI185" s="81" t="inlineStr">
        <is>
          <t>C</t>
        </is>
      </c>
      <c r="CJ185" s="81" t="inlineStr">
        <is>
          <t>Every dino in the line loses its armour</t>
        </is>
      </c>
    </row>
    <row r="186">
      <c r="A186" s="43" t="inlineStr">
        <is>
          <t>Longshot Perch</t>
        </is>
      </c>
      <c r="B186" s="43" t="inlineStr">
        <is>
          <t>Spotter</t>
        </is>
      </c>
      <c r="C186" s="43" t="inlineStr">
        <is>
          <t>rate</t>
        </is>
      </c>
      <c r="D186" s="56" t="n">
        <v>4</v>
      </c>
      <c r="E186" s="56">
        <f>E28</f>
        <v/>
      </c>
      <c r="F186" s="56">
        <f>F28</f>
        <v/>
      </c>
      <c r="G186" s="57" t="n">
        <v>1.3</v>
      </c>
      <c r="H186" s="57" t="n">
        <v>1.3</v>
      </c>
      <c r="I186" s="57" t="n">
        <v>1</v>
      </c>
      <c r="J186" s="92" t="n"/>
      <c r="K186" s="92" t="n"/>
      <c r="L186" s="57" t="n">
        <v>1</v>
      </c>
      <c r="M186" s="43" t="inlineStr">
        <is>
          <t>Painted Target</t>
        </is>
      </c>
      <c r="N186" s="57" t="n"/>
      <c r="O186" s="57" t="n"/>
      <c r="P186" s="57" t="n"/>
      <c r="Q186" s="57" t="n"/>
      <c r="R186" s="57" t="n"/>
      <c r="S186" s="57" t="n"/>
      <c r="T186" s="57" t="n">
        <v>30</v>
      </c>
      <c r="U186" s="57" t="n"/>
      <c r="V186" s="57" t="n"/>
      <c r="W186" s="57" t="n"/>
      <c r="X186" s="57" t="n"/>
      <c r="Y186" s="57" t="n"/>
      <c r="Z186" s="57" t="n"/>
      <c r="AA186" s="57" t="n"/>
      <c r="AB186" s="57" t="n"/>
      <c r="AC186" s="57" t="n"/>
      <c r="AD186" s="57" t="n"/>
      <c r="AE186" s="57" t="n"/>
      <c r="AF186" s="57" t="n"/>
      <c r="AG186" s="57" t="n"/>
      <c r="AH186" s="57" t="n"/>
      <c r="AI186" s="57" t="n"/>
      <c r="AJ186" s="57" t="n"/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BX186" s="81" t="n">
        <v>25</v>
      </c>
      <c r="CI186" s="81" t="inlineStr">
        <is>
          <t>B</t>
        </is>
      </c>
      <c r="CJ186" s="81" t="inlineStr">
        <is>
          <t>Bosses in range take +25% too</t>
        </is>
      </c>
    </row>
    <row r="187">
      <c r="A187" s="43" t="inlineStr">
        <is>
          <t>Longshot Perch</t>
        </is>
      </c>
      <c r="B187" s="43" t="inlineStr">
        <is>
          <t>Spotter</t>
        </is>
      </c>
      <c r="C187" s="43" t="inlineStr">
        <is>
          <t>rate</t>
        </is>
      </c>
      <c r="D187" s="56" t="n">
        <v>4</v>
      </c>
      <c r="E187" s="56">
        <f>E28</f>
        <v/>
      </c>
      <c r="F187" s="56">
        <f>F28</f>
        <v/>
      </c>
      <c r="G187" s="57" t="n">
        <v>1.2</v>
      </c>
      <c r="H187" s="57" t="n">
        <v>1.65</v>
      </c>
      <c r="I187" s="57" t="n">
        <v>1</v>
      </c>
      <c r="J187" s="92" t="n"/>
      <c r="K187" s="92" t="n"/>
      <c r="L187" s="57" t="n">
        <v>1</v>
      </c>
      <c r="M187" s="43" t="inlineStr">
        <is>
          <t>Quick Spot</t>
        </is>
      </c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  <c r="AA187" s="57" t="n"/>
      <c r="AB187" s="57" t="n"/>
      <c r="AC187" s="57" t="n"/>
      <c r="AD187" s="57" t="n"/>
      <c r="AE187" s="57" t="n"/>
      <c r="AF187" s="57" t="n"/>
      <c r="AG187" s="57" t="n"/>
      <c r="AH187" s="57" t="n"/>
      <c r="AI187" s="57" t="n"/>
      <c r="AJ187" s="57" t="n"/>
      <c r="AK187" s="57" t="n"/>
      <c r="AL187" s="57" t="n"/>
      <c r="AM187" s="57" t="n"/>
      <c r="AN187" s="57" t="n"/>
      <c r="AO187" s="57" t="n"/>
      <c r="AP187" s="57" t="n"/>
      <c r="AQ187" s="57" t="n"/>
      <c r="AR187" s="57" t="n"/>
      <c r="AS187" s="57" t="n"/>
      <c r="AT187" s="57" t="n"/>
      <c r="CI187" s="81" t="inlineStr">
        <is>
          <t>C</t>
        </is>
      </c>
      <c r="CJ187" s="81" t="inlineStr">
        <is>
          <t>Fires much faster, marks more often</t>
        </is>
      </c>
    </row>
    <row r="188">
      <c r="A188" s="43" t="inlineStr">
        <is>
          <t>Longshot Perch</t>
        </is>
      </c>
      <c r="B188" s="43" t="inlineStr">
        <is>
          <t>Spotter</t>
        </is>
      </c>
      <c r="C188" s="43" t="inlineStr">
        <is>
          <t>rate</t>
        </is>
      </c>
      <c r="D188" s="56" t="n">
        <v>5</v>
      </c>
      <c r="E188" s="56">
        <f>E29</f>
        <v/>
      </c>
      <c r="F188" s="56">
        <f>F29</f>
        <v/>
      </c>
      <c r="G188" s="57" t="n">
        <v>1.3</v>
      </c>
      <c r="H188" s="57" t="n">
        <v>1.35</v>
      </c>
      <c r="I188" s="57" t="n">
        <v>1</v>
      </c>
      <c r="J188" s="92" t="n"/>
      <c r="K188" s="92" t="n"/>
      <c r="L188" s="57" t="n">
        <v>1</v>
      </c>
      <c r="M188" s="43" t="inlineStr">
        <is>
          <t>Spotter Network</t>
        </is>
      </c>
      <c r="N188" s="57" t="n"/>
      <c r="O188" s="57" t="n"/>
      <c r="P188" s="57" t="n"/>
      <c r="Q188" s="57" t="n"/>
      <c r="R188" s="57" t="n"/>
      <c r="S188" s="57" t="n"/>
      <c r="T188" s="57" t="n">
        <v>45</v>
      </c>
      <c r="U188" s="57" t="n"/>
      <c r="V188" s="57" t="n"/>
      <c r="W188" s="57" t="n"/>
      <c r="X188" s="57" t="n"/>
      <c r="Y188" s="57" t="n"/>
      <c r="Z188" s="57" t="n"/>
      <c r="AA188" s="57" t="n"/>
      <c r="AB188" s="57" t="n"/>
      <c r="AC188" s="57" t="n">
        <v>15</v>
      </c>
      <c r="AD188" s="57" t="n"/>
      <c r="AE188" s="57" t="n"/>
      <c r="AF188" s="57" t="n"/>
      <c r="AG188" s="57" t="n"/>
      <c r="AH188" s="57" t="n"/>
      <c r="AI188" s="57" t="n"/>
      <c r="AJ188" s="57" t="n"/>
      <c r="AK188" s="57" t="n"/>
      <c r="AL188" s="57" t="n"/>
      <c r="AM188" s="57" t="n"/>
      <c r="AN188" s="57" t="n"/>
      <c r="AO188" s="57" t="n"/>
      <c r="AP188" s="57" t="n"/>
      <c r="AQ188" s="57" t="n"/>
      <c r="AR188" s="57" t="n"/>
      <c r="AS188" s="57" t="n"/>
      <c r="AT188" s="57" t="n"/>
      <c r="CI188" s="81" t="inlineStr">
        <is>
          <t>B</t>
        </is>
      </c>
      <c r="CJ188" s="81" t="inlineStr">
        <is>
          <t>Towers in range hit 15% harder</t>
        </is>
      </c>
    </row>
    <row r="189">
      <c r="A189" s="43" t="inlineStr">
        <is>
          <t>Longshot Perch</t>
        </is>
      </c>
      <c r="B189" s="43" t="inlineStr">
        <is>
          <t>Spotter</t>
        </is>
      </c>
      <c r="C189" s="43" t="inlineStr">
        <is>
          <t>rate</t>
        </is>
      </c>
      <c r="D189" s="56" t="n">
        <v>5</v>
      </c>
      <c r="E189" s="56">
        <f>E29</f>
        <v/>
      </c>
      <c r="F189" s="56">
        <f>F29</f>
        <v/>
      </c>
      <c r="G189" s="57" t="n">
        <v>1.35</v>
      </c>
      <c r="H189" s="57" t="n">
        <v>1.4</v>
      </c>
      <c r="I189" s="57" t="n">
        <v>1</v>
      </c>
      <c r="J189" s="92" t="n"/>
      <c r="K189" s="92" t="n"/>
      <c r="L189" s="57" t="n">
        <v>1</v>
      </c>
      <c r="M189" s="43" t="inlineStr">
        <is>
          <t>Kill Order</t>
        </is>
      </c>
      <c r="N189" s="57" t="n"/>
      <c r="O189" s="57" t="n"/>
      <c r="P189" s="57" t="n"/>
      <c r="Q189" s="57" t="n"/>
      <c r="R189" s="57" t="n"/>
      <c r="S189" s="57" t="n"/>
      <c r="T189" s="57" t="n">
        <v>50</v>
      </c>
      <c r="U189" s="57" t="n"/>
      <c r="V189" s="57" t="n"/>
      <c r="W189" s="57" t="n"/>
      <c r="X189" s="57" t="n"/>
      <c r="Y189" s="57" t="n"/>
      <c r="Z189" s="57" t="n"/>
      <c r="AA189" s="57" t="n"/>
      <c r="AB189" s="57" t="n"/>
      <c r="AC189" s="57" t="n"/>
      <c r="AD189" s="57" t="n"/>
      <c r="AE189" s="57" t="n"/>
      <c r="AF189" s="57" t="n"/>
      <c r="AG189" s="57" t="n"/>
      <c r="AH189" s="57" t="n"/>
      <c r="AI189" s="57" t="n"/>
      <c r="AJ189" s="57" t="n"/>
      <c r="AK189" s="57" t="n"/>
      <c r="AL189" s="57" t="n"/>
      <c r="AM189" s="57" t="n"/>
      <c r="AN189" s="57" t="n"/>
      <c r="AO189" s="57" t="n"/>
      <c r="AP189" s="57" t="n"/>
      <c r="AQ189" s="57" t="n"/>
      <c r="AR189" s="57" t="n"/>
      <c r="AS189" s="57" t="n"/>
      <c r="AT189" s="57" t="n"/>
      <c r="BX189" s="81" t="n">
        <v>40</v>
      </c>
      <c r="CI189" s="81" t="inlineStr">
        <is>
          <t>C</t>
        </is>
      </c>
      <c r="CJ189" s="81" t="inlineStr">
        <is>
          <t>Every boss in range takes +40%</t>
        </is>
      </c>
    </row>
    <row r="190">
      <c r="A190" s="43" t="inlineStr">
        <is>
          <t>Longshot Perch</t>
        </is>
      </c>
      <c r="B190" s="43" t="inlineStr">
        <is>
          <t>Big Bore</t>
        </is>
      </c>
      <c r="C190" s="43" t="inlineStr">
        <is>
          <t>damage</t>
        </is>
      </c>
      <c r="D190" s="56" t="n">
        <v>4</v>
      </c>
      <c r="E190" s="56">
        <f>E33</f>
        <v/>
      </c>
      <c r="F190" s="56">
        <f>F33</f>
        <v/>
      </c>
      <c r="G190" s="57" t="n">
        <v>1.7</v>
      </c>
      <c r="H190" s="57" t="n">
        <v>1</v>
      </c>
      <c r="I190" s="57" t="n">
        <v>1</v>
      </c>
      <c r="J190" s="92" t="n"/>
      <c r="K190" s="92" t="n"/>
      <c r="L190" s="57" t="n">
        <v>1</v>
      </c>
      <c r="M190" s="43" t="inlineStr">
        <is>
          <t>Elephant Gun</t>
        </is>
      </c>
      <c r="N190" s="57" t="n"/>
      <c r="O190" s="57" t="n"/>
      <c r="P190" s="57" t="n">
        <v>2</v>
      </c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  <c r="AA190" s="57" t="n"/>
      <c r="AB190" s="57" t="n"/>
      <c r="AC190" s="57" t="n"/>
      <c r="AD190" s="57" t="n"/>
      <c r="AE190" s="57" t="n"/>
      <c r="AF190" s="57" t="n"/>
      <c r="AG190" s="57" t="n"/>
      <c r="AH190" s="57" t="n"/>
      <c r="AI190" s="57" t="n"/>
      <c r="AJ190" s="57" t="n"/>
      <c r="AK190" s="57" t="n"/>
      <c r="AL190" s="57" t="n"/>
      <c r="AM190" s="57" t="n"/>
      <c r="AN190" s="57" t="n"/>
      <c r="AO190" s="57" t="n"/>
      <c r="AP190" s="57" t="n"/>
      <c r="AQ190" s="57" t="n"/>
      <c r="AR190" s="57" t="n"/>
      <c r="AS190" s="57" t="n"/>
      <c r="AT190" s="57" t="n"/>
      <c r="BJ190" s="105" t="n"/>
      <c r="CI190" s="81" t="inlineStr">
        <is>
          <t>B</t>
        </is>
      </c>
      <c r="CJ190" s="81" t="inlineStr">
        <is>
          <t>Twice the damage against bosses</t>
        </is>
      </c>
    </row>
    <row r="191">
      <c r="A191" s="43" t="inlineStr">
        <is>
          <t>Longshot Perch</t>
        </is>
      </c>
      <c r="B191" s="43" t="inlineStr">
        <is>
          <t>Big Bore</t>
        </is>
      </c>
      <c r="C191" s="43" t="inlineStr">
        <is>
          <t>damage</t>
        </is>
      </c>
      <c r="D191" s="56" t="n">
        <v>4</v>
      </c>
      <c r="E191" s="56">
        <f>E33</f>
        <v/>
      </c>
      <c r="F191" s="56">
        <f>F33</f>
        <v/>
      </c>
      <c r="G191" s="57" t="n">
        <v>2.8</v>
      </c>
      <c r="H191" s="57" t="n">
        <v>1</v>
      </c>
      <c r="I191" s="57" t="n">
        <v>1</v>
      </c>
      <c r="J191" s="92" t="n"/>
      <c r="K191" s="92" t="n"/>
      <c r="L191" s="57" t="n">
        <v>1</v>
      </c>
      <c r="M191" s="43" t="inlineStr">
        <is>
          <t>Knockdown Round</t>
        </is>
      </c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>
        <v>4</v>
      </c>
      <c r="X191" s="57" t="n"/>
      <c r="Y191" s="57" t="n"/>
      <c r="Z191" s="57" t="n"/>
      <c r="AA191" s="57" t="n"/>
      <c r="AB191" s="57" t="n"/>
      <c r="AC191" s="57" t="n"/>
      <c r="AD191" s="57" t="n"/>
      <c r="AE191" s="57" t="n"/>
      <c r="AF191" s="57" t="n"/>
      <c r="AG191" s="57" t="n"/>
      <c r="AH191" s="57" t="n"/>
      <c r="AI191" s="57" t="n"/>
      <c r="AJ191" s="57" t="n"/>
      <c r="AK191" s="57" t="n"/>
      <c r="AL191" s="57" t="n"/>
      <c r="AM191" s="57" t="n"/>
      <c r="AN191" s="57" t="n"/>
      <c r="AO191" s="57" t="n"/>
      <c r="AP191" s="57" t="n"/>
      <c r="AQ191" s="57" t="n"/>
      <c r="AR191" s="57" t="n"/>
      <c r="AS191" s="57" t="n"/>
      <c r="AT191" s="57" t="n"/>
      <c r="BJ191" s="105" t="n">
        <v>3</v>
      </c>
      <c r="CI191" s="81" t="inlineStr">
        <is>
          <t>C</t>
        </is>
      </c>
      <c r="CJ191" s="81" t="inlineStr">
        <is>
          <t>Knocks the hit dino 4 studs back</t>
        </is>
      </c>
    </row>
    <row r="192">
      <c r="A192" s="43" t="inlineStr">
        <is>
          <t>Longshot Perch</t>
        </is>
      </c>
      <c r="B192" s="43" t="inlineStr">
        <is>
          <t>Big Bore</t>
        </is>
      </c>
      <c r="C192" s="43" t="inlineStr">
        <is>
          <t>damage</t>
        </is>
      </c>
      <c r="D192" s="56" t="n">
        <v>5</v>
      </c>
      <c r="E192" s="56">
        <f>E34</f>
        <v/>
      </c>
      <c r="F192" s="56">
        <f>F34</f>
        <v/>
      </c>
      <c r="G192" s="57" t="n">
        <v>1.9</v>
      </c>
      <c r="H192" s="57" t="n">
        <v>1</v>
      </c>
      <c r="I192" s="57" t="n">
        <v>1</v>
      </c>
      <c r="J192" s="92" t="n"/>
      <c r="K192" s="92" t="n"/>
      <c r="L192" s="57" t="n">
        <v>1</v>
      </c>
      <c r="M192" s="43" t="inlineStr">
        <is>
          <t>Bone Splitter</t>
        </is>
      </c>
      <c r="N192" s="57" t="n"/>
      <c r="O192" s="57" t="n"/>
      <c r="P192" s="57" t="n">
        <v>1.6</v>
      </c>
      <c r="Q192" s="57" t="n"/>
      <c r="R192" s="57" t="n"/>
      <c r="S192" s="57" t="n"/>
      <c r="T192" s="57" t="n"/>
      <c r="U192" s="57" t="n"/>
      <c r="V192" s="46" t="n"/>
      <c r="W192" s="57" t="n"/>
      <c r="X192" s="57" t="n"/>
      <c r="Y192" s="57" t="n"/>
      <c r="Z192" s="57" t="n"/>
      <c r="AA192" s="57" t="n"/>
      <c r="AB192" s="57" t="n"/>
      <c r="AC192" s="57" t="n"/>
      <c r="AD192" s="57" t="n"/>
      <c r="AE192" s="57" t="n"/>
      <c r="AF192" s="57" t="n"/>
      <c r="AG192" s="57" t="n"/>
      <c r="AH192" s="57" t="n"/>
      <c r="AI192" s="57" t="n"/>
      <c r="AJ192" s="57" t="n"/>
      <c r="AK192" s="57" t="n"/>
      <c r="AL192" s="57" t="n"/>
      <c r="AM192" s="57" t="n"/>
      <c r="AN192" s="57" t="n"/>
      <c r="AO192" s="57" t="n"/>
      <c r="AP192" s="57" t="n"/>
      <c r="AQ192" s="57" t="n"/>
      <c r="AR192" s="57" t="n"/>
      <c r="AS192" s="57" t="n"/>
      <c r="AT192" s="57" t="n"/>
      <c r="BJ192" s="105" t="n">
        <v>5</v>
      </c>
      <c r="CI192" s="81" t="inlineStr">
        <is>
          <t>B</t>
        </is>
      </c>
      <c r="CJ192" s="81" t="inlineStr">
        <is>
          <t>Each shot shrinks a dino 5 sizes</t>
        </is>
      </c>
    </row>
    <row r="193">
      <c r="A193" s="43" t="inlineStr">
        <is>
          <t>Longshot Perch</t>
        </is>
      </c>
      <c r="B193" s="43" t="inlineStr">
        <is>
          <t>Big Bore</t>
        </is>
      </c>
      <c r="C193" s="43" t="inlineStr">
        <is>
          <t>damage</t>
        </is>
      </c>
      <c r="D193" s="56" t="n">
        <v>5</v>
      </c>
      <c r="E193" s="56">
        <f>E34</f>
        <v/>
      </c>
      <c r="F193" s="56">
        <f>F34</f>
        <v/>
      </c>
      <c r="G193" s="57" t="n">
        <v>2.3</v>
      </c>
      <c r="H193" s="57" t="n">
        <v>1</v>
      </c>
      <c r="I193" s="57" t="n">
        <v>1</v>
      </c>
      <c r="J193" s="92" t="n"/>
      <c r="K193" s="92" t="n"/>
      <c r="L193" s="57" t="n">
        <v>1</v>
      </c>
      <c r="M193" s="43" t="inlineStr">
        <is>
          <t>Hammer Shot</t>
        </is>
      </c>
      <c r="N193" s="57" t="n"/>
      <c r="O193" s="57" t="n"/>
      <c r="P193" s="57" t="n"/>
      <c r="Q193" s="57" t="n"/>
      <c r="R193" s="57" t="n"/>
      <c r="S193" s="57" t="n"/>
      <c r="T193" s="57" t="n"/>
      <c r="U193" s="57" t="n">
        <v>1.2</v>
      </c>
      <c r="V193" s="46" t="n"/>
      <c r="W193" s="57" t="n">
        <v>6</v>
      </c>
      <c r="X193" s="57" t="n"/>
      <c r="Y193" s="57" t="n"/>
      <c r="Z193" s="57" t="n"/>
      <c r="AA193" s="57" t="n"/>
      <c r="AB193" s="57" t="n"/>
      <c r="AC193" s="57" t="n"/>
      <c r="AD193" s="57" t="n"/>
      <c r="AE193" s="57" t="n"/>
      <c r="AF193" s="57" t="n"/>
      <c r="AG193" s="57" t="n"/>
      <c r="AH193" s="57" t="n"/>
      <c r="AI193" s="57" t="n"/>
      <c r="AJ193" s="57" t="n"/>
      <c r="AK193" s="57" t="n"/>
      <c r="AL193" s="57" t="n"/>
      <c r="AM193" s="57" t="n"/>
      <c r="AN193" s="57" t="n"/>
      <c r="AO193" s="57" t="n"/>
      <c r="AP193" s="57" t="n"/>
      <c r="AQ193" s="57" t="n"/>
      <c r="AR193" s="57" t="n"/>
      <c r="AS193" s="57" t="n"/>
      <c r="AT193" s="57" t="n"/>
      <c r="BJ193" s="105" t="n"/>
      <c r="CI193" s="81" t="inlineStr">
        <is>
          <t>C</t>
        </is>
      </c>
      <c r="CJ193" s="81" t="inlineStr">
        <is>
          <t>Stuns 1.2 s and knocks 6 studs back</t>
        </is>
      </c>
    </row>
    <row r="194">
      <c r="A194" s="43" t="inlineStr">
        <is>
          <t>Mortar Pit</t>
        </is>
      </c>
      <c r="B194" s="43" t="inlineStr">
        <is>
          <t>Blast</t>
        </is>
      </c>
      <c r="C194" s="43" t="inlineStr">
        <is>
          <t>targets</t>
        </is>
      </c>
      <c r="D194" s="56" t="n">
        <v>4</v>
      </c>
      <c r="E194" s="56">
        <f>E38</f>
        <v/>
      </c>
      <c r="F194" s="56">
        <f>F38</f>
        <v/>
      </c>
      <c r="G194" s="57" t="n">
        <v>1.3</v>
      </c>
      <c r="H194" s="57" t="n">
        <v>1</v>
      </c>
      <c r="I194" s="57" t="n">
        <v>1.4</v>
      </c>
      <c r="J194" s="92" t="n"/>
      <c r="K194" s="92" t="n"/>
      <c r="L194" s="57" t="n">
        <v>1</v>
      </c>
      <c r="M194" s="43" t="inlineStr">
        <is>
          <t>Big Shell</t>
        </is>
      </c>
      <c r="N194" s="57" t="n"/>
      <c r="O194" s="57" t="n"/>
      <c r="P194" s="57" t="n"/>
      <c r="Q194" s="57" t="n"/>
      <c r="R194" s="57" t="n"/>
      <c r="S194" s="57" t="n">
        <v>1.3</v>
      </c>
      <c r="T194" s="57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7" t="n"/>
      <c r="AF194" s="57" t="n"/>
      <c r="AG194" s="57" t="n"/>
      <c r="AH194" s="57" t="n"/>
      <c r="AI194" s="57" t="n"/>
      <c r="AJ194" s="57" t="n"/>
      <c r="AK194" s="57" t="n"/>
      <c r="AL194" s="57" t="n"/>
      <c r="AM194" s="57" t="n"/>
      <c r="AN194" s="57" t="n"/>
      <c r="AO194" s="57" t="n"/>
      <c r="AP194" s="57" t="n"/>
      <c r="AQ194" s="57" t="n"/>
      <c r="AR194" s="57" t="n"/>
      <c r="AS194" s="57" t="n"/>
      <c r="AT194" s="57" t="n"/>
      <c r="CI194" s="81" t="inlineStr">
        <is>
          <t>B</t>
        </is>
      </c>
      <c r="CJ194" s="81" t="inlineStr">
        <is>
          <t>Much bigger blasts</t>
        </is>
      </c>
    </row>
    <row r="195">
      <c r="A195" s="43" t="inlineStr">
        <is>
          <t>Mortar Pit</t>
        </is>
      </c>
      <c r="B195" s="43" t="inlineStr">
        <is>
          <t>Blast</t>
        </is>
      </c>
      <c r="C195" s="43" t="inlineStr">
        <is>
          <t>targets</t>
        </is>
      </c>
      <c r="D195" s="56" t="n">
        <v>4</v>
      </c>
      <c r="E195" s="56">
        <f>E38</f>
        <v/>
      </c>
      <c r="F195" s="56">
        <f>F38</f>
        <v/>
      </c>
      <c r="G195" s="57" t="n">
        <v>1.4</v>
      </c>
      <c r="H195" s="57" t="n">
        <v>1</v>
      </c>
      <c r="I195" s="57" t="n">
        <v>1.3</v>
      </c>
      <c r="J195" s="92" t="n"/>
      <c r="K195" s="92" t="n"/>
      <c r="L195" s="57" t="n">
        <v>1</v>
      </c>
      <c r="M195" s="43" t="inlineStr">
        <is>
          <t>White Phosphorus</t>
        </is>
      </c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>
        <v>3</v>
      </c>
      <c r="Y195" s="57" t="n">
        <v>2</v>
      </c>
      <c r="Z195" s="57" t="n"/>
      <c r="AA195" s="57" t="n"/>
      <c r="AB195" s="57" t="n"/>
      <c r="AC195" s="57" t="n"/>
      <c r="AD195" s="57" t="n"/>
      <c r="AE195" s="57" t="n"/>
      <c r="AF195" s="57" t="n"/>
      <c r="AG195" s="57" t="n"/>
      <c r="AH195" s="57" t="n"/>
      <c r="AI195" s="57" t="n"/>
      <c r="AJ195" s="57" t="n"/>
      <c r="AK195" s="57" t="n"/>
      <c r="AL195" s="57" t="n"/>
      <c r="AM195" s="57" t="n"/>
      <c r="AN195" s="57" t="n"/>
      <c r="AO195" s="57" t="n"/>
      <c r="AP195" s="57" t="n"/>
      <c r="AQ195" s="57" t="n"/>
      <c r="AR195" s="57" t="n"/>
      <c r="AS195" s="57" t="n"/>
      <c r="AT195" s="57" t="n"/>
      <c r="CI195" s="81" t="inlineStr">
        <is>
          <t>C</t>
        </is>
      </c>
      <c r="CJ195" s="81" t="inlineStr">
        <is>
          <t>A short, very hot burning patch</t>
        </is>
      </c>
    </row>
    <row r="196">
      <c r="A196" s="43" t="inlineStr">
        <is>
          <t>Mortar Pit</t>
        </is>
      </c>
      <c r="B196" s="43" t="inlineStr">
        <is>
          <t>Blast</t>
        </is>
      </c>
      <c r="C196" s="43" t="inlineStr">
        <is>
          <t>targets</t>
        </is>
      </c>
      <c r="D196" s="56" t="n">
        <v>5</v>
      </c>
      <c r="E196" s="56">
        <f>E39</f>
        <v/>
      </c>
      <c r="F196" s="56">
        <f>F39</f>
        <v/>
      </c>
      <c r="G196" s="57" t="n">
        <v>1.5</v>
      </c>
      <c r="H196" s="57" t="n">
        <v>1</v>
      </c>
      <c r="I196" s="57" t="n">
        <v>1.4</v>
      </c>
      <c r="J196" s="92" t="n"/>
      <c r="K196" s="92" t="n"/>
      <c r="L196" s="57" t="n">
        <v>1</v>
      </c>
      <c r="M196" s="43" t="inlineStr">
        <is>
          <t>Blast Furnace</t>
        </is>
      </c>
      <c r="N196" s="57" t="n"/>
      <c r="O196" s="57" t="n"/>
      <c r="P196" s="57" t="n"/>
      <c r="Q196" s="57" t="n"/>
      <c r="R196" s="57" t="n"/>
      <c r="S196" s="57" t="n">
        <v>1.3</v>
      </c>
      <c r="T196" s="57" t="n"/>
      <c r="U196" s="57" t="n"/>
      <c r="V196" s="57" t="n"/>
      <c r="W196" s="57" t="n"/>
      <c r="X196" s="57" t="n"/>
      <c r="Y196" s="57" t="n"/>
      <c r="Z196" s="57" t="n"/>
      <c r="AA196" s="57" t="n"/>
      <c r="AB196" s="57" t="n"/>
      <c r="AC196" s="57" t="n"/>
      <c r="AD196" s="57" t="n"/>
      <c r="AE196" s="57" t="n"/>
      <c r="AF196" s="57" t="n"/>
      <c r="AG196" s="57" t="n"/>
      <c r="AH196" s="57" t="n"/>
      <c r="AI196" s="57" t="n"/>
      <c r="AJ196" s="57" t="n"/>
      <c r="AK196" s="57" t="n"/>
      <c r="AL196" s="57" t="n"/>
      <c r="AM196" s="57" t="n"/>
      <c r="AN196" s="57" t="n"/>
      <c r="AO196" s="57" t="n"/>
      <c r="AP196" s="57" t="n"/>
      <c r="AQ196" s="57" t="n"/>
      <c r="AR196" s="57" t="n"/>
      <c r="AS196" s="57" t="n"/>
      <c r="AT196" s="57" t="n"/>
      <c r="CI196" s="81" t="inlineStr">
        <is>
          <t>B</t>
        </is>
      </c>
      <c r="CJ196" s="81" t="inlineStr">
        <is>
          <t>Huge blasts that hit harder</t>
        </is>
      </c>
    </row>
    <row r="197">
      <c r="A197" s="43" t="inlineStr">
        <is>
          <t>Mortar Pit</t>
        </is>
      </c>
      <c r="B197" s="43" t="inlineStr">
        <is>
          <t>Blast</t>
        </is>
      </c>
      <c r="C197" s="43" t="inlineStr">
        <is>
          <t>targets</t>
        </is>
      </c>
      <c r="D197" s="56" t="n">
        <v>5</v>
      </c>
      <c r="E197" s="56">
        <f>E39</f>
        <v/>
      </c>
      <c r="F197" s="56">
        <f>F39</f>
        <v/>
      </c>
      <c r="G197" s="57" t="n">
        <v>1.45</v>
      </c>
      <c r="H197" s="57" t="n">
        <v>1</v>
      </c>
      <c r="I197" s="57" t="n">
        <v>1.3</v>
      </c>
      <c r="J197" s="92" t="n"/>
      <c r="K197" s="92" t="n"/>
      <c r="L197" s="57" t="n">
        <v>1</v>
      </c>
      <c r="M197" s="43" t="inlineStr">
        <is>
          <t>Inferno Shell</t>
        </is>
      </c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>
        <v>6</v>
      </c>
      <c r="Y197" s="57" t="n">
        <v>4</v>
      </c>
      <c r="Z197" s="57" t="n"/>
      <c r="AA197" s="57" t="n"/>
      <c r="AB197" s="57" t="n"/>
      <c r="AC197" s="57" t="n"/>
      <c r="AD197" s="57" t="n"/>
      <c r="AE197" s="57" t="n"/>
      <c r="AF197" s="57" t="n"/>
      <c r="AG197" s="57" t="n"/>
      <c r="AH197" s="57" t="n"/>
      <c r="AI197" s="57" t="n"/>
      <c r="AJ197" s="57" t="n"/>
      <c r="AK197" s="57" t="n"/>
      <c r="AL197" s="57" t="n"/>
      <c r="AM197" s="57" t="n"/>
      <c r="AN197" s="57" t="n"/>
      <c r="AO197" s="57" t="n"/>
      <c r="AP197" s="57" t="n"/>
      <c r="AQ197" s="57" t="n"/>
      <c r="AR197" s="57" t="n"/>
      <c r="AS197" s="57" t="n"/>
      <c r="AT197" s="57" t="n"/>
      <c r="CI197" s="81" t="inlineStr">
        <is>
          <t>C</t>
        </is>
      </c>
      <c r="CJ197" s="81" t="inlineStr">
        <is>
          <t>Patches burn twice as hot</t>
        </is>
      </c>
    </row>
    <row r="198">
      <c r="A198" s="43" t="inlineStr">
        <is>
          <t>Mortar Pit</t>
        </is>
      </c>
      <c r="B198" s="43" t="inlineStr">
        <is>
          <t>Cluster</t>
        </is>
      </c>
      <c r="C198" s="43" t="inlineStr">
        <is>
          <t>targets</t>
        </is>
      </c>
      <c r="D198" s="56" t="n">
        <v>4</v>
      </c>
      <c r="E198" s="56">
        <f>E43</f>
        <v/>
      </c>
      <c r="F198" s="56">
        <f>F43</f>
        <v/>
      </c>
      <c r="G198" s="57" t="n">
        <v>1.4</v>
      </c>
      <c r="H198" s="57" t="n">
        <v>1</v>
      </c>
      <c r="I198" s="57" t="n">
        <v>1.3</v>
      </c>
      <c r="J198" s="92" t="n"/>
      <c r="K198" s="92" t="n"/>
      <c r="L198" s="57" t="n">
        <v>1</v>
      </c>
      <c r="M198" s="43" t="inlineStr">
        <is>
          <t>Fire Bomblets</t>
        </is>
      </c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>
        <v>2</v>
      </c>
      <c r="Y198" s="57" t="n">
        <v>2</v>
      </c>
      <c r="Z198" s="57" t="n"/>
      <c r="AA198" s="57" t="n"/>
      <c r="AB198" s="57" t="n"/>
      <c r="AC198" s="57" t="n"/>
      <c r="AD198" s="57" t="n"/>
      <c r="AE198" s="57" t="n"/>
      <c r="AF198" s="57" t="n"/>
      <c r="AG198" s="57" t="n"/>
      <c r="AH198" s="57" t="n"/>
      <c r="AI198" s="57" t="n"/>
      <c r="AJ198" s="57" t="n"/>
      <c r="AK198" s="57" t="n"/>
      <c r="AL198" s="57" t="n"/>
      <c r="AM198" s="57" t="n"/>
      <c r="AN198" s="57" t="n"/>
      <c r="AO198" s="57" t="n"/>
      <c r="AP198" s="57" t="n"/>
      <c r="AQ198" s="57" t="n"/>
      <c r="AR198" s="57" t="n"/>
      <c r="AS198" s="57" t="n"/>
      <c r="AT198" s="57" t="n"/>
      <c r="CI198" s="81" t="inlineStr">
        <is>
          <t>B</t>
        </is>
      </c>
      <c r="CJ198" s="81" t="inlineStr">
        <is>
          <t>Bomblets leave small fires</t>
        </is>
      </c>
    </row>
    <row r="199">
      <c r="A199" s="43" t="inlineStr">
        <is>
          <t>Mortar Pit</t>
        </is>
      </c>
      <c r="B199" s="43" t="inlineStr">
        <is>
          <t>Cluster</t>
        </is>
      </c>
      <c r="C199" s="43" t="inlineStr">
        <is>
          <t>targets</t>
        </is>
      </c>
      <c r="D199" s="56" t="n">
        <v>4</v>
      </c>
      <c r="E199" s="56">
        <f>E43</f>
        <v/>
      </c>
      <c r="F199" s="56">
        <f>F43</f>
        <v/>
      </c>
      <c r="G199" s="57" t="n">
        <v>1.3</v>
      </c>
      <c r="H199" s="57" t="n">
        <v>1</v>
      </c>
      <c r="I199" s="57" t="n">
        <v>1.45</v>
      </c>
      <c r="J199" s="92" t="n"/>
      <c r="K199" s="92" t="n"/>
      <c r="L199" s="57" t="n">
        <v>1</v>
      </c>
      <c r="M199" s="43" t="inlineStr">
        <is>
          <t>Wide Scatter</t>
        </is>
      </c>
      <c r="N199" s="57" t="n"/>
      <c r="O199" s="57" t="n"/>
      <c r="P199" s="57" t="n"/>
      <c r="Q199" s="57" t="n"/>
      <c r="R199" s="57" t="n"/>
      <c r="S199" s="57" t="n">
        <v>1.3</v>
      </c>
      <c r="T199" s="57" t="n"/>
      <c r="U199" s="57" t="n"/>
      <c r="V199" s="57" t="n"/>
      <c r="W199" s="57" t="n"/>
      <c r="X199" s="57" t="n"/>
      <c r="Y199" s="57" t="n"/>
      <c r="Z199" s="57" t="n"/>
      <c r="AA199" s="57" t="n"/>
      <c r="AB199" s="57" t="n"/>
      <c r="AC199" s="57" t="n"/>
      <c r="AD199" s="57" t="n"/>
      <c r="AE199" s="57" t="n"/>
      <c r="AF199" s="57" t="n"/>
      <c r="AG199" s="57" t="n"/>
      <c r="AH199" s="57" t="n"/>
      <c r="AI199" s="57" t="n"/>
      <c r="AJ199" s="57" t="n"/>
      <c r="AK199" s="57" t="n"/>
      <c r="AL199" s="57" t="n"/>
      <c r="AM199" s="57" t="n"/>
      <c r="AN199" s="57" t="n"/>
      <c r="AO199" s="57" t="n"/>
      <c r="AP199" s="57" t="n"/>
      <c r="AQ199" s="57" t="n"/>
      <c r="AR199" s="57" t="n"/>
      <c r="AS199" s="57" t="n"/>
      <c r="AT199" s="57" t="n"/>
      <c r="CI199" s="81" t="inlineStr">
        <is>
          <t>C</t>
        </is>
      </c>
      <c r="CJ199" s="81" t="inlineStr">
        <is>
          <t>Bomblets spread over a wider area</t>
        </is>
      </c>
    </row>
    <row r="200">
      <c r="A200" s="43" t="inlineStr">
        <is>
          <t>Mortar Pit</t>
        </is>
      </c>
      <c r="B200" s="43" t="inlineStr">
        <is>
          <t>Cluster</t>
        </is>
      </c>
      <c r="C200" s="43" t="inlineStr">
        <is>
          <t>targets</t>
        </is>
      </c>
      <c r="D200" s="56" t="n">
        <v>5</v>
      </c>
      <c r="E200" s="56">
        <f>E44</f>
        <v/>
      </c>
      <c r="F200" s="56">
        <f>F44</f>
        <v/>
      </c>
      <c r="G200" s="57" t="n">
        <v>1.4</v>
      </c>
      <c r="H200" s="57" t="n">
        <v>1</v>
      </c>
      <c r="I200" s="57" t="n">
        <v>1.35</v>
      </c>
      <c r="J200" s="92" t="n"/>
      <c r="K200" s="92" t="n"/>
      <c r="L200" s="57" t="n">
        <v>1</v>
      </c>
      <c r="M200" s="43" t="inlineStr">
        <is>
          <t>Firecracker Rain</t>
        </is>
      </c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  <c r="AA200" s="57" t="n">
        <v>3</v>
      </c>
      <c r="AB200" s="57" t="n"/>
      <c r="AC200" s="57" t="n"/>
      <c r="AD200" s="57" t="n"/>
      <c r="AE200" s="57" t="n"/>
      <c r="AF200" s="57" t="n"/>
      <c r="AG200" s="57" t="n"/>
      <c r="AH200" s="57" t="n"/>
      <c r="AI200" s="57" t="n"/>
      <c r="AJ200" s="57" t="n"/>
      <c r="AK200" s="57" t="n"/>
      <c r="AL200" s="57" t="n"/>
      <c r="AM200" s="57" t="n"/>
      <c r="AN200" s="57" t="n"/>
      <c r="AO200" s="57" t="n"/>
      <c r="AP200" s="57" t="n"/>
      <c r="AQ200" s="57" t="n"/>
      <c r="AR200" s="57" t="n"/>
      <c r="AS200" s="57" t="n"/>
      <c r="AT200" s="57" t="n"/>
      <c r="CI200" s="81" t="inlineStr">
        <is>
          <t>B</t>
        </is>
      </c>
      <c r="CJ200" s="81" t="inlineStr">
        <is>
          <t>Bomblets burst a third time</t>
        </is>
      </c>
    </row>
    <row r="201">
      <c r="A201" s="43" t="inlineStr">
        <is>
          <t>Mortar Pit</t>
        </is>
      </c>
      <c r="B201" s="43" t="inlineStr">
        <is>
          <t>Cluster</t>
        </is>
      </c>
      <c r="C201" s="43" t="inlineStr">
        <is>
          <t>targets</t>
        </is>
      </c>
      <c r="D201" s="56" t="n">
        <v>5</v>
      </c>
      <c r="E201" s="56">
        <f>E44</f>
        <v/>
      </c>
      <c r="F201" s="56">
        <f>F44</f>
        <v/>
      </c>
      <c r="G201" s="57" t="n">
        <v>1.45</v>
      </c>
      <c r="H201" s="57" t="n">
        <v>1</v>
      </c>
      <c r="I201" s="57" t="n">
        <v>1.3</v>
      </c>
      <c r="J201" s="92" t="n"/>
      <c r="K201" s="92" t="n"/>
      <c r="L201" s="57" t="n">
        <v>1</v>
      </c>
      <c r="M201" s="43" t="inlineStr">
        <is>
          <t>Thumper Shells</t>
        </is>
      </c>
      <c r="N201" s="57" t="n"/>
      <c r="O201" s="57" t="n"/>
      <c r="P201" s="57" t="n"/>
      <c r="Q201" s="57" t="n"/>
      <c r="R201" s="57" t="n"/>
      <c r="S201" s="57" t="n"/>
      <c r="T201" s="57" t="n"/>
      <c r="U201" s="57" t="n">
        <v>0.2</v>
      </c>
      <c r="V201" s="57" t="n"/>
      <c r="W201" s="57" t="n">
        <v>2</v>
      </c>
      <c r="X201" s="57" t="n"/>
      <c r="Y201" s="57" t="n"/>
      <c r="Z201" s="57" t="n"/>
      <c r="AA201" s="57" t="n"/>
      <c r="AB201" s="57" t="n"/>
      <c r="AC201" s="57" t="n"/>
      <c r="AD201" s="57" t="n"/>
      <c r="AE201" s="57" t="n"/>
      <c r="AF201" s="57" t="n"/>
      <c r="AG201" s="57" t="n"/>
      <c r="AH201" s="57" t="n"/>
      <c r="AI201" s="57" t="n"/>
      <c r="AJ201" s="57" t="n"/>
      <c r="AK201" s="57" t="n"/>
      <c r="AL201" s="57" t="n"/>
      <c r="AM201" s="57" t="n"/>
      <c r="AN201" s="57" t="n"/>
      <c r="AO201" s="57" t="n"/>
      <c r="AP201" s="57" t="n"/>
      <c r="AQ201" s="57" t="n"/>
      <c r="AR201" s="57" t="n"/>
      <c r="AS201" s="57" t="n"/>
      <c r="AT201" s="57" t="n"/>
      <c r="CI201" s="81" t="inlineStr">
        <is>
          <t>C</t>
        </is>
      </c>
      <c r="CJ201" s="81" t="inlineStr">
        <is>
          <t>Bomblets knock small dinos back</t>
        </is>
      </c>
    </row>
    <row r="202">
      <c r="A202" s="43" t="inlineStr">
        <is>
          <t>Mortar Pit</t>
        </is>
      </c>
      <c r="B202" s="43" t="inlineStr">
        <is>
          <t>Concussive</t>
        </is>
      </c>
      <c r="C202" s="43" t="inlineStr">
        <is>
          <t>damage</t>
        </is>
      </c>
      <c r="D202" s="56" t="n">
        <v>4</v>
      </c>
      <c r="E202" s="56">
        <f>E48</f>
        <v/>
      </c>
      <c r="F202" s="56">
        <f>F48</f>
        <v/>
      </c>
      <c r="G202" s="57" t="n">
        <v>1.8</v>
      </c>
      <c r="H202" s="57" t="n">
        <v>1</v>
      </c>
      <c r="I202" s="57" t="n">
        <v>1</v>
      </c>
      <c r="J202" s="92" t="n"/>
      <c r="K202" s="92" t="n"/>
      <c r="L202" s="57" t="n">
        <v>1</v>
      </c>
      <c r="M202" s="43" t="inlineStr">
        <is>
          <t>Aftershock</t>
        </is>
      </c>
      <c r="N202" s="46" t="n"/>
      <c r="O202" s="57" t="n"/>
      <c r="P202" s="57" t="n"/>
      <c r="Q202" s="57" t="n"/>
      <c r="R202" s="57" t="n"/>
      <c r="S202" s="57" t="n"/>
      <c r="T202" s="57" t="n"/>
      <c r="U202" s="57" t="n">
        <v>0.5</v>
      </c>
      <c r="V202" s="57" t="n"/>
      <c r="W202" s="57" t="n"/>
      <c r="X202" s="57" t="n"/>
      <c r="Y202" s="57" t="n"/>
      <c r="Z202" s="57" t="n"/>
      <c r="AA202" s="57" t="n"/>
      <c r="AB202" s="57" t="n"/>
      <c r="AC202" s="57" t="n"/>
      <c r="AD202" s="57" t="n"/>
      <c r="AE202" s="57" t="n"/>
      <c r="AF202" s="57" t="n"/>
      <c r="AG202" s="57" t="n"/>
      <c r="AH202" s="57" t="n"/>
      <c r="AI202" s="57" t="n"/>
      <c r="AJ202" s="57" t="n"/>
      <c r="AK202" s="57" t="n"/>
      <c r="AL202" s="57" t="n"/>
      <c r="AM202" s="57" t="n"/>
      <c r="AN202" s="57" t="n"/>
      <c r="AO202" s="57" t="n"/>
      <c r="AP202" s="57" t="n"/>
      <c r="AQ202" s="57" t="n"/>
      <c r="AR202" s="57" t="n"/>
      <c r="AS202" s="57" t="n"/>
      <c r="AT202" s="57" t="n"/>
      <c r="CI202" s="81" t="inlineStr">
        <is>
          <t>B</t>
        </is>
      </c>
      <c r="CJ202" s="81" t="inlineStr">
        <is>
          <t>Stuns hit dinos for half a second</t>
        </is>
      </c>
    </row>
    <row r="203">
      <c r="A203" s="43" t="inlineStr">
        <is>
          <t>Mortar Pit</t>
        </is>
      </c>
      <c r="B203" s="43" t="inlineStr">
        <is>
          <t>Concussive</t>
        </is>
      </c>
      <c r="C203" s="43" t="inlineStr">
        <is>
          <t>damage</t>
        </is>
      </c>
      <c r="D203" s="56" t="n">
        <v>4</v>
      </c>
      <c r="E203" s="56">
        <f>E48</f>
        <v/>
      </c>
      <c r="F203" s="56">
        <f>F48</f>
        <v/>
      </c>
      <c r="G203" s="57" t="n">
        <v>1.8</v>
      </c>
      <c r="H203" s="57" t="n">
        <v>1</v>
      </c>
      <c r="I203" s="57" t="n">
        <v>1</v>
      </c>
      <c r="J203" s="92" t="n"/>
      <c r="K203" s="92" t="n"/>
      <c r="L203" s="57" t="n">
        <v>1</v>
      </c>
      <c r="M203" s="43" t="inlineStr">
        <is>
          <t>Armour Splitter</t>
        </is>
      </c>
      <c r="N203" s="46" t="n"/>
      <c r="O203" s="57" t="n">
        <v>1.5</v>
      </c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  <c r="AA203" s="57" t="n"/>
      <c r="AB203" s="57" t="n"/>
      <c r="AC203" s="57" t="n"/>
      <c r="AD203" s="57" t="n"/>
      <c r="AE203" s="57" t="n"/>
      <c r="AF203" s="57" t="n"/>
      <c r="AG203" s="57" t="n"/>
      <c r="AH203" s="57" t="n"/>
      <c r="AI203" s="57" t="n"/>
      <c r="AJ203" s="57" t="n"/>
      <c r="AK203" s="57" t="n"/>
      <c r="AL203" s="57" t="n"/>
      <c r="AM203" s="57" t="inlineStr">
        <is>
          <t>Yes</t>
        </is>
      </c>
      <c r="AN203" s="57" t="n"/>
      <c r="AO203" s="57" t="n"/>
      <c r="AP203" s="57" t="n"/>
      <c r="AQ203" s="57" t="n"/>
      <c r="AR203" s="57" t="n"/>
      <c r="AS203" s="57" t="n"/>
      <c r="AT203" s="57" t="n"/>
      <c r="CI203" s="81" t="inlineStr">
        <is>
          <t>C</t>
        </is>
      </c>
      <c r="CJ203" s="81" t="inlineStr">
        <is>
          <t>Hit dinos lose their armour</t>
        </is>
      </c>
    </row>
    <row r="204">
      <c r="A204" s="43" t="inlineStr">
        <is>
          <t>Mortar Pit</t>
        </is>
      </c>
      <c r="B204" s="43" t="inlineStr">
        <is>
          <t>Concussive</t>
        </is>
      </c>
      <c r="C204" s="43" t="inlineStr">
        <is>
          <t>damage</t>
        </is>
      </c>
      <c r="D204" s="56" t="n">
        <v>5</v>
      </c>
      <c r="E204" s="56">
        <f>E49</f>
        <v/>
      </c>
      <c r="F204" s="56">
        <f>F49</f>
        <v/>
      </c>
      <c r="G204" s="57" t="n">
        <v>2.4</v>
      </c>
      <c r="H204" s="57" t="n">
        <v>1</v>
      </c>
      <c r="I204" s="57" t="n">
        <v>1</v>
      </c>
      <c r="J204" s="92" t="n"/>
      <c r="K204" s="92" t="n"/>
      <c r="L204" s="57" t="n">
        <v>1</v>
      </c>
      <c r="M204" s="43" t="inlineStr">
        <is>
          <t>Seismic Charge</t>
        </is>
      </c>
      <c r="N204" s="46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>
        <v>10</v>
      </c>
      <c r="X204" s="57" t="n"/>
      <c r="Y204" s="57" t="n"/>
      <c r="Z204" s="57" t="n"/>
      <c r="AA204" s="57" t="n"/>
      <c r="AB204" s="57" t="n"/>
      <c r="AC204" s="57" t="n"/>
      <c r="AD204" s="57" t="n"/>
      <c r="AE204" s="57" t="n"/>
      <c r="AF204" s="57" t="n"/>
      <c r="AG204" s="57" t="n"/>
      <c r="AH204" s="57" t="n"/>
      <c r="AI204" s="57" t="n"/>
      <c r="AJ204" s="57" t="n"/>
      <c r="AK204" s="57" t="n"/>
      <c r="AL204" s="57" t="n"/>
      <c r="AM204" s="57" t="n"/>
      <c r="AN204" s="57" t="n"/>
      <c r="AO204" s="57" t="n"/>
      <c r="AP204" s="57" t="n"/>
      <c r="AQ204" s="57" t="n"/>
      <c r="AR204" s="57" t="n"/>
      <c r="AS204" s="57" t="n"/>
      <c r="AT204" s="57" t="n"/>
      <c r="CI204" s="81" t="inlineStr">
        <is>
          <t>B</t>
        </is>
      </c>
      <c r="CJ204" s="81" t="inlineStr">
        <is>
          <t>Throws dinos 10 studs back</t>
        </is>
      </c>
    </row>
    <row r="205">
      <c r="A205" s="43" t="inlineStr">
        <is>
          <t>Mortar Pit</t>
        </is>
      </c>
      <c r="B205" s="43" t="inlineStr">
        <is>
          <t>Concussive</t>
        </is>
      </c>
      <c r="C205" s="43" t="inlineStr">
        <is>
          <t>damage</t>
        </is>
      </c>
      <c r="D205" s="56" t="n">
        <v>5</v>
      </c>
      <c r="E205" s="56">
        <f>E49</f>
        <v/>
      </c>
      <c r="F205" s="56">
        <f>F49</f>
        <v/>
      </c>
      <c r="G205" s="57" t="n">
        <v>2.3</v>
      </c>
      <c r="H205" s="57" t="n">
        <v>1</v>
      </c>
      <c r="I205" s="57" t="n">
        <v>1</v>
      </c>
      <c r="J205" s="92" t="n"/>
      <c r="K205" s="92" t="n"/>
      <c r="L205" s="57" t="n">
        <v>1</v>
      </c>
      <c r="M205" s="43" t="inlineStr">
        <is>
          <t>Rockfall</t>
        </is>
      </c>
      <c r="N205" s="46" t="n"/>
      <c r="O205" s="57" t="n"/>
      <c r="P205" s="57" t="n"/>
      <c r="Q205" s="57" t="n"/>
      <c r="R205" s="57" t="n"/>
      <c r="S205" s="57" t="n"/>
      <c r="T205" s="57" t="n"/>
      <c r="U205" s="57" t="n">
        <v>0.5</v>
      </c>
      <c r="V205" s="57" t="inlineStr">
        <is>
          <t>Yes</t>
        </is>
      </c>
      <c r="W205" s="57" t="n"/>
      <c r="X205" s="57" t="n"/>
      <c r="Y205" s="57" t="n"/>
      <c r="Z205" s="57" t="n"/>
      <c r="AA205" s="57" t="n"/>
      <c r="AB205" s="57" t="n"/>
      <c r="AC205" s="57" t="n"/>
      <c r="AD205" s="57" t="n"/>
      <c r="AE205" s="57" t="n"/>
      <c r="AF205" s="57" t="n"/>
      <c r="AG205" s="57" t="n"/>
      <c r="AH205" s="57" t="n"/>
      <c r="AI205" s="57" t="n"/>
      <c r="AJ205" s="57" t="n"/>
      <c r="AK205" s="57" t="n"/>
      <c r="AL205" s="57" t="n"/>
      <c r="AM205" s="57" t="n"/>
      <c r="AN205" s="57" t="n"/>
      <c r="AO205" s="57" t="n"/>
      <c r="AP205" s="57" t="n"/>
      <c r="AQ205" s="57" t="n"/>
      <c r="AR205" s="57" t="n"/>
      <c r="AS205" s="57" t="n"/>
      <c r="AT205" s="57" t="n"/>
      <c r="CI205" s="81" t="inlineStr">
        <is>
          <t>C</t>
        </is>
      </c>
      <c r="CJ205" s="81" t="inlineStr">
        <is>
          <t>A short stun that holds bosses too</t>
        </is>
      </c>
    </row>
    <row r="206">
      <c r="A206" s="81" t="inlineStr">
        <is>
          <t>Tranq Station</t>
        </is>
      </c>
      <c r="B206" s="81" t="inlineStr">
        <is>
          <t>Sedate</t>
        </is>
      </c>
      <c r="C206" s="81" t="inlineStr">
        <is>
          <t>range</t>
        </is>
      </c>
      <c r="D206" s="81" t="n">
        <v>4</v>
      </c>
      <c r="E206" s="81">
        <f>E53</f>
        <v/>
      </c>
      <c r="F206" s="81">
        <f>F53</f>
        <v/>
      </c>
      <c r="G206" s="81" t="n">
        <v>1.3</v>
      </c>
      <c r="H206" s="81" t="n">
        <v>1.15132</v>
      </c>
      <c r="I206" s="81" t="n">
        <v>1</v>
      </c>
      <c r="L206" s="81" t="n">
        <v>1</v>
      </c>
      <c r="M206" s="81" t="inlineStr">
        <is>
          <t>Drowsy Trail</t>
        </is>
      </c>
      <c r="AE206" s="81" t="n">
        <v>65</v>
      </c>
      <c r="AF206" s="81" t="n">
        <v>4</v>
      </c>
      <c r="CI206" s="81" t="inlineStr">
        <is>
          <t>B</t>
        </is>
      </c>
      <c r="CJ206" s="81" t="inlineStr">
        <is>
          <t>Dinos stay slowed 4 s after they leave</t>
        </is>
      </c>
    </row>
    <row r="207">
      <c r="A207" s="81" t="inlineStr">
        <is>
          <t>Tranq Station</t>
        </is>
      </c>
      <c r="B207" s="81" t="inlineStr">
        <is>
          <t>Sedate</t>
        </is>
      </c>
      <c r="C207" s="81" t="inlineStr">
        <is>
          <t>range</t>
        </is>
      </c>
      <c r="D207" s="81" t="n">
        <v>4</v>
      </c>
      <c r="E207" s="81">
        <f>E53</f>
        <v/>
      </c>
      <c r="F207" s="81">
        <f>F53</f>
        <v/>
      </c>
      <c r="G207" s="81" t="n">
        <v>1.3</v>
      </c>
      <c r="H207" s="81" t="n">
        <v>1.15132</v>
      </c>
      <c r="I207" s="81" t="n">
        <v>1</v>
      </c>
      <c r="L207" s="81" t="n">
        <v>1</v>
      </c>
      <c r="M207" s="81" t="inlineStr">
        <is>
          <t>Sleeper Darts</t>
        </is>
      </c>
      <c r="AE207" s="81" t="n">
        <v>72</v>
      </c>
      <c r="CI207" s="81" t="inlineStr">
        <is>
          <t>C</t>
        </is>
      </c>
      <c r="CJ207" s="81" t="inlineStr">
        <is>
          <t>Also slows raiders who shoot your towers</t>
        </is>
      </c>
      <c r="CK207" s="81" t="inlineStr">
        <is>
          <t>yes</t>
        </is>
      </c>
      <c r="CL207" s="81" t="n">
        <v>30</v>
      </c>
      <c r="CM207" s="81" t="n">
        <v>2</v>
      </c>
    </row>
    <row r="208">
      <c r="A208" s="81" t="inlineStr">
        <is>
          <t>Tranq Station</t>
        </is>
      </c>
      <c r="B208" s="81" t="inlineStr">
        <is>
          <t>Sedate</t>
        </is>
      </c>
      <c r="C208" s="81" t="inlineStr">
        <is>
          <t>range</t>
        </is>
      </c>
      <c r="D208" s="81" t="n">
        <v>5</v>
      </c>
      <c r="E208" s="81">
        <f>E54</f>
        <v/>
      </c>
      <c r="F208" s="81">
        <f>F54</f>
        <v/>
      </c>
      <c r="G208" s="81" t="n">
        <v>1.2972</v>
      </c>
      <c r="H208" s="81" t="n">
        <v>1.14857</v>
      </c>
      <c r="I208" s="81" t="n">
        <v>1</v>
      </c>
      <c r="L208" s="81" t="n">
        <v>1.6</v>
      </c>
      <c r="M208" s="81" t="inlineStr">
        <is>
          <t>Fog Bank</t>
        </is>
      </c>
      <c r="AE208" s="81" t="n">
        <v>80</v>
      </c>
      <c r="AF208" s="81" t="n">
        <v>3</v>
      </c>
      <c r="CI208" s="81" t="inlineStr">
        <is>
          <t>B</t>
        </is>
      </c>
      <c r="CJ208" s="81" t="inlineStr">
        <is>
          <t>A huge sleepy cloud slows a much wider ring</t>
        </is>
      </c>
    </row>
    <row r="209">
      <c r="A209" s="81" t="inlineStr">
        <is>
          <t>Tranq Station</t>
        </is>
      </c>
      <c r="B209" s="81" t="inlineStr">
        <is>
          <t>Sedate</t>
        </is>
      </c>
      <c r="C209" s="81" t="inlineStr">
        <is>
          <t>range</t>
        </is>
      </c>
      <c r="D209" s="81" t="n">
        <v>5</v>
      </c>
      <c r="E209" s="81">
        <f>E54</f>
        <v/>
      </c>
      <c r="F209" s="81">
        <f>F54</f>
        <v/>
      </c>
      <c r="G209" s="81" t="n">
        <v>1.2972</v>
      </c>
      <c r="H209" s="81" t="n">
        <v>1.14857</v>
      </c>
      <c r="I209" s="81" t="n">
        <v>1</v>
      </c>
      <c r="L209" s="81" t="n">
        <v>1</v>
      </c>
      <c r="M209" s="81" t="inlineStr">
        <is>
          <t>Long Nap</t>
        </is>
      </c>
      <c r="AE209" s="81" t="n">
        <v>80</v>
      </c>
      <c r="AF209" s="81" t="n">
        <v>7</v>
      </c>
      <c r="CI209" s="81" t="inlineStr">
        <is>
          <t>C</t>
        </is>
      </c>
      <c r="CJ209" s="81" t="inlineStr">
        <is>
          <t>Dinos stay slowed 7 s after they leave</t>
        </is>
      </c>
    </row>
    <row r="210">
      <c r="A210" s="81" t="inlineStr">
        <is>
          <t>Tranq Station</t>
        </is>
      </c>
      <c r="B210" s="81" t="inlineStr">
        <is>
          <t>Knockout</t>
        </is>
      </c>
      <c r="C210" s="81" t="inlineStr">
        <is>
          <t>rate</t>
        </is>
      </c>
      <c r="D210" s="81" t="n">
        <v>4</v>
      </c>
      <c r="E210" s="81">
        <f>E58</f>
        <v/>
      </c>
      <c r="F210" s="81">
        <f>F58</f>
        <v/>
      </c>
      <c r="G210" s="81" t="n">
        <v>1.34959</v>
      </c>
      <c r="H210" s="81" t="n">
        <v>1.42308</v>
      </c>
      <c r="I210" s="81" t="n">
        <v>1</v>
      </c>
      <c r="L210" s="81" t="n">
        <v>1</v>
      </c>
      <c r="M210" s="81" t="inlineStr">
        <is>
          <t>Long Sleep</t>
        </is>
      </c>
      <c r="AI210" s="81" t="n">
        <v>1.8</v>
      </c>
      <c r="AJ210" s="81" t="n">
        <v>3</v>
      </c>
      <c r="CI210" s="81" t="inlineStr">
        <is>
          <t>B</t>
        </is>
      </c>
      <c r="CJ210" s="81" t="inlineStr">
        <is>
          <t>Knockouts hold dinos 1.8 s instead of 1</t>
        </is>
      </c>
    </row>
    <row r="211">
      <c r="A211" s="81" t="inlineStr">
        <is>
          <t>Tranq Station</t>
        </is>
      </c>
      <c r="B211" s="81" t="inlineStr">
        <is>
          <t>Knockout</t>
        </is>
      </c>
      <c r="C211" s="81" t="inlineStr">
        <is>
          <t>rate</t>
        </is>
      </c>
      <c r="D211" s="81" t="n">
        <v>4</v>
      </c>
      <c r="E211" s="81">
        <f>E58</f>
        <v/>
      </c>
      <c r="F211" s="81">
        <f>F58</f>
        <v/>
      </c>
      <c r="G211" s="81" t="n">
        <v>1.34959</v>
      </c>
      <c r="H211" s="81" t="n">
        <v>1.42308</v>
      </c>
      <c r="I211" s="81" t="n">
        <v>1</v>
      </c>
      <c r="L211" s="81" t="n">
        <v>1.3</v>
      </c>
      <c r="M211" s="81" t="inlineStr">
        <is>
          <t>Knockout Ring</t>
        </is>
      </c>
      <c r="AH211" s="81" t="n">
        <v>6</v>
      </c>
      <c r="AJ211" s="81" t="n">
        <v>3</v>
      </c>
      <c r="CI211" s="81" t="inlineStr">
        <is>
          <t>C</t>
        </is>
      </c>
      <c r="CJ211" s="81" t="inlineStr">
        <is>
          <t>Knocks out dinos in a much wider ring</t>
        </is>
      </c>
    </row>
    <row r="212">
      <c r="A212" s="81" t="inlineStr">
        <is>
          <t>Tranq Station</t>
        </is>
      </c>
      <c r="B212" s="81" t="inlineStr">
        <is>
          <t>Knockout</t>
        </is>
      </c>
      <c r="C212" s="81" t="inlineStr">
        <is>
          <t>rate</t>
        </is>
      </c>
      <c r="D212" s="81" t="n">
        <v>5</v>
      </c>
      <c r="E212" s="81">
        <f>E59</f>
        <v/>
      </c>
      <c r="F212" s="81">
        <f>F59</f>
        <v/>
      </c>
      <c r="G212" s="81" t="n">
        <v>1.3494</v>
      </c>
      <c r="H212" s="81" t="n">
        <v>1.41769</v>
      </c>
      <c r="I212" s="81" t="n">
        <v>1</v>
      </c>
      <c r="L212" s="81" t="n">
        <v>1</v>
      </c>
      <c r="M212" s="81" t="inlineStr">
        <is>
          <t>Snooze Alarm</t>
        </is>
      </c>
      <c r="AH212" s="81" t="n">
        <v>4</v>
      </c>
      <c r="AI212" s="81" t="n">
        <v>2</v>
      </c>
      <c r="AJ212" s="81" t="n">
        <v>5</v>
      </c>
      <c r="CI212" s="81" t="inlineStr">
        <is>
          <t>B</t>
        </is>
      </c>
      <c r="CJ212" s="81" t="inlineStr">
        <is>
          <t>Knocks out every dino in range every 4 s</t>
        </is>
      </c>
    </row>
    <row r="213">
      <c r="A213" s="81" t="inlineStr">
        <is>
          <t>Tranq Station</t>
        </is>
      </c>
      <c r="B213" s="81" t="inlineStr">
        <is>
          <t>Knockout</t>
        </is>
      </c>
      <c r="C213" s="81" t="inlineStr">
        <is>
          <t>rate</t>
        </is>
      </c>
      <c r="D213" s="81" t="n">
        <v>5</v>
      </c>
      <c r="E213" s="81">
        <f>E59</f>
        <v/>
      </c>
      <c r="F213" s="81">
        <f>F59</f>
        <v/>
      </c>
      <c r="G213" s="81" t="n">
        <v>1.3494</v>
      </c>
      <c r="H213" s="81" t="n">
        <v>1.41769</v>
      </c>
      <c r="I213" s="81" t="n">
        <v>1</v>
      </c>
      <c r="L213" s="81" t="n">
        <v>1.6</v>
      </c>
      <c r="M213" s="81" t="inlineStr">
        <is>
          <t>Sleep Wave</t>
        </is>
      </c>
      <c r="AI213" s="81" t="n">
        <v>2</v>
      </c>
      <c r="AJ213" s="81" t="n">
        <v>5</v>
      </c>
      <c r="CI213" s="81" t="inlineStr">
        <is>
          <t>C</t>
        </is>
      </c>
      <c r="CJ213" s="81" t="inlineStr">
        <is>
          <t>A giant knockout ring</t>
        </is>
      </c>
    </row>
    <row r="214">
      <c r="A214" s="81" t="inlineStr">
        <is>
          <t>Tranq Station</t>
        </is>
      </c>
      <c r="B214" s="81" t="inlineStr">
        <is>
          <t>Weak Spot</t>
        </is>
      </c>
      <c r="C214" s="81" t="inlineStr">
        <is>
          <t>damage</t>
        </is>
      </c>
      <c r="D214" s="81" t="n">
        <v>4</v>
      </c>
      <c r="E214" s="81">
        <f>E63</f>
        <v/>
      </c>
      <c r="F214" s="81">
        <f>F63</f>
        <v/>
      </c>
      <c r="G214" s="81" t="n">
        <v>1.9</v>
      </c>
      <c r="H214" s="81" t="n">
        <v>1</v>
      </c>
      <c r="I214" s="81" t="n">
        <v>1</v>
      </c>
      <c r="L214" s="81" t="n">
        <v>1</v>
      </c>
      <c r="M214" s="81" t="inlineStr">
        <is>
          <t>Pack Instinct</t>
        </is>
      </c>
      <c r="AB214" s="81" t="n">
        <v>20</v>
      </c>
      <c r="AL214" s="81" t="n">
        <v>40</v>
      </c>
      <c r="CI214" s="81" t="inlineStr">
        <is>
          <t>B</t>
        </is>
      </c>
      <c r="CJ214" s="81" t="inlineStr">
        <is>
          <t>Towers in range fire 20% faster</t>
        </is>
      </c>
    </row>
    <row r="215">
      <c r="A215" s="81" t="inlineStr">
        <is>
          <t>Tranq Station</t>
        </is>
      </c>
      <c r="B215" s="81" t="inlineStr">
        <is>
          <t>Weak Spot</t>
        </is>
      </c>
      <c r="C215" s="81" t="inlineStr">
        <is>
          <t>damage</t>
        </is>
      </c>
      <c r="D215" s="81" t="n">
        <v>4</v>
      </c>
      <c r="E215" s="81">
        <f>E63</f>
        <v/>
      </c>
      <c r="F215" s="81">
        <f>F63</f>
        <v/>
      </c>
      <c r="G215" s="81" t="n">
        <v>1.9</v>
      </c>
      <c r="H215" s="81" t="n">
        <v>1</v>
      </c>
      <c r="I215" s="81" t="n">
        <v>1</v>
      </c>
      <c r="L215" s="81" t="n">
        <v>1</v>
      </c>
      <c r="M215" s="81" t="inlineStr">
        <is>
          <t>Big Game Weakness</t>
        </is>
      </c>
      <c r="AL215" s="81" t="n">
        <v>40</v>
      </c>
      <c r="BX215" s="81" t="n">
        <v>40</v>
      </c>
      <c r="CI215" s="81" t="inlineStr">
        <is>
          <t>C</t>
        </is>
      </c>
      <c r="CJ215" s="81" t="inlineStr">
        <is>
          <t>Bosses in range take +40% from everything</t>
        </is>
      </c>
    </row>
    <row r="216">
      <c r="A216" s="81" t="inlineStr">
        <is>
          <t>Tranq Station</t>
        </is>
      </c>
      <c r="B216" s="81" t="inlineStr">
        <is>
          <t>Weak Spot</t>
        </is>
      </c>
      <c r="C216" s="81" t="inlineStr">
        <is>
          <t>damage</t>
        </is>
      </c>
      <c r="D216" s="81" t="n">
        <v>5</v>
      </c>
      <c r="E216" s="81">
        <f>E64</f>
        <v/>
      </c>
      <c r="F216" s="81">
        <f>F64</f>
        <v/>
      </c>
      <c r="G216" s="81" t="n">
        <v>1.9</v>
      </c>
      <c r="H216" s="81" t="n">
        <v>1</v>
      </c>
      <c r="I216" s="81" t="n">
        <v>1</v>
      </c>
      <c r="L216" s="81" t="n">
        <v>1</v>
      </c>
      <c r="M216" s="81" t="inlineStr">
        <is>
          <t>Feeding Frenzy</t>
        </is>
      </c>
      <c r="AB216" s="81" t="n">
        <v>35</v>
      </c>
      <c r="AL216" s="81" t="n">
        <v>60</v>
      </c>
      <c r="CI216" s="81" t="inlineStr">
        <is>
          <t>B</t>
        </is>
      </c>
      <c r="CJ216" s="81" t="inlineStr">
        <is>
          <t>Towers in range fire 35% faster</t>
        </is>
      </c>
    </row>
    <row r="217">
      <c r="A217" s="81" t="inlineStr">
        <is>
          <t>Tranq Station</t>
        </is>
      </c>
      <c r="B217" s="81" t="inlineStr">
        <is>
          <t>Weak Spot</t>
        </is>
      </c>
      <c r="C217" s="81" t="inlineStr">
        <is>
          <t>damage</t>
        </is>
      </c>
      <c r="D217" s="81" t="n">
        <v>5</v>
      </c>
      <c r="E217" s="81">
        <f>E64</f>
        <v/>
      </c>
      <c r="F217" s="81">
        <f>F64</f>
        <v/>
      </c>
      <c r="G217" s="81" t="n">
        <v>1.9</v>
      </c>
      <c r="H217" s="81" t="n">
        <v>1</v>
      </c>
      <c r="I217" s="81" t="n">
        <v>1</v>
      </c>
      <c r="L217" s="81" t="n">
        <v>1</v>
      </c>
      <c r="M217" s="81" t="inlineStr">
        <is>
          <t>Killing Ground</t>
        </is>
      </c>
      <c r="AL217" s="81" t="n">
        <v>60</v>
      </c>
      <c r="BX217" s="81" t="n">
        <v>75</v>
      </c>
      <c r="CI217" s="81" t="inlineStr">
        <is>
          <t>C</t>
        </is>
      </c>
      <c r="CJ217" s="81" t="inlineStr">
        <is>
          <t>Bosses in range take +75% from everything</t>
        </is>
      </c>
    </row>
    <row r="218">
      <c r="A218" s="81" t="inlineStr">
        <is>
          <t>Supply Camp</t>
        </is>
      </c>
      <c r="B218" s="81" t="inlineStr">
        <is>
          <t>Yield</t>
        </is>
      </c>
      <c r="C218" s="81" t="inlineStr">
        <is>
          <t>economy</t>
        </is>
      </c>
      <c r="D218" s="81" t="n">
        <v>4</v>
      </c>
      <c r="E218" s="81">
        <f>E68</f>
        <v/>
      </c>
      <c r="F218" s="81">
        <f>F68</f>
        <v/>
      </c>
      <c r="G218" s="81" t="n">
        <v>1</v>
      </c>
      <c r="H218" s="81" t="n">
        <v>1</v>
      </c>
      <c r="I218" s="81" t="n">
        <v>1</v>
      </c>
      <c r="L218" s="81" t="n">
        <v>1</v>
      </c>
      <c r="M218" s="81" t="inlineStr">
        <is>
          <t>Savings Jar</t>
        </is>
      </c>
      <c r="AN218" s="81" t="n">
        <v>1.45</v>
      </c>
      <c r="AO218" s="81" t="n">
        <v>3</v>
      </c>
      <c r="AP218" s="81" t="n">
        <v>250</v>
      </c>
      <c r="CI218" s="81" t="inlineStr">
        <is>
          <t>B</t>
        </is>
      </c>
      <c r="CJ218" s="81" t="inlineStr">
        <is>
          <t>Less income, but 3% interest on banked cash</t>
        </is>
      </c>
    </row>
    <row r="219">
      <c r="A219" s="81" t="inlineStr">
        <is>
          <t>Supply Camp</t>
        </is>
      </c>
      <c r="B219" s="81" t="inlineStr">
        <is>
          <t>Yield</t>
        </is>
      </c>
      <c r="C219" s="81" t="inlineStr">
        <is>
          <t>economy</t>
        </is>
      </c>
      <c r="D219" s="81" t="n">
        <v>4</v>
      </c>
      <c r="E219" s="81">
        <f>E68</f>
        <v/>
      </c>
      <c r="F219" s="81">
        <f>F68</f>
        <v/>
      </c>
      <c r="G219" s="81" t="n">
        <v>1</v>
      </c>
      <c r="H219" s="81" t="n">
        <v>1</v>
      </c>
      <c r="I219" s="81" t="n">
        <v>1</v>
      </c>
      <c r="L219" s="81" t="n">
        <v>1</v>
      </c>
      <c r="M219" s="81" t="inlineStr">
        <is>
          <t>Bounty Board</t>
        </is>
      </c>
      <c r="AN219" s="81" t="n">
        <v>1.3</v>
      </c>
      <c r="CI219" s="81" t="inlineStr">
        <is>
          <t>C</t>
        </is>
      </c>
      <c r="CJ219" s="81" t="inlineStr">
        <is>
          <t>+8 cash for each dino taken down in its range</t>
        </is>
      </c>
      <c r="CO219" s="81" t="n">
        <v>8</v>
      </c>
    </row>
    <row r="220">
      <c r="A220" s="81" t="inlineStr">
        <is>
          <t>Supply Camp</t>
        </is>
      </c>
      <c r="B220" s="81" t="inlineStr">
        <is>
          <t>Yield</t>
        </is>
      </c>
      <c r="C220" s="81" t="inlineStr">
        <is>
          <t>economy</t>
        </is>
      </c>
      <c r="D220" s="81" t="n">
        <v>5</v>
      </c>
      <c r="E220" s="81">
        <f>E69</f>
        <v/>
      </c>
      <c r="F220" s="81">
        <f>F69</f>
        <v/>
      </c>
      <c r="G220" s="81" t="n">
        <v>1</v>
      </c>
      <c r="H220" s="81" t="n">
        <v>1</v>
      </c>
      <c r="I220" s="81" t="n">
        <v>1</v>
      </c>
      <c r="L220" s="81" t="n">
        <v>1</v>
      </c>
      <c r="M220" s="81" t="inlineStr">
        <is>
          <t>Gold Reserve</t>
        </is>
      </c>
      <c r="AN220" s="81" t="n">
        <v>1.3</v>
      </c>
      <c r="AO220" s="81" t="n">
        <v>8</v>
      </c>
      <c r="AP220" s="81" t="n">
        <v>1000</v>
      </c>
      <c r="CI220" s="81" t="inlineStr">
        <is>
          <t>B</t>
        </is>
      </c>
      <c r="CJ220" s="81" t="inlineStr">
        <is>
          <t>Big interest: 8% on banked cash</t>
        </is>
      </c>
    </row>
    <row r="221">
      <c r="A221" s="81" t="inlineStr">
        <is>
          <t>Supply Camp</t>
        </is>
      </c>
      <c r="B221" s="81" t="inlineStr">
        <is>
          <t>Yield</t>
        </is>
      </c>
      <c r="C221" s="81" t="inlineStr">
        <is>
          <t>economy</t>
        </is>
      </c>
      <c r="D221" s="81" t="n">
        <v>5</v>
      </c>
      <c r="E221" s="81">
        <f>E69</f>
        <v/>
      </c>
      <c r="F221" s="81">
        <f>F69</f>
        <v/>
      </c>
      <c r="G221" s="81" t="n">
        <v>1</v>
      </c>
      <c r="H221" s="81" t="n">
        <v>1</v>
      </c>
      <c r="I221" s="81" t="n">
        <v>1</v>
      </c>
      <c r="L221" s="81" t="n">
        <v>1</v>
      </c>
      <c r="M221" s="81" t="inlineStr">
        <is>
          <t>Bounty Hall</t>
        </is>
      </c>
      <c r="AN221" s="81" t="n">
        <v>1.3</v>
      </c>
      <c r="CI221" s="81" t="inlineStr">
        <is>
          <t>C</t>
        </is>
      </c>
      <c r="CJ221" s="81" t="inlineStr">
        <is>
          <t>+25 cash for each dino taken down in its range</t>
        </is>
      </c>
      <c r="CO221" s="81" t="n">
        <v>25</v>
      </c>
    </row>
    <row r="222">
      <c r="A222" s="81" t="inlineStr">
        <is>
          <t>Supply Camp</t>
        </is>
      </c>
      <c r="B222" s="81" t="inlineStr">
        <is>
          <t>Airdrop</t>
        </is>
      </c>
      <c r="C222" s="81" t="inlineStr">
        <is>
          <t>economy</t>
        </is>
      </c>
      <c r="D222" s="81" t="n">
        <v>4</v>
      </c>
      <c r="E222" s="81">
        <f>E73</f>
        <v/>
      </c>
      <c r="F222" s="81">
        <f>F73</f>
        <v/>
      </c>
      <c r="G222" s="81" t="n">
        <v>1</v>
      </c>
      <c r="H222" s="81" t="n">
        <v>1</v>
      </c>
      <c r="I222" s="81" t="n">
        <v>1</v>
      </c>
      <c r="L222" s="81" t="n">
        <v>1</v>
      </c>
      <c r="M222" s="81" t="inlineStr">
        <is>
          <t>Heavy Crates</t>
        </is>
      </c>
      <c r="AR222" s="81" t="n">
        <v>790</v>
      </c>
      <c r="CI222" s="81" t="inlineStr">
        <is>
          <t>B</t>
        </is>
      </c>
      <c r="CJ222" s="81" t="inlineStr">
        <is>
          <t>Two crates a round, worth more each</t>
        </is>
      </c>
    </row>
    <row r="223">
      <c r="A223" s="81" t="inlineStr">
        <is>
          <t>Supply Camp</t>
        </is>
      </c>
      <c r="B223" s="81" t="inlineStr">
        <is>
          <t>Airdrop</t>
        </is>
      </c>
      <c r="C223" s="81" t="inlineStr">
        <is>
          <t>economy</t>
        </is>
      </c>
      <c r="D223" s="81" t="n">
        <v>4</v>
      </c>
      <c r="E223" s="81">
        <f>E73</f>
        <v/>
      </c>
      <c r="F223" s="81">
        <f>F73</f>
        <v/>
      </c>
      <c r="G223" s="81" t="n">
        <v>1</v>
      </c>
      <c r="H223" s="81" t="n">
        <v>1</v>
      </c>
      <c r="I223" s="81" t="n">
        <v>1</v>
      </c>
      <c r="L223" s="81" t="n">
        <v>1</v>
      </c>
      <c r="M223" s="81" t="inlineStr">
        <is>
          <t>Extra Drop</t>
        </is>
      </c>
      <c r="AQ223" s="81" t="n">
        <v>4</v>
      </c>
      <c r="CI223" s="81" t="inlineStr">
        <is>
          <t>C</t>
        </is>
      </c>
      <c r="CJ223" s="81" t="inlineStr">
        <is>
          <t>Four crates a round</t>
        </is>
      </c>
    </row>
    <row r="224">
      <c r="A224" s="81" t="inlineStr">
        <is>
          <t>Supply Camp</t>
        </is>
      </c>
      <c r="B224" s="81" t="inlineStr">
        <is>
          <t>Airdrop</t>
        </is>
      </c>
      <c r="C224" s="81" t="inlineStr">
        <is>
          <t>economy</t>
        </is>
      </c>
      <c r="D224" s="81" t="n">
        <v>5</v>
      </c>
      <c r="E224" s="81">
        <f>E74</f>
        <v/>
      </c>
      <c r="F224" s="81">
        <f>F74</f>
        <v/>
      </c>
      <c r="G224" s="81" t="n">
        <v>1</v>
      </c>
      <c r="H224" s="81" t="n">
        <v>1</v>
      </c>
      <c r="I224" s="81" t="n">
        <v>1</v>
      </c>
      <c r="L224" s="81" t="n">
        <v>1</v>
      </c>
      <c r="M224" s="81" t="inlineStr">
        <is>
          <t>Supply Fleet</t>
        </is>
      </c>
      <c r="AQ224" s="81" t="n">
        <v>5</v>
      </c>
      <c r="AR224" s="81" t="n">
        <v>790</v>
      </c>
      <c r="CI224" s="81" t="inlineStr">
        <is>
          <t>B</t>
        </is>
      </c>
      <c r="CJ224" s="81" t="inlineStr">
        <is>
          <t>Five crates a round</t>
        </is>
      </c>
    </row>
    <row r="225">
      <c r="A225" s="81" t="inlineStr">
        <is>
          <t>Supply Camp</t>
        </is>
      </c>
      <c r="B225" s="81" t="inlineStr">
        <is>
          <t>Airdrop</t>
        </is>
      </c>
      <c r="C225" s="81" t="inlineStr">
        <is>
          <t>economy</t>
        </is>
      </c>
      <c r="D225" s="81" t="n">
        <v>5</v>
      </c>
      <c r="E225" s="81">
        <f>E74</f>
        <v/>
      </c>
      <c r="F225" s="81">
        <f>F74</f>
        <v/>
      </c>
      <c r="G225" s="81" t="n">
        <v>1</v>
      </c>
      <c r="H225" s="81" t="n">
        <v>1</v>
      </c>
      <c r="I225" s="81" t="n">
        <v>1</v>
      </c>
      <c r="L225" s="81" t="n">
        <v>1</v>
      </c>
      <c r="M225" s="81" t="inlineStr">
        <is>
          <t>Gold Crates</t>
        </is>
      </c>
      <c r="AQ225" s="81" t="n">
        <v>4</v>
      </c>
      <c r="AR225" s="81" t="n">
        <v>900</v>
      </c>
      <c r="CI225" s="81" t="inlineStr">
        <is>
          <t>C</t>
        </is>
      </c>
      <c r="CJ225" s="81" t="inlineStr">
        <is>
          <t>Four crates a round, worth 900 each</t>
        </is>
      </c>
    </row>
    <row r="226">
      <c r="A226" s="81" t="inlineStr">
        <is>
          <t>Supply Camp</t>
        </is>
      </c>
      <c r="B226" s="81" t="inlineStr">
        <is>
          <t>Logistics</t>
        </is>
      </c>
      <c r="C226" s="81" t="inlineStr">
        <is>
          <t>economy</t>
        </is>
      </c>
      <c r="D226" s="81" t="n">
        <v>4</v>
      </c>
      <c r="E226" s="81">
        <f>E78</f>
        <v/>
      </c>
      <c r="F226" s="81">
        <f>F78</f>
        <v/>
      </c>
      <c r="G226" s="81" t="n">
        <v>1</v>
      </c>
      <c r="H226" s="81" t="n">
        <v>1</v>
      </c>
      <c r="I226" s="81" t="n">
        <v>1</v>
      </c>
      <c r="L226" s="81" t="n">
        <v>1</v>
      </c>
      <c r="M226" s="81" t="inlineStr">
        <is>
          <t>Bulk Buyer</t>
        </is>
      </c>
      <c r="AS226" s="81" t="n">
        <v>18</v>
      </c>
      <c r="CI226" s="81" t="inlineStr">
        <is>
          <t>B</t>
        </is>
      </c>
      <c r="CJ226" s="81" t="inlineStr">
        <is>
          <t>Upgrades in range cost 18% less</t>
        </is>
      </c>
    </row>
    <row r="227">
      <c r="A227" s="81" t="inlineStr">
        <is>
          <t>Supply Camp</t>
        </is>
      </c>
      <c r="B227" s="81" t="inlineStr">
        <is>
          <t>Logistics</t>
        </is>
      </c>
      <c r="C227" s="81" t="inlineStr">
        <is>
          <t>economy</t>
        </is>
      </c>
      <c r="D227" s="81" t="n">
        <v>4</v>
      </c>
      <c r="E227" s="81">
        <f>E78</f>
        <v/>
      </c>
      <c r="F227" s="81">
        <f>F78</f>
        <v/>
      </c>
      <c r="G227" s="81" t="n">
        <v>1</v>
      </c>
      <c r="H227" s="81" t="n">
        <v>1</v>
      </c>
      <c r="I227" s="81" t="n">
        <v>1</v>
      </c>
      <c r="L227" s="81" t="n">
        <v>1</v>
      </c>
      <c r="M227" s="81" t="inlineStr">
        <is>
          <t>Scrap Dealer</t>
        </is>
      </c>
      <c r="AT227" s="81" t="n">
        <v>0.97</v>
      </c>
      <c r="CI227" s="81" t="inlineStr">
        <is>
          <t>C</t>
        </is>
      </c>
      <c r="CJ227" s="81" t="inlineStr">
        <is>
          <t>Towers in range sell for 97%</t>
        </is>
      </c>
    </row>
    <row r="228">
      <c r="A228" s="81" t="inlineStr">
        <is>
          <t>Supply Camp</t>
        </is>
      </c>
      <c r="B228" s="81" t="inlineStr">
        <is>
          <t>Logistics</t>
        </is>
      </c>
      <c r="C228" s="81" t="inlineStr">
        <is>
          <t>economy</t>
        </is>
      </c>
      <c r="D228" s="81" t="n">
        <v>5</v>
      </c>
      <c r="E228" s="81">
        <f>E79</f>
        <v/>
      </c>
      <c r="F228" s="81">
        <f>F79</f>
        <v/>
      </c>
      <c r="G228" s="81" t="n">
        <v>1</v>
      </c>
      <c r="H228" s="81" t="n">
        <v>1</v>
      </c>
      <c r="I228" s="81" t="n">
        <v>1</v>
      </c>
      <c r="L228" s="81" t="n">
        <v>1</v>
      </c>
      <c r="M228" s="81" t="inlineStr">
        <is>
          <t>Wholesale</t>
        </is>
      </c>
      <c r="AS228" s="81" t="n">
        <v>32</v>
      </c>
      <c r="CI228" s="81" t="inlineStr">
        <is>
          <t>B</t>
        </is>
      </c>
      <c r="CJ228" s="81" t="inlineStr">
        <is>
          <t>Upgrades in range cost 32% less</t>
        </is>
      </c>
    </row>
    <row r="229">
      <c r="A229" s="81" t="inlineStr">
        <is>
          <t>Supply Camp</t>
        </is>
      </c>
      <c r="B229" s="81" t="inlineStr">
        <is>
          <t>Logistics</t>
        </is>
      </c>
      <c r="C229" s="81" t="inlineStr">
        <is>
          <t>economy</t>
        </is>
      </c>
      <c r="D229" s="81" t="n">
        <v>5</v>
      </c>
      <c r="E229" s="81">
        <f>E79</f>
        <v/>
      </c>
      <c r="F229" s="81">
        <f>F79</f>
        <v/>
      </c>
      <c r="G229" s="81" t="n">
        <v>1</v>
      </c>
      <c r="H229" s="81" t="n">
        <v>1</v>
      </c>
      <c r="I229" s="81" t="n">
        <v>1</v>
      </c>
      <c r="L229" s="81" t="n">
        <v>1</v>
      </c>
      <c r="M229" s="81" t="inlineStr">
        <is>
          <t>Depot</t>
        </is>
      </c>
      <c r="AB229" s="81" t="n">
        <v>20</v>
      </c>
      <c r="AS229" s="81" t="n">
        <v>15</v>
      </c>
      <c r="AT229" s="81" t="n">
        <v>0.95</v>
      </c>
      <c r="CI229" s="81" t="inlineStr">
        <is>
          <t>C</t>
        </is>
      </c>
      <c r="CJ229" s="81" t="inlineStr">
        <is>
          <t>Towers in range fire 20% faster, cost 15% less</t>
        </is>
      </c>
    </row>
    <row r="230">
      <c r="A230" s="81" t="inlineStr">
        <is>
          <t>Field Hospital</t>
        </is>
      </c>
      <c r="B230" s="81" t="inlineStr">
        <is>
          <t>Ward</t>
        </is>
      </c>
      <c r="C230" s="81" t="inlineStr">
        <is>
          <t>healing</t>
        </is>
      </c>
      <c r="D230" s="81" t="n">
        <v>4</v>
      </c>
      <c r="E230" s="81">
        <f>E98</f>
        <v/>
      </c>
      <c r="F230" s="81">
        <f>F98</f>
        <v/>
      </c>
      <c r="G230" s="81" t="n">
        <v>1</v>
      </c>
      <c r="H230" s="81" t="n">
        <v>1</v>
      </c>
      <c r="I230" s="81" t="n">
        <v>1</v>
      </c>
      <c r="L230" s="81" t="n">
        <v>1</v>
      </c>
      <c r="M230" s="81" t="inlineStr">
        <is>
          <t>Quick Stitch</t>
        </is>
      </c>
      <c r="BD230" s="81" t="n">
        <v>1</v>
      </c>
      <c r="CI230" s="81" t="inlineStr">
        <is>
          <t>B</t>
        </is>
      </c>
      <c r="CJ230" s="81" t="inlineStr">
        <is>
          <t>Trampled towers stand up twice as fast</t>
        </is>
      </c>
    </row>
    <row r="231">
      <c r="A231" s="81" t="inlineStr">
        <is>
          <t>Field Hospital</t>
        </is>
      </c>
      <c r="B231" s="81" t="inlineStr">
        <is>
          <t>Ward</t>
        </is>
      </c>
      <c r="C231" s="81" t="inlineStr">
        <is>
          <t>healing</t>
        </is>
      </c>
      <c r="D231" s="81" t="n">
        <v>4</v>
      </c>
      <c r="E231" s="81">
        <f>E98</f>
        <v/>
      </c>
      <c r="F231" s="81">
        <f>F98</f>
        <v/>
      </c>
      <c r="G231" s="81" t="n">
        <v>1</v>
      </c>
      <c r="H231" s="81" t="n">
        <v>1</v>
      </c>
      <c r="I231" s="81" t="n">
        <v>1</v>
      </c>
      <c r="L231" s="81" t="n">
        <v>1.25</v>
      </c>
      <c r="M231" s="81" t="inlineStr">
        <is>
          <t>Big Tent</t>
        </is>
      </c>
      <c r="CI231" s="81" t="inlineStr">
        <is>
          <t>C</t>
        </is>
      </c>
      <c r="CJ231" s="81" t="inlineStr">
        <is>
          <t>Heals towers in a wider ring</t>
        </is>
      </c>
    </row>
    <row r="232">
      <c r="A232" s="81" t="inlineStr">
        <is>
          <t>Field Hospital</t>
        </is>
      </c>
      <c r="B232" s="81" t="inlineStr">
        <is>
          <t>Ward</t>
        </is>
      </c>
      <c r="C232" s="81" t="inlineStr">
        <is>
          <t>healing</t>
        </is>
      </c>
      <c r="D232" s="81" t="n">
        <v>5</v>
      </c>
      <c r="E232" s="81">
        <f>E99</f>
        <v/>
      </c>
      <c r="F232" s="81">
        <f>F99</f>
        <v/>
      </c>
      <c r="G232" s="81" t="n">
        <v>1</v>
      </c>
      <c r="H232" s="81" t="n">
        <v>1</v>
      </c>
      <c r="I232" s="81" t="n">
        <v>1</v>
      </c>
      <c r="L232" s="81" t="n">
        <v>1.4</v>
      </c>
      <c r="M232" s="81" t="inlineStr">
        <is>
          <t>Field Ward</t>
        </is>
      </c>
      <c r="BB232" s="81" t="n">
        <v>1.2</v>
      </c>
      <c r="CI232" s="81" t="inlineStr">
        <is>
          <t>B</t>
        </is>
      </c>
      <c r="CJ232" s="81" t="inlineStr">
        <is>
          <t>Heals a huge ring of towers</t>
        </is>
      </c>
    </row>
    <row r="233">
      <c r="A233" s="81" t="inlineStr">
        <is>
          <t>Field Hospital</t>
        </is>
      </c>
      <c r="B233" s="81" t="inlineStr">
        <is>
          <t>Ward</t>
        </is>
      </c>
      <c r="C233" s="81" t="inlineStr">
        <is>
          <t>healing</t>
        </is>
      </c>
      <c r="D233" s="81" t="n">
        <v>5</v>
      </c>
      <c r="E233" s="81">
        <f>E99</f>
        <v/>
      </c>
      <c r="F233" s="81">
        <f>F99</f>
        <v/>
      </c>
      <c r="G233" s="81" t="n">
        <v>1</v>
      </c>
      <c r="H233" s="81" t="n">
        <v>1</v>
      </c>
      <c r="I233" s="81" t="n">
        <v>1</v>
      </c>
      <c r="L233" s="81" t="n">
        <v>1</v>
      </c>
      <c r="M233" s="81" t="inlineStr">
        <is>
          <t>Rapid Recovery</t>
        </is>
      </c>
      <c r="BB233" s="81" t="n">
        <v>1.25</v>
      </c>
      <c r="BD233" s="81" t="n">
        <v>2</v>
      </c>
      <c r="CI233" s="81" t="inlineStr">
        <is>
          <t>C</t>
        </is>
      </c>
      <c r="CJ233" s="81" t="inlineStr">
        <is>
          <t>Trampled towers jump back up 4x as fast</t>
        </is>
      </c>
    </row>
    <row r="234">
      <c r="A234" s="81" t="inlineStr">
        <is>
          <t>Field Hospital</t>
        </is>
      </c>
      <c r="B234" s="81" t="inlineStr">
        <is>
          <t>Rescue</t>
        </is>
      </c>
      <c r="C234" s="81" t="inlineStr">
        <is>
          <t>hunters</t>
        </is>
      </c>
      <c r="D234" s="81" t="n">
        <v>4</v>
      </c>
      <c r="E234" s="81">
        <f>E103</f>
        <v/>
      </c>
      <c r="F234" s="81">
        <f>F103</f>
        <v/>
      </c>
      <c r="G234" s="81" t="n">
        <v>1</v>
      </c>
      <c r="H234" s="81" t="n">
        <v>1</v>
      </c>
      <c r="I234" s="81" t="n">
        <v>1</v>
      </c>
      <c r="L234" s="81" t="n">
        <v>1.3</v>
      </c>
      <c r="M234" s="81" t="inlineStr">
        <is>
          <t>Long Whistle</t>
        </is>
      </c>
      <c r="BE234" s="81" t="n">
        <v>3</v>
      </c>
      <c r="CI234" s="81" t="inlineStr">
        <is>
          <t>B</t>
        </is>
      </c>
      <c r="CJ234" s="81" t="inlineStr">
        <is>
          <t>Kits reach hunters in a much wider ring</t>
        </is>
      </c>
    </row>
    <row r="235">
      <c r="A235" s="81" t="inlineStr">
        <is>
          <t>Field Hospital</t>
        </is>
      </c>
      <c r="B235" s="81" t="inlineStr">
        <is>
          <t>Rescue</t>
        </is>
      </c>
      <c r="C235" s="81" t="inlineStr">
        <is>
          <t>hunters</t>
        </is>
      </c>
      <c r="D235" s="81" t="n">
        <v>4</v>
      </c>
      <c r="E235" s="81">
        <f>E103</f>
        <v/>
      </c>
      <c r="F235" s="81">
        <f>F103</f>
        <v/>
      </c>
      <c r="G235" s="81" t="n">
        <v>1</v>
      </c>
      <c r="H235" s="81" t="n">
        <v>1</v>
      </c>
      <c r="I235" s="81" t="n">
        <v>1</v>
      </c>
      <c r="L235" s="81" t="n">
        <v>1</v>
      </c>
      <c r="M235" s="81" t="inlineStr">
        <is>
          <t>Kit Bags</t>
        </is>
      </c>
      <c r="BE235" s="81" t="n">
        <v>4</v>
      </c>
      <c r="CI235" s="81" t="inlineStr">
        <is>
          <t>C</t>
        </is>
      </c>
      <c r="CJ235" s="81" t="inlineStr">
        <is>
          <t>Four med kits land each round</t>
        </is>
      </c>
    </row>
    <row r="236">
      <c r="A236" s="81" t="inlineStr">
        <is>
          <t>Field Hospital</t>
        </is>
      </c>
      <c r="B236" s="81" t="inlineStr">
        <is>
          <t>Rescue</t>
        </is>
      </c>
      <c r="C236" s="81" t="inlineStr">
        <is>
          <t>hunters</t>
        </is>
      </c>
      <c r="D236" s="81" t="n">
        <v>5</v>
      </c>
      <c r="E236" s="81">
        <f>E104</f>
        <v/>
      </c>
      <c r="F236" s="81">
        <f>F104</f>
        <v/>
      </c>
      <c r="G236" s="81" t="n">
        <v>1</v>
      </c>
      <c r="H236" s="81" t="n">
        <v>1</v>
      </c>
      <c r="I236" s="81" t="n">
        <v>1</v>
      </c>
      <c r="L236" s="81" t="n">
        <v>1.15</v>
      </c>
      <c r="M236" s="81" t="inlineStr">
        <is>
          <t>Pack Train</t>
        </is>
      </c>
      <c r="BE236" s="81" t="n">
        <v>5</v>
      </c>
      <c r="BF236" s="81" t="n">
        <v>50</v>
      </c>
      <c r="CI236" s="81" t="inlineStr">
        <is>
          <t>B</t>
        </is>
      </c>
      <c r="CJ236" s="81" t="inlineStr">
        <is>
          <t>Five med kits a round, 50 each</t>
        </is>
      </c>
    </row>
    <row r="237">
      <c r="A237" s="81" t="inlineStr">
        <is>
          <t>Field Hospital</t>
        </is>
      </c>
      <c r="B237" s="81" t="inlineStr">
        <is>
          <t>Rescue</t>
        </is>
      </c>
      <c r="C237" s="81" t="inlineStr">
        <is>
          <t>hunters</t>
        </is>
      </c>
      <c r="D237" s="81" t="n">
        <v>5</v>
      </c>
      <c r="E237" s="81">
        <f>E104</f>
        <v/>
      </c>
      <c r="F237" s="81">
        <f>F104</f>
        <v/>
      </c>
      <c r="G237" s="81" t="n">
        <v>1</v>
      </c>
      <c r="H237" s="81" t="n">
        <v>1</v>
      </c>
      <c r="I237" s="81" t="n">
        <v>1</v>
      </c>
      <c r="L237" s="81" t="n">
        <v>1.15</v>
      </c>
      <c r="M237" s="81" t="inlineStr">
        <is>
          <t>Medevac</t>
        </is>
      </c>
      <c r="BF237" s="81" t="n">
        <v>45</v>
      </c>
      <c r="BG237" s="81" t="n">
        <v>0.35</v>
      </c>
      <c r="CI237" s="81" t="inlineStr">
        <is>
          <t>C</t>
        </is>
      </c>
      <c r="CJ237" s="81" t="inlineStr">
        <is>
          <t>Downed hunters come back 3x as fast</t>
        </is>
      </c>
    </row>
    <row r="238">
      <c r="A238" s="81" t="inlineStr">
        <is>
          <t>Field Hospital</t>
        </is>
      </c>
      <c r="B238" s="81" t="inlineStr">
        <is>
          <t>Tonic</t>
        </is>
      </c>
      <c r="C238" s="81" t="inlineStr">
        <is>
          <t>tougher towers</t>
        </is>
      </c>
      <c r="D238" s="81" t="n">
        <v>4</v>
      </c>
      <c r="E238" s="81">
        <f>E108</f>
        <v/>
      </c>
      <c r="F238" s="81">
        <f>F108</f>
        <v/>
      </c>
      <c r="G238" s="81" t="n">
        <v>1</v>
      </c>
      <c r="H238" s="81" t="n">
        <v>1</v>
      </c>
      <c r="I238" s="81" t="n">
        <v>1</v>
      </c>
      <c r="L238" s="81" t="n">
        <v>1</v>
      </c>
      <c r="M238" s="81" t="inlineStr">
        <is>
          <t>Hot Coffee</t>
        </is>
      </c>
      <c r="AB238" s="81" t="n">
        <v>18</v>
      </c>
      <c r="BH238" s="81" t="n">
        <v>25</v>
      </c>
      <c r="CI238" s="81" t="inlineStr">
        <is>
          <t>B</t>
        </is>
      </c>
      <c r="CJ238" s="81" t="inlineStr">
        <is>
          <t>Towers in range fire 18% faster</t>
        </is>
      </c>
    </row>
    <row r="239">
      <c r="A239" s="81" t="inlineStr">
        <is>
          <t>Field Hospital</t>
        </is>
      </c>
      <c r="B239" s="81" t="inlineStr">
        <is>
          <t>Tonic</t>
        </is>
      </c>
      <c r="C239" s="81" t="inlineStr">
        <is>
          <t>tougher towers</t>
        </is>
      </c>
      <c r="D239" s="81" t="n">
        <v>4</v>
      </c>
      <c r="E239" s="81">
        <f>E108</f>
        <v/>
      </c>
      <c r="F239" s="81">
        <f>F108</f>
        <v/>
      </c>
      <c r="G239" s="81" t="n">
        <v>1</v>
      </c>
      <c r="H239" s="81" t="n">
        <v>1</v>
      </c>
      <c r="I239" s="81" t="n">
        <v>1</v>
      </c>
      <c r="L239" s="81" t="n">
        <v>1</v>
      </c>
      <c r="M239" s="81" t="inlineStr">
        <is>
          <t>Bitter Tonic</t>
        </is>
      </c>
      <c r="BH239" s="81" t="n">
        <v>25</v>
      </c>
      <c r="CI239" s="81" t="inlineStr">
        <is>
          <t>C</t>
        </is>
      </c>
      <c r="CJ239" s="81" t="inlineStr">
        <is>
          <t>Dinos that bite towers in range get slowed</t>
        </is>
      </c>
      <c r="CP239" s="81" t="n">
        <v>25</v>
      </c>
      <c r="CQ239" s="81" t="n">
        <v>2</v>
      </c>
    </row>
    <row r="240">
      <c r="A240" s="81" t="inlineStr">
        <is>
          <t>Field Hospital</t>
        </is>
      </c>
      <c r="B240" s="81" t="inlineStr">
        <is>
          <t>Tonic</t>
        </is>
      </c>
      <c r="C240" s="81" t="inlineStr">
        <is>
          <t>tougher towers</t>
        </is>
      </c>
      <c r="D240" s="81" t="n">
        <v>5</v>
      </c>
      <c r="E240" s="81">
        <f>E109</f>
        <v/>
      </c>
      <c r="F240" s="81">
        <f>F109</f>
        <v/>
      </c>
      <c r="G240" s="81" t="n">
        <v>1</v>
      </c>
      <c r="H240" s="81" t="n">
        <v>1</v>
      </c>
      <c r="I240" s="81" t="n">
        <v>1</v>
      </c>
      <c r="L240" s="81" t="n">
        <v>1</v>
      </c>
      <c r="M240" s="81" t="inlineStr">
        <is>
          <t>Adrenaline</t>
        </is>
      </c>
      <c r="AB240" s="81" t="n">
        <v>30</v>
      </c>
      <c r="BH240" s="81" t="n">
        <v>40</v>
      </c>
      <c r="CI240" s="81" t="inlineStr">
        <is>
          <t>B</t>
        </is>
      </c>
      <c r="CJ240" s="81" t="inlineStr">
        <is>
          <t>Towers in range fire 30% faster</t>
        </is>
      </c>
    </row>
    <row r="241">
      <c r="A241" s="81" t="inlineStr">
        <is>
          <t>Field Hospital</t>
        </is>
      </c>
      <c r="B241" s="81" t="inlineStr">
        <is>
          <t>Tonic</t>
        </is>
      </c>
      <c r="C241" s="81" t="inlineStr">
        <is>
          <t>tougher towers</t>
        </is>
      </c>
      <c r="D241" s="81" t="n">
        <v>5</v>
      </c>
      <c r="E241" s="81">
        <f>E109</f>
        <v/>
      </c>
      <c r="F241" s="81">
        <f>F109</f>
        <v/>
      </c>
      <c r="G241" s="81" t="n">
        <v>1</v>
      </c>
      <c r="H241" s="81" t="n">
        <v>1</v>
      </c>
      <c r="I241" s="81" t="n">
        <v>1</v>
      </c>
      <c r="L241" s="81" t="n">
        <v>1</v>
      </c>
      <c r="M241" s="81" t="inlineStr">
        <is>
          <t>Bitter Brew</t>
        </is>
      </c>
      <c r="BH241" s="81" t="n">
        <v>45</v>
      </c>
      <c r="CI241" s="81" t="inlineStr">
        <is>
          <t>C</t>
        </is>
      </c>
      <c r="CJ241" s="81" t="inlineStr">
        <is>
          <t>Biters slowed 30% for 3 s; towers +45% HP</t>
        </is>
      </c>
      <c r="CP241" s="81" t="n">
        <v>30</v>
      </c>
      <c r="CQ241" s="81" t="n">
        <v>3</v>
      </c>
    </row>
    <row r="242">
      <c r="A242" s="81" t="inlineStr">
        <is>
          <t>Armory</t>
        </is>
      </c>
      <c r="B242" s="81" t="inlineStr">
        <is>
          <t>Plating</t>
        </is>
      </c>
      <c r="C242" s="81" t="inlineStr">
        <is>
          <t>resistance</t>
        </is>
      </c>
      <c r="D242" s="81" t="n">
        <v>4</v>
      </c>
      <c r="E242" s="81">
        <f>E83</f>
        <v/>
      </c>
      <c r="F242" s="81">
        <f>F83</f>
        <v/>
      </c>
      <c r="G242" s="81" t="n">
        <v>1</v>
      </c>
      <c r="H242" s="81" t="n">
        <v>1</v>
      </c>
      <c r="I242" s="81" t="n">
        <v>1</v>
      </c>
      <c r="L242" s="81" t="n">
        <v>1</v>
      </c>
      <c r="M242" s="81" t="inlineStr">
        <is>
          <t>Spiked Walls</t>
        </is>
      </c>
      <c r="AU242" s="81" t="n">
        <v>30</v>
      </c>
      <c r="AV242" s="81" t="n">
        <v>10</v>
      </c>
      <c r="CI242" s="81" t="inlineStr">
        <is>
          <t>B</t>
        </is>
      </c>
      <c r="CJ242" s="81" t="inlineStr">
        <is>
          <t>Dinos that bite take 10 damage back</t>
        </is>
      </c>
    </row>
    <row r="243">
      <c r="A243" s="81" t="inlineStr">
        <is>
          <t>Armory</t>
        </is>
      </c>
      <c r="B243" s="81" t="inlineStr">
        <is>
          <t>Plating</t>
        </is>
      </c>
      <c r="C243" s="81" t="inlineStr">
        <is>
          <t>resistance</t>
        </is>
      </c>
      <c r="D243" s="81" t="n">
        <v>4</v>
      </c>
      <c r="E243" s="81">
        <f>E83</f>
        <v/>
      </c>
      <c r="F243" s="81">
        <f>F83</f>
        <v/>
      </c>
      <c r="G243" s="81" t="n">
        <v>1</v>
      </c>
      <c r="H243" s="81" t="n">
        <v>1</v>
      </c>
      <c r="I243" s="81" t="n">
        <v>1</v>
      </c>
      <c r="L243" s="81" t="n">
        <v>1</v>
      </c>
      <c r="M243" s="81" t="inlineStr">
        <is>
          <t>Barbed Wire</t>
        </is>
      </c>
      <c r="AU243" s="81" t="n">
        <v>32</v>
      </c>
      <c r="CI243" s="81" t="inlineStr">
        <is>
          <t>C</t>
        </is>
      </c>
      <c r="CJ243" s="81" t="inlineStr">
        <is>
          <t>Stings and slows raiders who shoot towers here</t>
        </is>
      </c>
      <c r="CK243" s="81" t="inlineStr">
        <is>
          <t>yes</t>
        </is>
      </c>
      <c r="CL243" s="81" t="n">
        <v>20</v>
      </c>
      <c r="CM243" s="81" t="n">
        <v>2</v>
      </c>
      <c r="CN243" s="81" t="n">
        <v>10</v>
      </c>
    </row>
    <row r="244">
      <c r="A244" s="81" t="inlineStr">
        <is>
          <t>Armory</t>
        </is>
      </c>
      <c r="B244" s="81" t="inlineStr">
        <is>
          <t>Plating</t>
        </is>
      </c>
      <c r="C244" s="81" t="inlineStr">
        <is>
          <t>resistance</t>
        </is>
      </c>
      <c r="D244" s="81" t="n">
        <v>5</v>
      </c>
      <c r="E244" s="81">
        <f>E84</f>
        <v/>
      </c>
      <c r="F244" s="81">
        <f>F84</f>
        <v/>
      </c>
      <c r="G244" s="81" t="n">
        <v>1</v>
      </c>
      <c r="H244" s="81" t="n">
        <v>1</v>
      </c>
      <c r="I244" s="81" t="n">
        <v>1</v>
      </c>
      <c r="L244" s="81" t="n">
        <v>1</v>
      </c>
      <c r="M244" s="81" t="inlineStr">
        <is>
          <t>Iron Fortress</t>
        </is>
      </c>
      <c r="AU244" s="81" t="n">
        <v>55</v>
      </c>
      <c r="CI244" s="81" t="inlineStr">
        <is>
          <t>B</t>
        </is>
      </c>
      <c r="CJ244" s="81" t="inlineStr">
        <is>
          <t>Towers in range take 55% less damage</t>
        </is>
      </c>
    </row>
    <row r="245">
      <c r="A245" s="81" t="inlineStr">
        <is>
          <t>Armory</t>
        </is>
      </c>
      <c r="B245" s="81" t="inlineStr">
        <is>
          <t>Plating</t>
        </is>
      </c>
      <c r="C245" s="81" t="inlineStr">
        <is>
          <t>resistance</t>
        </is>
      </c>
      <c r="D245" s="81" t="n">
        <v>5</v>
      </c>
      <c r="E245" s="81">
        <f>E84</f>
        <v/>
      </c>
      <c r="F245" s="81">
        <f>F84</f>
        <v/>
      </c>
      <c r="G245" s="81" t="n">
        <v>1</v>
      </c>
      <c r="H245" s="81" t="n">
        <v>1</v>
      </c>
      <c r="I245" s="81" t="n">
        <v>1</v>
      </c>
      <c r="L245" s="81" t="n">
        <v>1</v>
      </c>
      <c r="M245" s="81" t="inlineStr">
        <is>
          <t>Spike Fortress</t>
        </is>
      </c>
      <c r="AU245" s="81" t="n">
        <v>40</v>
      </c>
      <c r="AV245" s="81" t="n">
        <v>18</v>
      </c>
      <c r="CI245" s="81" t="inlineStr">
        <is>
          <t>C</t>
        </is>
      </c>
      <c r="CJ245" s="81" t="inlineStr">
        <is>
          <t>Biters take 18 damage back</t>
        </is>
      </c>
    </row>
    <row r="246">
      <c r="A246" s="81" t="inlineStr">
        <is>
          <t>Armory</t>
        </is>
      </c>
      <c r="B246" s="81" t="inlineStr">
        <is>
          <t>Gunsmith</t>
        </is>
      </c>
      <c r="C246" s="81" t="inlineStr">
        <is>
          <t>support</t>
        </is>
      </c>
      <c r="D246" s="81" t="n">
        <v>4</v>
      </c>
      <c r="E246" s="81">
        <f>E88</f>
        <v/>
      </c>
      <c r="F246" s="81">
        <f>F88</f>
        <v/>
      </c>
      <c r="G246" s="81" t="n">
        <v>1</v>
      </c>
      <c r="H246" s="81" t="n">
        <v>1</v>
      </c>
      <c r="I246" s="81" t="n">
        <v>1</v>
      </c>
      <c r="L246" s="81" t="n">
        <v>1</v>
      </c>
      <c r="M246" s="81" t="inlineStr">
        <is>
          <t>Rapid Feed</t>
        </is>
      </c>
      <c r="AB246" s="81" t="n">
        <v>20</v>
      </c>
      <c r="AC246" s="81" t="n">
        <v>15</v>
      </c>
      <c r="CI246" s="81" t="inlineStr">
        <is>
          <t>B</t>
        </is>
      </c>
      <c r="CJ246" s="81" t="inlineStr">
        <is>
          <t>Towers in range fire 20% faster</t>
        </is>
      </c>
    </row>
    <row r="247">
      <c r="A247" s="81" t="inlineStr">
        <is>
          <t>Armory</t>
        </is>
      </c>
      <c r="B247" s="81" t="inlineStr">
        <is>
          <t>Gunsmith</t>
        </is>
      </c>
      <c r="C247" s="81" t="inlineStr">
        <is>
          <t>support</t>
        </is>
      </c>
      <c r="D247" s="81" t="n">
        <v>4</v>
      </c>
      <c r="E247" s="81">
        <f>E88</f>
        <v/>
      </c>
      <c r="F247" s="81">
        <f>F88</f>
        <v/>
      </c>
      <c r="G247" s="81" t="n">
        <v>1</v>
      </c>
      <c r="H247" s="81" t="n">
        <v>1</v>
      </c>
      <c r="I247" s="81" t="n">
        <v>1</v>
      </c>
      <c r="L247" s="81" t="n">
        <v>1</v>
      </c>
      <c r="M247" s="81" t="inlineStr">
        <is>
          <t>Heavy Loads</t>
        </is>
      </c>
      <c r="AB247" s="81" t="n">
        <v>5</v>
      </c>
      <c r="AC247" s="81" t="n">
        <v>30</v>
      </c>
      <c r="CI247" s="81" t="inlineStr">
        <is>
          <t>C</t>
        </is>
      </c>
      <c r="CJ247" s="81" t="inlineStr">
        <is>
          <t>Towers in range hit 30% harder</t>
        </is>
      </c>
    </row>
    <row r="248">
      <c r="A248" s="81" t="inlineStr">
        <is>
          <t>Armory</t>
        </is>
      </c>
      <c r="B248" s="81" t="inlineStr">
        <is>
          <t>Gunsmith</t>
        </is>
      </c>
      <c r="C248" s="81" t="inlineStr">
        <is>
          <t>support</t>
        </is>
      </c>
      <c r="D248" s="81" t="n">
        <v>5</v>
      </c>
      <c r="E248" s="81">
        <f>E89</f>
        <v/>
      </c>
      <c r="F248" s="81">
        <f>F89</f>
        <v/>
      </c>
      <c r="G248" s="81" t="n">
        <v>1</v>
      </c>
      <c r="H248" s="81" t="n">
        <v>1</v>
      </c>
      <c r="I248" s="81" t="n">
        <v>1</v>
      </c>
      <c r="L248" s="81" t="n">
        <v>1</v>
      </c>
      <c r="M248" s="81" t="inlineStr">
        <is>
          <t>Machine Shop</t>
        </is>
      </c>
      <c r="AB248" s="81" t="n">
        <v>30</v>
      </c>
      <c r="AC248" s="81" t="n">
        <v>25</v>
      </c>
      <c r="CI248" s="81" t="inlineStr">
        <is>
          <t>B</t>
        </is>
      </c>
      <c r="CJ248" s="81" t="inlineStr">
        <is>
          <t>Towers in range fire 30% faster</t>
        </is>
      </c>
    </row>
    <row r="249">
      <c r="A249" s="81" t="inlineStr">
        <is>
          <t>Armory</t>
        </is>
      </c>
      <c r="B249" s="81" t="inlineStr">
        <is>
          <t>Gunsmith</t>
        </is>
      </c>
      <c r="C249" s="81" t="inlineStr">
        <is>
          <t>support</t>
        </is>
      </c>
      <c r="D249" s="81" t="n">
        <v>5</v>
      </c>
      <c r="E249" s="81">
        <f>E89</f>
        <v/>
      </c>
      <c r="F249" s="81">
        <f>F89</f>
        <v/>
      </c>
      <c r="G249" s="81" t="n">
        <v>1</v>
      </c>
      <c r="H249" s="81" t="n">
        <v>1</v>
      </c>
      <c r="I249" s="81" t="n">
        <v>1</v>
      </c>
      <c r="L249" s="81" t="n">
        <v>1</v>
      </c>
      <c r="M249" s="81" t="inlineStr">
        <is>
          <t>Magnum Loads</t>
        </is>
      </c>
      <c r="AB249" s="81" t="n">
        <v>15</v>
      </c>
      <c r="AC249" s="81" t="n">
        <v>40</v>
      </c>
      <c r="CI249" s="81" t="inlineStr">
        <is>
          <t>C</t>
        </is>
      </c>
      <c r="CJ249" s="81" t="inlineStr">
        <is>
          <t>Towers in range hit 40% harder</t>
        </is>
      </c>
    </row>
    <row r="250">
      <c r="A250" s="81" t="inlineStr">
        <is>
          <t>Armory</t>
        </is>
      </c>
      <c r="B250" s="81" t="inlineStr">
        <is>
          <t>Outfitter</t>
        </is>
      </c>
      <c r="C250" s="81" t="inlineStr">
        <is>
          <t>hunters</t>
        </is>
      </c>
      <c r="D250" s="81" t="n">
        <v>4</v>
      </c>
      <c r="E250" s="81">
        <f>E93</f>
        <v/>
      </c>
      <c r="F250" s="81">
        <f>F93</f>
        <v/>
      </c>
      <c r="G250" s="81" t="n">
        <v>1</v>
      </c>
      <c r="H250" s="81" t="n">
        <v>1</v>
      </c>
      <c r="I250" s="81" t="n">
        <v>1</v>
      </c>
      <c r="L250" s="81" t="n">
        <v>1</v>
      </c>
      <c r="M250" s="81" t="inlineStr">
        <is>
          <t>Loading Bench</t>
        </is>
      </c>
      <c r="AY250" s="81" t="n">
        <v>0.7</v>
      </c>
      <c r="CI250" s="81" t="inlineStr">
        <is>
          <t>B</t>
        </is>
      </c>
      <c r="CJ250" s="81" t="inlineStr">
        <is>
          <t>Hunters in range reload 30% faster</t>
        </is>
      </c>
    </row>
    <row r="251">
      <c r="A251" s="81" t="inlineStr">
        <is>
          <t>Armory</t>
        </is>
      </c>
      <c r="B251" s="81" t="inlineStr">
        <is>
          <t>Outfitter</t>
        </is>
      </c>
      <c r="C251" s="81" t="inlineStr">
        <is>
          <t>hunters</t>
        </is>
      </c>
      <c r="D251" s="81" t="n">
        <v>4</v>
      </c>
      <c r="E251" s="81">
        <f>E93</f>
        <v/>
      </c>
      <c r="F251" s="81">
        <f>F93</f>
        <v/>
      </c>
      <c r="G251" s="81" t="n">
        <v>1</v>
      </c>
      <c r="H251" s="81" t="n">
        <v>1</v>
      </c>
      <c r="I251" s="81" t="n">
        <v>1</v>
      </c>
      <c r="L251" s="81" t="n">
        <v>1</v>
      </c>
      <c r="M251" s="81" t="inlineStr">
        <is>
          <t>Gun Braces</t>
        </is>
      </c>
      <c r="AX251" s="81" t="n">
        <v>0.7</v>
      </c>
      <c r="CI251" s="81" t="inlineStr">
        <is>
          <t>C</t>
        </is>
      </c>
      <c r="CJ251" s="81" t="inlineStr">
        <is>
          <t>Hunters in range have 30% less recoil</t>
        </is>
      </c>
    </row>
    <row r="252">
      <c r="A252" s="81" t="inlineStr">
        <is>
          <t>Armory</t>
        </is>
      </c>
      <c r="B252" s="81" t="inlineStr">
        <is>
          <t>Outfitter</t>
        </is>
      </c>
      <c r="C252" s="81" t="inlineStr">
        <is>
          <t>hunters</t>
        </is>
      </c>
      <c r="D252" s="81" t="n">
        <v>5</v>
      </c>
      <c r="E252" s="81">
        <f>E94</f>
        <v/>
      </c>
      <c r="F252" s="81">
        <f>F94</f>
        <v/>
      </c>
      <c r="G252" s="81" t="n">
        <v>1</v>
      </c>
      <c r="H252" s="81" t="n">
        <v>1</v>
      </c>
      <c r="I252" s="81" t="n">
        <v>1</v>
      </c>
      <c r="L252" s="81" t="n">
        <v>1.15385</v>
      </c>
      <c r="M252" s="81" t="inlineStr">
        <is>
          <t>Gun Oil</t>
        </is>
      </c>
      <c r="AY252" s="81" t="n">
        <v>0.8</v>
      </c>
      <c r="CI252" s="81" t="inlineStr">
        <is>
          <t>B</t>
        </is>
      </c>
      <c r="CJ252" s="81" t="inlineStr">
        <is>
          <t>Wider ring; hunters in it reload 20% faster</t>
        </is>
      </c>
    </row>
    <row r="253">
      <c r="A253" s="81" t="inlineStr">
        <is>
          <t>Armory</t>
        </is>
      </c>
      <c r="B253" s="81" t="inlineStr">
        <is>
          <t>Outfitter</t>
        </is>
      </c>
      <c r="C253" s="81" t="inlineStr">
        <is>
          <t>hunters</t>
        </is>
      </c>
      <c r="D253" s="81" t="n">
        <v>5</v>
      </c>
      <c r="E253" s="81">
        <f>E94</f>
        <v/>
      </c>
      <c r="F253" s="81">
        <f>F94</f>
        <v/>
      </c>
      <c r="G253" s="81" t="n">
        <v>1</v>
      </c>
      <c r="H253" s="81" t="n">
        <v>1</v>
      </c>
      <c r="I253" s="81" t="n">
        <v>1</v>
      </c>
      <c r="L253" s="81" t="n">
        <v>1.15385</v>
      </c>
      <c r="M253" s="81" t="inlineStr">
        <is>
          <t>Steady Aim</t>
        </is>
      </c>
      <c r="AZ253" s="81" t="n">
        <v>0.8</v>
      </c>
      <c r="CI253" s="81" t="inlineStr">
        <is>
          <t>C</t>
        </is>
      </c>
      <c r="CJ253" s="81" t="inlineStr">
        <is>
          <t>Wider ring; hunters in it aim 20% tighter</t>
        </is>
      </c>
    </row>
    <row r="254">
      <c r="A254" s="43" t="inlineStr">
        <is>
          <t>Storm Coil</t>
        </is>
      </c>
      <c r="B254" s="43" t="inlineStr">
        <is>
          <t>Arc</t>
        </is>
      </c>
      <c r="C254" s="43" t="inlineStr">
        <is>
          <t>more arcs, reach</t>
        </is>
      </c>
      <c r="D254" s="56" t="n">
        <v>4</v>
      </c>
      <c r="E254" s="56">
        <f>E113</f>
        <v/>
      </c>
      <c r="F254" s="56">
        <f>F113</f>
        <v/>
      </c>
      <c r="G254" s="57" t="n">
        <v>1.15</v>
      </c>
      <c r="H254" s="57" t="n">
        <v>1</v>
      </c>
      <c r="I254" s="57" t="n">
        <v>1</v>
      </c>
      <c r="L254" s="57" t="n">
        <v>1</v>
      </c>
      <c r="M254" s="43" t="inlineStr">
        <is>
          <t>Branching Bolt</t>
        </is>
      </c>
      <c r="BM254" s="81" t="n">
        <v>3</v>
      </c>
      <c r="CI254" s="81" t="inlineStr">
        <is>
          <t>B</t>
        </is>
      </c>
      <c r="CJ254" s="81" t="inlineStr">
        <is>
          <t>Every arc forks three ways</t>
        </is>
      </c>
    </row>
    <row r="255">
      <c r="A255" s="43" t="inlineStr">
        <is>
          <t>Storm Coil</t>
        </is>
      </c>
      <c r="B255" s="43" t="inlineStr">
        <is>
          <t>Arc</t>
        </is>
      </c>
      <c r="C255" s="43" t="inlineStr">
        <is>
          <t>more arcs, reach</t>
        </is>
      </c>
      <c r="D255" s="56" t="n">
        <v>4</v>
      </c>
      <c r="E255" s="56">
        <f>E113</f>
        <v/>
      </c>
      <c r="F255" s="56">
        <f>F113</f>
        <v/>
      </c>
      <c r="G255" s="57" t="n">
        <v>1.4</v>
      </c>
      <c r="H255" s="57" t="n">
        <v>1</v>
      </c>
      <c r="I255" s="57" t="n">
        <v>1</v>
      </c>
      <c r="L255" s="57" t="n">
        <v>1</v>
      </c>
      <c r="M255" s="43" t="inlineStr">
        <is>
          <t>Chain Surge</t>
        </is>
      </c>
      <c r="BK255" s="81" t="n">
        <v>9</v>
      </c>
      <c r="CI255" s="81" t="inlineStr">
        <is>
          <t>C</t>
        </is>
      </c>
      <c r="CJ255" s="81" t="inlineStr">
        <is>
          <t>Three more arcs on every strike</t>
        </is>
      </c>
    </row>
    <row r="256">
      <c r="A256" s="43" t="inlineStr">
        <is>
          <t>Storm Coil</t>
        </is>
      </c>
      <c r="B256" s="43" t="inlineStr">
        <is>
          <t>Arc</t>
        </is>
      </c>
      <c r="C256" s="43" t="inlineStr">
        <is>
          <t>more arcs, reach</t>
        </is>
      </c>
      <c r="D256" s="56" t="n">
        <v>5</v>
      </c>
      <c r="E256" s="56">
        <f>E114</f>
        <v/>
      </c>
      <c r="F256" s="56">
        <f>F114</f>
        <v/>
      </c>
      <c r="G256" s="57" t="n">
        <v>1.45</v>
      </c>
      <c r="H256" s="57" t="n">
        <v>1</v>
      </c>
      <c r="I256" s="57" t="n">
        <v>1</v>
      </c>
      <c r="L256" s="57" t="n">
        <v>1</v>
      </c>
      <c r="M256" s="43" t="inlineStr">
        <is>
          <t>Storm Front</t>
        </is>
      </c>
      <c r="CI256" s="81" t="inlineStr">
        <is>
          <t>B</t>
        </is>
      </c>
      <c r="CJ256" s="81" t="inlineStr">
        <is>
          <t>Every 8 s a strike hits every dino on the field</t>
        </is>
      </c>
      <c r="CR256" s="81" t="n">
        <v>8</v>
      </c>
      <c r="CS256" s="81" t="n">
        <v>0.5</v>
      </c>
    </row>
    <row r="257">
      <c r="A257" s="43" t="inlineStr">
        <is>
          <t>Storm Coil</t>
        </is>
      </c>
      <c r="B257" s="43" t="inlineStr">
        <is>
          <t>Arc</t>
        </is>
      </c>
      <c r="C257" s="43" t="inlineStr">
        <is>
          <t>more arcs, reach</t>
        </is>
      </c>
      <c r="D257" s="56" t="n">
        <v>5</v>
      </c>
      <c r="E257" s="56">
        <f>E114</f>
        <v/>
      </c>
      <c r="F257" s="56">
        <f>F114</f>
        <v/>
      </c>
      <c r="G257" s="57" t="n">
        <v>1.5</v>
      </c>
      <c r="H257" s="57" t="n">
        <v>1</v>
      </c>
      <c r="I257" s="57" t="n">
        <v>1</v>
      </c>
      <c r="L257" s="57" t="n">
        <v>1</v>
      </c>
      <c r="M257" s="43" t="inlineStr">
        <is>
          <t>Supercell</t>
        </is>
      </c>
      <c r="AE257" s="81" t="n">
        <v>20</v>
      </c>
      <c r="AF257" s="81" t="n">
        <v>1</v>
      </c>
      <c r="BK257" s="81" t="n">
        <v>14</v>
      </c>
      <c r="CI257" s="81" t="inlineStr">
        <is>
          <t>C</t>
        </is>
      </c>
      <c r="CJ257" s="81" t="inlineStr">
        <is>
          <t>A 14-arc chain that slows every dino it hits</t>
        </is>
      </c>
      <c r="CT257" s="81" t="inlineStr">
        <is>
          <t>Yes</t>
        </is>
      </c>
    </row>
    <row r="258">
      <c r="A258" s="43" t="inlineStr">
        <is>
          <t>Storm Coil</t>
        </is>
      </c>
      <c r="B258" s="43" t="inlineStr">
        <is>
          <t>Charge</t>
        </is>
      </c>
      <c r="C258" s="43" t="inlineStr">
        <is>
          <t>power, armour, stun</t>
        </is>
      </c>
      <c r="D258" s="56" t="n">
        <v>4</v>
      </c>
      <c r="E258" s="56">
        <f>E118</f>
        <v/>
      </c>
      <c r="F258" s="56">
        <f>F118</f>
        <v/>
      </c>
      <c r="G258" s="57" t="n">
        <v>1.35</v>
      </c>
      <c r="H258" s="57" t="n">
        <v>1</v>
      </c>
      <c r="I258" s="57" t="n">
        <v>1</v>
      </c>
      <c r="L258" s="57" t="n">
        <v>1</v>
      </c>
      <c r="M258" s="43" t="inlineStr">
        <is>
          <t>Overcharge</t>
        </is>
      </c>
      <c r="N258" s="46" t="inlineStr">
        <is>
          <t>Yes</t>
        </is>
      </c>
      <c r="U258" s="57" t="n">
        <v>0.8</v>
      </c>
      <c r="CI258" s="81" t="inlineStr">
        <is>
          <t>B</t>
        </is>
      </c>
      <c r="CJ258" s="81" t="inlineStr">
        <is>
          <t>Stuns its first target for 0.8 s</t>
        </is>
      </c>
    </row>
    <row r="259">
      <c r="A259" s="43" t="inlineStr">
        <is>
          <t>Storm Coil</t>
        </is>
      </c>
      <c r="B259" s="43" t="inlineStr">
        <is>
          <t>Charge</t>
        </is>
      </c>
      <c r="C259" s="43" t="inlineStr">
        <is>
          <t>power, armour, stun</t>
        </is>
      </c>
      <c r="D259" s="56" t="n">
        <v>4</v>
      </c>
      <c r="E259" s="56">
        <f>E118</f>
        <v/>
      </c>
      <c r="F259" s="56">
        <f>F118</f>
        <v/>
      </c>
      <c r="G259" s="57" t="n">
        <v>1.3</v>
      </c>
      <c r="H259" s="57" t="n">
        <v>1</v>
      </c>
      <c r="I259" s="57" t="n">
        <v>1</v>
      </c>
      <c r="L259" s="57" t="n">
        <v>1</v>
      </c>
      <c r="M259" s="43" t="inlineStr">
        <is>
          <t>Static Storm</t>
        </is>
      </c>
      <c r="N259" s="46" t="inlineStr">
        <is>
          <t>Yes</t>
        </is>
      </c>
      <c r="BP259" s="81" t="n">
        <v>30</v>
      </c>
      <c r="CI259" s="81" t="inlineStr">
        <is>
          <t>C</t>
        </is>
      </c>
      <c r="CJ259" s="81" t="inlineStr">
        <is>
          <t>Struck dinos take +30% from the next strike</t>
        </is>
      </c>
    </row>
    <row r="260">
      <c r="A260" s="43" t="inlineStr">
        <is>
          <t>Storm Coil</t>
        </is>
      </c>
      <c r="B260" s="43" t="inlineStr">
        <is>
          <t>Charge</t>
        </is>
      </c>
      <c r="C260" s="43" t="inlineStr">
        <is>
          <t>power, armour, stun</t>
        </is>
      </c>
      <c r="D260" s="56" t="n">
        <v>5</v>
      </c>
      <c r="E260" s="56">
        <f>E119</f>
        <v/>
      </c>
      <c r="F260" s="56">
        <f>F119</f>
        <v/>
      </c>
      <c r="G260" s="57" t="n">
        <v>1.85</v>
      </c>
      <c r="H260" s="57" t="n">
        <v>1</v>
      </c>
      <c r="I260" s="57" t="n">
        <v>1</v>
      </c>
      <c r="L260" s="57" t="n">
        <v>1</v>
      </c>
      <c r="M260" s="43" t="inlineStr">
        <is>
          <t>Superconductor</t>
        </is>
      </c>
      <c r="N260" s="46" t="inlineStr">
        <is>
          <t>Yes</t>
        </is>
      </c>
      <c r="CI260" s="81" t="inlineStr">
        <is>
          <t>B</t>
        </is>
      </c>
      <c r="CJ260" s="81" t="inlineStr">
        <is>
          <t>Every dino in the chain is stunned for a moment</t>
        </is>
      </c>
      <c r="CT260" s="81" t="inlineStr">
        <is>
          <t>Yes</t>
        </is>
      </c>
    </row>
    <row r="261">
      <c r="A261" s="43" t="inlineStr">
        <is>
          <t>Storm Coil</t>
        </is>
      </c>
      <c r="B261" s="43" t="inlineStr">
        <is>
          <t>Charge</t>
        </is>
      </c>
      <c r="C261" s="43" t="inlineStr">
        <is>
          <t>power, armour, stun</t>
        </is>
      </c>
      <c r="D261" s="56" t="n">
        <v>5</v>
      </c>
      <c r="E261" s="56">
        <f>E119</f>
        <v/>
      </c>
      <c r="F261" s="56">
        <f>F119</f>
        <v/>
      </c>
      <c r="G261" s="57" t="n">
        <v>2</v>
      </c>
      <c r="H261" s="57" t="n">
        <v>1</v>
      </c>
      <c r="I261" s="57" t="n">
        <v>1</v>
      </c>
      <c r="L261" s="57" t="n">
        <v>1</v>
      </c>
      <c r="M261" s="43" t="inlineStr">
        <is>
          <t>Thunderstrike</t>
        </is>
      </c>
      <c r="N261" s="46" t="inlineStr">
        <is>
          <t>Yes</t>
        </is>
      </c>
      <c r="BJ261" s="81" t="n">
        <v>2</v>
      </c>
      <c r="CI261" s="81" t="inlineStr">
        <is>
          <t>C</t>
        </is>
      </c>
      <c r="CJ261" s="81" t="inlineStr">
        <is>
          <t>Huge strikes that break 2 sizes</t>
        </is>
      </c>
    </row>
    <row r="262">
      <c r="A262" s="43" t="inlineStr">
        <is>
          <t>Storm Coil</t>
        </is>
      </c>
      <c r="B262" s="43" t="inlineStr">
        <is>
          <t>Lightning Rod</t>
        </is>
      </c>
      <c r="C262" s="43" t="inlineStr">
        <is>
          <t>support, defence</t>
        </is>
      </c>
      <c r="D262" s="56" t="n">
        <v>4</v>
      </c>
      <c r="E262" s="56">
        <f>E123</f>
        <v/>
      </c>
      <c r="F262" s="56">
        <f>F123</f>
        <v/>
      </c>
      <c r="G262" s="57" t="n">
        <v>1.3</v>
      </c>
      <c r="H262" s="57" t="n">
        <v>1</v>
      </c>
      <c r="I262" s="57" t="n">
        <v>1</v>
      </c>
      <c r="L262" s="57" t="n">
        <v>1</v>
      </c>
      <c r="M262" s="43" t="inlineStr">
        <is>
          <t>Ground Wire</t>
        </is>
      </c>
      <c r="BR262" s="81" t="n">
        <v>2</v>
      </c>
      <c r="CI262" s="81" t="inlineStr">
        <is>
          <t>B</t>
        </is>
      </c>
      <c r="CJ262" s="81" t="inlineStr">
        <is>
          <t>Strikes down a dino throw every 2 s</t>
        </is>
      </c>
    </row>
    <row r="263">
      <c r="A263" s="43" t="inlineStr">
        <is>
          <t>Storm Coil</t>
        </is>
      </c>
      <c r="B263" s="43" t="inlineStr">
        <is>
          <t>Lightning Rod</t>
        </is>
      </c>
      <c r="C263" s="43" t="inlineStr">
        <is>
          <t>support, defence</t>
        </is>
      </c>
      <c r="D263" s="56" t="n">
        <v>4</v>
      </c>
      <c r="E263" s="56">
        <f>E123</f>
        <v/>
      </c>
      <c r="F263" s="56">
        <f>F123</f>
        <v/>
      </c>
      <c r="G263" s="57" t="n">
        <v>1.3</v>
      </c>
      <c r="H263" s="57" t="n">
        <v>1</v>
      </c>
      <c r="I263" s="57" t="n">
        <v>1</v>
      </c>
      <c r="L263" s="57" t="n">
        <v>1</v>
      </c>
      <c r="M263" s="43" t="inlineStr">
        <is>
          <t>Rod Strike</t>
        </is>
      </c>
      <c r="AB263" s="57" t="n">
        <v>15</v>
      </c>
      <c r="CI263" s="81" t="inlineStr">
        <is>
          <t>C</t>
        </is>
      </c>
      <c r="CJ263" s="81" t="inlineStr">
        <is>
          <t>Zaps raiders; towers in range fire 15% faster</t>
        </is>
      </c>
      <c r="CK263" s="81" t="inlineStr">
        <is>
          <t>yes</t>
        </is>
      </c>
      <c r="CL263" s="81" t="n">
        <v>20</v>
      </c>
      <c r="CM263" s="81" t="n">
        <v>1</v>
      </c>
      <c r="CN263" s="81" t="n">
        <v>8</v>
      </c>
    </row>
    <row r="264">
      <c r="A264" s="43" t="inlineStr">
        <is>
          <t>Storm Coil</t>
        </is>
      </c>
      <c r="B264" s="43" t="inlineStr">
        <is>
          <t>Lightning Rod</t>
        </is>
      </c>
      <c r="C264" s="43" t="inlineStr">
        <is>
          <t>support, defence</t>
        </is>
      </c>
      <c r="D264" s="56" t="n">
        <v>5</v>
      </c>
      <c r="E264" s="56">
        <f>E124</f>
        <v/>
      </c>
      <c r="F264" s="56">
        <f>F124</f>
        <v/>
      </c>
      <c r="G264" s="57" t="n">
        <v>1.3</v>
      </c>
      <c r="H264" s="57" t="n">
        <v>1</v>
      </c>
      <c r="I264" s="57" t="n">
        <v>1</v>
      </c>
      <c r="L264" s="57" t="n">
        <v>1</v>
      </c>
      <c r="M264" s="43" t="inlineStr">
        <is>
          <t>Lightning Shield</t>
        </is>
      </c>
      <c r="AC264" s="57" t="n">
        <v>10</v>
      </c>
      <c r="BR264" s="81" t="n">
        <v>1</v>
      </c>
      <c r="CI264" s="81" t="inlineStr">
        <is>
          <t>B</t>
        </is>
      </c>
      <c r="CJ264" s="81" t="inlineStr">
        <is>
          <t>Strikes down a throw at a tower every second</t>
        </is>
      </c>
    </row>
    <row r="265">
      <c r="A265" s="43" t="inlineStr">
        <is>
          <t>Storm Coil</t>
        </is>
      </c>
      <c r="B265" s="43" t="inlineStr">
        <is>
          <t>Lightning Rod</t>
        </is>
      </c>
      <c r="C265" s="43" t="inlineStr">
        <is>
          <t>support, defence</t>
        </is>
      </c>
      <c r="D265" s="56" t="n">
        <v>5</v>
      </c>
      <c r="E265" s="56">
        <f>E124</f>
        <v/>
      </c>
      <c r="F265" s="56">
        <f>F124</f>
        <v/>
      </c>
      <c r="G265" s="57" t="n">
        <v>1.3</v>
      </c>
      <c r="H265" s="57" t="n">
        <v>1</v>
      </c>
      <c r="I265" s="57" t="n">
        <v>1</v>
      </c>
      <c r="L265" s="57" t="n">
        <v>1</v>
      </c>
      <c r="M265" s="43" t="inlineStr">
        <is>
          <t>Thunder Drums</t>
        </is>
      </c>
      <c r="AB265" s="57" t="n">
        <v>25</v>
      </c>
      <c r="CI265" s="81" t="inlineStr">
        <is>
          <t>C</t>
        </is>
      </c>
      <c r="CJ265" s="81" t="inlineStr">
        <is>
          <t>Towers in range fire 25% faster</t>
        </is>
      </c>
    </row>
    <row r="266">
      <c r="A266" s="43" t="inlineStr">
        <is>
          <t>Falcon Roost</t>
        </is>
      </c>
      <c r="B266" s="43" t="inlineStr">
        <is>
          <t>Talons</t>
        </is>
      </c>
      <c r="C266" s="43" t="inlineStr">
        <is>
          <t>raw damage, pierces armour</t>
        </is>
      </c>
      <c r="D266" s="56" t="n">
        <v>4</v>
      </c>
      <c r="E266" s="56">
        <f>E128</f>
        <v/>
      </c>
      <c r="F266" s="56">
        <f>F128</f>
        <v/>
      </c>
      <c r="G266" s="57" t="n">
        <v>1.2</v>
      </c>
      <c r="H266" s="57" t="n">
        <v>1</v>
      </c>
      <c r="I266" s="57" t="n">
        <v>2</v>
      </c>
      <c r="L266" s="57" t="n">
        <v>1</v>
      </c>
      <c r="M266" s="43" t="inlineStr">
        <is>
          <t>Raking Strike</t>
        </is>
      </c>
      <c r="N266" s="81" t="inlineStr">
        <is>
          <t>Yes</t>
        </is>
      </c>
      <c r="CI266" s="81" t="inlineStr">
        <is>
          <t>B</t>
        </is>
      </c>
      <c r="CJ266" s="81" t="inlineStr">
        <is>
          <t>Each dive also slashes the dino beside it</t>
        </is>
      </c>
    </row>
    <row r="267">
      <c r="A267" s="43" t="inlineStr">
        <is>
          <t>Falcon Roost</t>
        </is>
      </c>
      <c r="B267" s="43" t="inlineStr">
        <is>
          <t>Talons</t>
        </is>
      </c>
      <c r="C267" s="43" t="inlineStr">
        <is>
          <t>raw damage, pierces armour</t>
        </is>
      </c>
      <c r="D267" s="56" t="n">
        <v>4</v>
      </c>
      <c r="E267" s="56">
        <f>E128</f>
        <v/>
      </c>
      <c r="F267" s="56">
        <f>F128</f>
        <v/>
      </c>
      <c r="G267" s="57" t="n">
        <v>1.35</v>
      </c>
      <c r="H267" s="57" t="n">
        <v>1</v>
      </c>
      <c r="I267" s="57" t="n">
        <v>1</v>
      </c>
      <c r="L267" s="57" t="n">
        <v>1</v>
      </c>
      <c r="M267" s="43" t="inlineStr">
        <is>
          <t>Stoop Strike</t>
        </is>
      </c>
      <c r="N267" s="81" t="inlineStr">
        <is>
          <t>Yes</t>
        </is>
      </c>
      <c r="BU267" s="81" t="n">
        <v>6</v>
      </c>
      <c r="CI267" s="81" t="inlineStr">
        <is>
          <t>C</t>
        </is>
      </c>
      <c r="CJ267" s="81" t="inlineStr">
        <is>
          <t>The first dive on a dino hits 6x</t>
        </is>
      </c>
    </row>
    <row r="268">
      <c r="A268" s="43" t="inlineStr">
        <is>
          <t>Falcon Roost</t>
        </is>
      </c>
      <c r="B268" s="43" t="inlineStr">
        <is>
          <t>Talons</t>
        </is>
      </c>
      <c r="C268" s="43" t="inlineStr">
        <is>
          <t>raw damage, pierces armour</t>
        </is>
      </c>
      <c r="D268" s="56" t="n">
        <v>5</v>
      </c>
      <c r="E268" s="56">
        <f>E129</f>
        <v/>
      </c>
      <c r="F268" s="56">
        <f>F129</f>
        <v/>
      </c>
      <c r="G268" s="57" t="n">
        <v>2.1</v>
      </c>
      <c r="H268" s="57" t="n">
        <v>1</v>
      </c>
      <c r="I268" s="57" t="n">
        <v>1</v>
      </c>
      <c r="L268" s="57" t="n">
        <v>1</v>
      </c>
      <c r="M268" s="43" t="inlineStr">
        <is>
          <t>Harpy Strike</t>
        </is>
      </c>
      <c r="P268" s="81" t="n">
        <v>2</v>
      </c>
      <c r="BJ268" s="81" t="n">
        <v>4</v>
      </c>
      <c r="CI268" s="81" t="inlineStr">
        <is>
          <t>B</t>
        </is>
      </c>
      <c r="CJ268" s="81" t="inlineStr">
        <is>
          <t>Dives break 4 sizes and hit bosses 2x</t>
        </is>
      </c>
    </row>
    <row r="269">
      <c r="A269" s="43" t="inlineStr">
        <is>
          <t>Falcon Roost</t>
        </is>
      </c>
      <c r="B269" s="43" t="inlineStr">
        <is>
          <t>Talons</t>
        </is>
      </c>
      <c r="C269" s="43" t="inlineStr">
        <is>
          <t>raw damage, pierces armour</t>
        </is>
      </c>
      <c r="D269" s="56" t="n">
        <v>5</v>
      </c>
      <c r="E269" s="56">
        <f>E129</f>
        <v/>
      </c>
      <c r="F269" s="56">
        <f>F129</f>
        <v/>
      </c>
      <c r="G269" s="57" t="n">
        <v>3.2</v>
      </c>
      <c r="H269" s="57" t="n">
        <v>1</v>
      </c>
      <c r="I269" s="57" t="n">
        <v>1</v>
      </c>
      <c r="L269" s="57" t="n">
        <v>1</v>
      </c>
      <c r="M269" s="43" t="inlineStr">
        <is>
          <t>Hide Ripper</t>
        </is>
      </c>
      <c r="O269" s="81" t="n">
        <v>2.5</v>
      </c>
      <c r="CI269" s="81" t="inlineStr">
        <is>
          <t>C</t>
        </is>
      </c>
      <c r="CJ269" s="81" t="inlineStr">
        <is>
          <t>Talons shred armoured dinos</t>
        </is>
      </c>
    </row>
    <row r="270">
      <c r="A270" s="43" t="inlineStr">
        <is>
          <t>Falcon Roost</t>
        </is>
      </c>
      <c r="B270" s="43" t="inlineStr">
        <is>
          <t>Flock</t>
        </is>
      </c>
      <c r="C270" s="43" t="inlineStr">
        <is>
          <t>more birds</t>
        </is>
      </c>
      <c r="D270" s="56" t="n">
        <v>4</v>
      </c>
      <c r="E270" s="56">
        <f>E133</f>
        <v/>
      </c>
      <c r="F270" s="56">
        <f>F133</f>
        <v/>
      </c>
      <c r="G270" s="57" t="n">
        <v>1.85</v>
      </c>
      <c r="H270" s="57" t="n">
        <v>1.6</v>
      </c>
      <c r="I270" s="57" t="n">
        <v>1</v>
      </c>
      <c r="L270" s="57" t="n">
        <v>1</v>
      </c>
      <c r="M270" s="43" t="inlineStr">
        <is>
          <t>Swift Wings</t>
        </is>
      </c>
      <c r="CI270" s="81" t="inlineStr">
        <is>
          <t>B</t>
        </is>
      </c>
      <c r="CJ270" s="81" t="inlineStr">
        <is>
          <t>Birds fly back much faster</t>
        </is>
      </c>
    </row>
    <row r="271">
      <c r="A271" s="43" t="inlineStr">
        <is>
          <t>Falcon Roost</t>
        </is>
      </c>
      <c r="B271" s="43" t="inlineStr">
        <is>
          <t>Flock</t>
        </is>
      </c>
      <c r="C271" s="43" t="inlineStr">
        <is>
          <t>more birds</t>
        </is>
      </c>
      <c r="D271" s="56" t="n">
        <v>4</v>
      </c>
      <c r="E271" s="56">
        <f>E133</f>
        <v/>
      </c>
      <c r="F271" s="56">
        <f>F133</f>
        <v/>
      </c>
      <c r="G271" s="57" t="n">
        <v>2.7</v>
      </c>
      <c r="H271" s="57" t="n">
        <v>1</v>
      </c>
      <c r="I271" s="57" t="n">
        <v>1</v>
      </c>
      <c r="L271" s="57" t="n">
        <v>1</v>
      </c>
      <c r="M271" s="43" t="inlineStr">
        <is>
          <t>Second Flock</t>
        </is>
      </c>
      <c r="BT271" s="81" t="n">
        <v>7</v>
      </c>
      <c r="CI271" s="81" t="inlineStr">
        <is>
          <t>C</t>
        </is>
      </c>
      <c r="CJ271" s="81" t="inlineStr">
        <is>
          <t>Seven bigger birds hunt at once</t>
        </is>
      </c>
    </row>
    <row r="272">
      <c r="A272" s="43" t="inlineStr">
        <is>
          <t>Falcon Roost</t>
        </is>
      </c>
      <c r="B272" s="43" t="inlineStr">
        <is>
          <t>Flock</t>
        </is>
      </c>
      <c r="C272" s="43" t="inlineStr">
        <is>
          <t>more birds</t>
        </is>
      </c>
      <c r="D272" s="56" t="n">
        <v>5</v>
      </c>
      <c r="E272" s="56">
        <f>E134</f>
        <v/>
      </c>
      <c r="F272" s="56">
        <f>F134</f>
        <v/>
      </c>
      <c r="G272" s="57" t="n">
        <v>3.3</v>
      </c>
      <c r="H272" s="57" t="n">
        <v>1</v>
      </c>
      <c r="I272" s="57" t="n">
        <v>1</v>
      </c>
      <c r="L272" s="57" t="n">
        <v>2</v>
      </c>
      <c r="M272" s="43" t="inlineStr">
        <is>
          <t>Sky Hunters</t>
        </is>
      </c>
      <c r="BT272" s="81" t="n">
        <v>12</v>
      </c>
      <c r="CI272" s="81" t="inlineStr">
        <is>
          <t>B</t>
        </is>
      </c>
      <c r="CJ272" s="81" t="inlineStr">
        <is>
          <t>Twelve birds hunt twice as far out</t>
        </is>
      </c>
    </row>
    <row r="273">
      <c r="A273" s="43" t="inlineStr">
        <is>
          <t>Falcon Roost</t>
        </is>
      </c>
      <c r="B273" s="43" t="inlineStr">
        <is>
          <t>Flock</t>
        </is>
      </c>
      <c r="C273" s="43" t="inlineStr">
        <is>
          <t>more birds</t>
        </is>
      </c>
      <c r="D273" s="56" t="n">
        <v>5</v>
      </c>
      <c r="E273" s="56">
        <f>E134</f>
        <v/>
      </c>
      <c r="F273" s="56">
        <f>F134</f>
        <v/>
      </c>
      <c r="G273" s="57" t="n">
        <v>1.05</v>
      </c>
      <c r="H273" s="57" t="n">
        <v>1</v>
      </c>
      <c r="I273" s="57" t="n">
        <v>1</v>
      </c>
      <c r="L273" s="57" t="n">
        <v>1</v>
      </c>
      <c r="M273" s="43" t="inlineStr">
        <is>
          <t>Strafing Run</t>
        </is>
      </c>
      <c r="R273" s="81" t="n">
        <v>3</v>
      </c>
      <c r="CI273" s="81" t="inlineStr">
        <is>
          <t>C</t>
        </is>
      </c>
      <c r="CJ273" s="81" t="inlineStr">
        <is>
          <t>Each dive cuts through 3 dinos in a line</t>
        </is>
      </c>
    </row>
    <row r="274">
      <c r="A274" s="43" t="inlineStr">
        <is>
          <t>Falcon Roost</t>
        </is>
      </c>
      <c r="B274" s="43" t="inlineStr">
        <is>
          <t>Falconer</t>
        </is>
      </c>
      <c r="C274" s="43" t="inlineStr">
        <is>
          <t>support</t>
        </is>
      </c>
      <c r="D274" s="56" t="n">
        <v>4</v>
      </c>
      <c r="E274" s="56">
        <f>E138</f>
        <v/>
      </c>
      <c r="F274" s="56">
        <f>F138</f>
        <v/>
      </c>
      <c r="G274" s="57" t="n">
        <v>1.3</v>
      </c>
      <c r="H274" s="57" t="n">
        <v>1</v>
      </c>
      <c r="I274" s="57" t="n">
        <v>1</v>
      </c>
      <c r="L274" s="57" t="n">
        <v>1</v>
      </c>
      <c r="M274" s="43" t="inlineStr">
        <is>
          <t>Loud Bells</t>
        </is>
      </c>
      <c r="T274" s="81" t="n">
        <v>25</v>
      </c>
      <c r="CI274" s="81" t="inlineStr">
        <is>
          <t>B</t>
        </is>
      </c>
      <c r="CJ274" s="81" t="inlineStr">
        <is>
          <t>Struck dinos take +25% from every tower</t>
        </is>
      </c>
    </row>
    <row r="275">
      <c r="A275" s="43" t="inlineStr">
        <is>
          <t>Falcon Roost</t>
        </is>
      </c>
      <c r="B275" s="43" t="inlineStr">
        <is>
          <t>Falconer</t>
        </is>
      </c>
      <c r="C275" s="43" t="inlineStr">
        <is>
          <t>support</t>
        </is>
      </c>
      <c r="D275" s="56" t="n">
        <v>4</v>
      </c>
      <c r="E275" s="56">
        <f>E138</f>
        <v/>
      </c>
      <c r="F275" s="56">
        <f>F138</f>
        <v/>
      </c>
      <c r="G275" s="57" t="n">
        <v>1.3</v>
      </c>
      <c r="H275" s="57" t="n">
        <v>1</v>
      </c>
      <c r="I275" s="57" t="n">
        <v>1</v>
      </c>
      <c r="L275" s="57" t="n">
        <v>1</v>
      </c>
      <c r="M275" s="43" t="inlineStr">
        <is>
          <t>Guard Falcons</t>
        </is>
      </c>
      <c r="BX275" s="81" t="n">
        <v>40</v>
      </c>
      <c r="CI275" s="81" t="inlineStr">
        <is>
          <t>C</t>
        </is>
      </c>
      <c r="CJ275" s="81" t="inlineStr">
        <is>
          <t>Birds dive at raiders; bosses take +40%</t>
        </is>
      </c>
      <c r="CK275" s="81" t="inlineStr">
        <is>
          <t>yes</t>
        </is>
      </c>
      <c r="CL275" s="81" t="n">
        <v>20</v>
      </c>
      <c r="CM275" s="81" t="n">
        <v>1</v>
      </c>
      <c r="CN275" s="81" t="n">
        <v>6</v>
      </c>
    </row>
    <row r="276">
      <c r="A276" s="43" t="inlineStr">
        <is>
          <t>Falcon Roost</t>
        </is>
      </c>
      <c r="B276" s="43" t="inlineStr">
        <is>
          <t>Falconer</t>
        </is>
      </c>
      <c r="C276" s="43" t="inlineStr">
        <is>
          <t>support</t>
        </is>
      </c>
      <c r="D276" s="56" t="n">
        <v>5</v>
      </c>
      <c r="E276" s="56">
        <f>E139</f>
        <v/>
      </c>
      <c r="F276" s="56">
        <f>F139</f>
        <v/>
      </c>
      <c r="G276" s="57" t="n">
        <v>1.3</v>
      </c>
      <c r="H276" s="57" t="n">
        <v>1</v>
      </c>
      <c r="I276" s="57" t="n">
        <v>1</v>
      </c>
      <c r="L276" s="57" t="n">
        <v>1</v>
      </c>
      <c r="M276" s="43" t="inlineStr">
        <is>
          <t>Royal Hood</t>
        </is>
      </c>
      <c r="BX276" s="81" t="n">
        <v>60</v>
      </c>
      <c r="CI276" s="81" t="inlineStr">
        <is>
          <t>B</t>
        </is>
      </c>
      <c r="CJ276" s="81" t="inlineStr">
        <is>
          <t>Bosses in range take +60% from everything</t>
        </is>
      </c>
    </row>
    <row r="277">
      <c r="A277" s="43" t="inlineStr">
        <is>
          <t>Falcon Roost</t>
        </is>
      </c>
      <c r="B277" s="43" t="inlineStr">
        <is>
          <t>Falconer</t>
        </is>
      </c>
      <c r="C277" s="43" t="inlineStr">
        <is>
          <t>support</t>
        </is>
      </c>
      <c r="D277" s="56" t="n">
        <v>5</v>
      </c>
      <c r="E277" s="56">
        <f>E139</f>
        <v/>
      </c>
      <c r="F277" s="56">
        <f>F139</f>
        <v/>
      </c>
      <c r="G277" s="57" t="n">
        <v>1.3</v>
      </c>
      <c r="H277" s="57" t="n">
        <v>1</v>
      </c>
      <c r="I277" s="57" t="n">
        <v>1</v>
      </c>
      <c r="L277" s="57" t="n">
        <v>1</v>
      </c>
      <c r="M277" s="43" t="inlineStr">
        <is>
          <t>Bell Chorus</t>
        </is>
      </c>
      <c r="T277" s="81" t="n">
        <v>40</v>
      </c>
      <c r="CI277" s="81" t="inlineStr">
        <is>
          <t>C</t>
        </is>
      </c>
      <c r="CJ277" s="81" t="inlineStr">
        <is>
          <t>Struck dinos take +40% from every tower</t>
        </is>
      </c>
    </row>
    <row r="278">
      <c r="A278" s="81" t="inlineStr">
        <is>
          <t>Tar Pit</t>
        </is>
      </c>
      <c r="B278" s="81" t="inlineStr">
        <is>
          <t>Deep Tar</t>
        </is>
      </c>
      <c r="C278" s="81" t="inlineStr">
        <is>
          <t>slow and sink</t>
        </is>
      </c>
      <c r="D278" s="81" t="n">
        <v>4</v>
      </c>
      <c r="E278" s="81">
        <f>E143</f>
        <v/>
      </c>
      <c r="F278" s="81">
        <f>F143</f>
        <v/>
      </c>
      <c r="G278" s="81" t="n">
        <v>1</v>
      </c>
      <c r="H278" s="81" t="n">
        <v>1</v>
      </c>
      <c r="I278" s="81" t="n">
        <v>1</v>
      </c>
      <c r="L278" s="81" t="n">
        <v>1</v>
      </c>
      <c r="M278" s="81" t="inlineStr">
        <is>
          <t>Thick Mire</t>
        </is>
      </c>
      <c r="AE278" s="81" t="n">
        <v>55</v>
      </c>
      <c r="CI278" s="81" t="inlineStr">
        <is>
          <t>B</t>
        </is>
      </c>
      <c r="CJ278" s="81" t="inlineStr">
        <is>
          <t>Thicker tar: dinos wade much slower</t>
        </is>
      </c>
    </row>
    <row r="279">
      <c r="A279" s="81" t="inlineStr">
        <is>
          <t>Tar Pit</t>
        </is>
      </c>
      <c r="B279" s="81" t="inlineStr">
        <is>
          <t>Deep Tar</t>
        </is>
      </c>
      <c r="C279" s="81" t="inlineStr">
        <is>
          <t>slow and sink</t>
        </is>
      </c>
      <c r="D279" s="81" t="n">
        <v>4</v>
      </c>
      <c r="E279" s="81">
        <f>E143</f>
        <v/>
      </c>
      <c r="F279" s="81">
        <f>F143</f>
        <v/>
      </c>
      <c r="G279" s="81" t="n">
        <v>1</v>
      </c>
      <c r="H279" s="81" t="n">
        <v>1</v>
      </c>
      <c r="I279" s="81" t="n">
        <v>1</v>
      </c>
      <c r="L279" s="81" t="n">
        <v>1.5</v>
      </c>
      <c r="M279" s="81" t="inlineStr">
        <is>
          <t>Bog Boots</t>
        </is>
      </c>
      <c r="AE279" s="81" t="n">
        <v>45</v>
      </c>
      <c r="CI279" s="81" t="inlineStr">
        <is>
          <t>C</t>
        </is>
      </c>
      <c r="CJ279" s="81" t="inlineStr">
        <is>
          <t>A longer pool that also slows raiders</t>
        </is>
      </c>
      <c r="CK279" s="81" t="inlineStr">
        <is>
          <t>yes</t>
        </is>
      </c>
      <c r="CL279" s="81" t="n">
        <v>30</v>
      </c>
      <c r="CM279" s="81" t="n">
        <v>2</v>
      </c>
    </row>
    <row r="280">
      <c r="A280" s="81" t="inlineStr">
        <is>
          <t>Tar Pit</t>
        </is>
      </c>
      <c r="B280" s="81" t="inlineStr">
        <is>
          <t>Deep Tar</t>
        </is>
      </c>
      <c r="C280" s="81" t="inlineStr">
        <is>
          <t>slow and sink</t>
        </is>
      </c>
      <c r="D280" s="81" t="n">
        <v>5</v>
      </c>
      <c r="E280" s="81">
        <f>E144</f>
        <v/>
      </c>
      <c r="F280" s="81">
        <f>F144</f>
        <v/>
      </c>
      <c r="G280" s="81" t="n">
        <v>1</v>
      </c>
      <c r="H280" s="81" t="n">
        <v>1</v>
      </c>
      <c r="I280" s="81" t="n">
        <v>1</v>
      </c>
      <c r="L280" s="81" t="n">
        <v>1.15</v>
      </c>
      <c r="M280" s="81" t="inlineStr">
        <is>
          <t>La Brea</t>
        </is>
      </c>
      <c r="AE280" s="81" t="n">
        <v>62</v>
      </c>
      <c r="AF280" s="81" t="n">
        <v>3</v>
      </c>
      <c r="CC280" s="81" t="n">
        <v>0.05</v>
      </c>
      <c r="CI280" s="81" t="inlineStr">
        <is>
          <t>B</t>
        </is>
      </c>
      <c r="CJ280" s="81" t="inlineStr">
        <is>
          <t>Smallest dinos sink at once; the rest crawl</t>
        </is>
      </c>
    </row>
    <row r="281">
      <c r="A281" s="81" t="inlineStr">
        <is>
          <t>Tar Pit</t>
        </is>
      </c>
      <c r="B281" s="81" t="inlineStr">
        <is>
          <t>Deep Tar</t>
        </is>
      </c>
      <c r="C281" s="81" t="inlineStr">
        <is>
          <t>slow and sink</t>
        </is>
      </c>
      <c r="D281" s="81" t="n">
        <v>5</v>
      </c>
      <c r="E281" s="81">
        <f>E144</f>
        <v/>
      </c>
      <c r="F281" s="81">
        <f>F144</f>
        <v/>
      </c>
      <c r="G281" s="81" t="n">
        <v>1</v>
      </c>
      <c r="H281" s="81" t="n">
        <v>1</v>
      </c>
      <c r="I281" s="81" t="n">
        <v>1</v>
      </c>
      <c r="L281" s="81" t="n">
        <v>1</v>
      </c>
      <c r="M281" s="81" t="inlineStr">
        <is>
          <t>Black Glue</t>
        </is>
      </c>
      <c r="AE281" s="81" t="n">
        <v>50</v>
      </c>
      <c r="AF281" s="81" t="n">
        <v>5</v>
      </c>
      <c r="CI281" s="81" t="inlineStr">
        <is>
          <t>C</t>
        </is>
      </c>
      <c r="CJ281" s="81" t="inlineStr">
        <is>
          <t>Dinos stay slowed 5 s after they climb out</t>
        </is>
      </c>
    </row>
    <row r="282">
      <c r="A282" s="81" t="inlineStr">
        <is>
          <t>Tar Pit</t>
        </is>
      </c>
      <c r="B282" s="81" t="inlineStr">
        <is>
          <t>Bubbling</t>
        </is>
      </c>
      <c r="C282" s="81" t="inlineStr">
        <is>
          <t>damage</t>
        </is>
      </c>
      <c r="D282" s="81" t="n">
        <v>4</v>
      </c>
      <c r="E282" s="81">
        <f>E148</f>
        <v/>
      </c>
      <c r="F282" s="81">
        <f>F148</f>
        <v/>
      </c>
      <c r="G282" s="81" t="n">
        <v>1</v>
      </c>
      <c r="H282" s="81" t="n">
        <v>1</v>
      </c>
      <c r="I282" s="81" t="n">
        <v>1</v>
      </c>
      <c r="L282" s="81" t="n">
        <v>1.3</v>
      </c>
      <c r="M282" s="81" t="inlineStr">
        <is>
          <t>Boiling Splash</t>
        </is>
      </c>
      <c r="CI282" s="81" t="inlineStr">
        <is>
          <t>B</t>
        </is>
      </c>
      <c r="CJ282" s="81" t="inlineStr">
        <is>
          <t>A bigger pool of boiling tar</t>
        </is>
      </c>
    </row>
    <row r="283">
      <c r="A283" s="81" t="inlineStr">
        <is>
          <t>Tar Pit</t>
        </is>
      </c>
      <c r="B283" s="81" t="inlineStr">
        <is>
          <t>Bubbling</t>
        </is>
      </c>
      <c r="C283" s="81" t="inlineStr">
        <is>
          <t>damage</t>
        </is>
      </c>
      <c r="D283" s="81" t="n">
        <v>4</v>
      </c>
      <c r="E283" s="81">
        <f>E148</f>
        <v/>
      </c>
      <c r="F283" s="81">
        <f>F148</f>
        <v/>
      </c>
      <c r="G283" s="81" t="n">
        <v>1</v>
      </c>
      <c r="H283" s="81" t="n">
        <v>1</v>
      </c>
      <c r="I283" s="81" t="n">
        <v>1</v>
      </c>
      <c r="L283" s="81" t="n">
        <v>1</v>
      </c>
      <c r="M283" s="81" t="inlineStr">
        <is>
          <t>Pitch Coat</t>
        </is>
      </c>
      <c r="X283" s="81" t="n">
        <v>85</v>
      </c>
      <c r="Y283" s="81" t="n">
        <v>1</v>
      </c>
      <c r="AM283" s="81" t="inlineStr">
        <is>
          <t>Yes</t>
        </is>
      </c>
      <c r="CI283" s="81" t="inlineStr">
        <is>
          <t>C</t>
        </is>
      </c>
      <c r="CJ283" s="81" t="inlineStr">
        <is>
          <t>Sticky tar strips armour; dinos leave burning</t>
        </is>
      </c>
    </row>
    <row r="284">
      <c r="A284" s="81" t="inlineStr">
        <is>
          <t>Tar Pit</t>
        </is>
      </c>
      <c r="B284" s="81" t="inlineStr">
        <is>
          <t>Bubbling</t>
        </is>
      </c>
      <c r="C284" s="81" t="inlineStr">
        <is>
          <t>damage</t>
        </is>
      </c>
      <c r="D284" s="81" t="n">
        <v>5</v>
      </c>
      <c r="E284" s="81">
        <f>E149</f>
        <v/>
      </c>
      <c r="F284" s="81">
        <f>F149</f>
        <v/>
      </c>
      <c r="G284" s="81" t="n">
        <v>1</v>
      </c>
      <c r="H284" s="81" t="n">
        <v>1</v>
      </c>
      <c r="I284" s="81" t="n">
        <v>1</v>
      </c>
      <c r="L284" s="81" t="n">
        <v>1</v>
      </c>
      <c r="M284" s="81" t="inlineStr">
        <is>
          <t>Ever-Burn</t>
        </is>
      </c>
      <c r="Y284" s="81" t="n">
        <v>2.75</v>
      </c>
      <c r="CI284" s="81" t="inlineStr">
        <is>
          <t>B</t>
        </is>
      </c>
      <c r="CJ284" s="81" t="inlineStr">
        <is>
          <t>Dinos keep burning 2.75 s after they leave</t>
        </is>
      </c>
    </row>
    <row r="285">
      <c r="A285" s="81" t="inlineStr">
        <is>
          <t>Tar Pit</t>
        </is>
      </c>
      <c r="B285" s="81" t="inlineStr">
        <is>
          <t>Bubbling</t>
        </is>
      </c>
      <c r="C285" s="81" t="inlineStr">
        <is>
          <t>damage</t>
        </is>
      </c>
      <c r="D285" s="81" t="n">
        <v>5</v>
      </c>
      <c r="E285" s="81">
        <f>E149</f>
        <v/>
      </c>
      <c r="F285" s="81">
        <f>F149</f>
        <v/>
      </c>
      <c r="G285" s="81" t="n">
        <v>1</v>
      </c>
      <c r="H285" s="81" t="n">
        <v>1</v>
      </c>
      <c r="I285" s="81" t="n">
        <v>1</v>
      </c>
      <c r="L285" s="81" t="n">
        <v>1</v>
      </c>
      <c r="M285" s="81" t="inlineStr">
        <is>
          <t>Tar Inferno</t>
        </is>
      </c>
      <c r="X285" s="81" t="n">
        <v>120</v>
      </c>
      <c r="CI285" s="81" t="inlineStr">
        <is>
          <t>C</t>
        </is>
      </c>
      <c r="CJ285" s="81" t="inlineStr">
        <is>
          <t>The tar boils 50% hotter</t>
        </is>
      </c>
    </row>
    <row r="286">
      <c r="A286" s="81" t="inlineStr">
        <is>
          <t>Tar Pit</t>
        </is>
      </c>
      <c r="B286" s="81" t="inlineStr">
        <is>
          <t>Dig Site</t>
        </is>
      </c>
      <c r="C286" s="81" t="inlineStr">
        <is>
          <t>cash and support</t>
        </is>
      </c>
      <c r="D286" s="81" t="n">
        <v>4</v>
      </c>
      <c r="E286" s="81">
        <f>E153</f>
        <v/>
      </c>
      <c r="F286" s="81">
        <f>F153</f>
        <v/>
      </c>
      <c r="G286" s="81" t="n">
        <v>1</v>
      </c>
      <c r="H286" s="81" t="n">
        <v>1</v>
      </c>
      <c r="I286" s="81" t="n">
        <v>1</v>
      </c>
      <c r="L286" s="81" t="n">
        <v>1</v>
      </c>
      <c r="M286" s="81" t="inlineStr">
        <is>
          <t>Bone Yard</t>
        </is>
      </c>
      <c r="CD286" s="81" t="n">
        <v>28</v>
      </c>
      <c r="CE286" s="81" t="n">
        <v>36</v>
      </c>
      <c r="CI286" s="81" t="inlineStr">
        <is>
          <t>B</t>
        </is>
      </c>
      <c r="CJ286" s="81" t="inlineStr">
        <is>
          <t>Every sunk dino pays more cash</t>
        </is>
      </c>
    </row>
    <row r="287">
      <c r="A287" s="81" t="inlineStr">
        <is>
          <t>Tar Pit</t>
        </is>
      </c>
      <c r="B287" s="81" t="inlineStr">
        <is>
          <t>Dig Site</t>
        </is>
      </c>
      <c r="C287" s="81" t="inlineStr">
        <is>
          <t>cash and support</t>
        </is>
      </c>
      <c r="D287" s="81" t="n">
        <v>4</v>
      </c>
      <c r="E287" s="81">
        <f>E153</f>
        <v/>
      </c>
      <c r="F287" s="81">
        <f>F153</f>
        <v/>
      </c>
      <c r="G287" s="81" t="n">
        <v>1</v>
      </c>
      <c r="H287" s="81" t="n">
        <v>1</v>
      </c>
      <c r="I287" s="81" t="n">
        <v>1</v>
      </c>
      <c r="L287" s="81" t="n">
        <v>1</v>
      </c>
      <c r="M287" s="81" t="inlineStr">
        <is>
          <t>Fossil Finder</t>
        </is>
      </c>
      <c r="CD287" s="81" t="n">
        <v>15</v>
      </c>
      <c r="CE287" s="81" t="n">
        <v>55</v>
      </c>
      <c r="CI287" s="81" t="inlineStr">
        <is>
          <t>C</t>
        </is>
      </c>
      <c r="CJ287" s="81" t="inlineStr">
        <is>
          <t>Bigger chests where dinos go under</t>
        </is>
      </c>
    </row>
    <row r="288">
      <c r="A288" s="81" t="inlineStr">
        <is>
          <t>Tar Pit</t>
        </is>
      </c>
      <c r="B288" s="81" t="inlineStr">
        <is>
          <t>Dig Site</t>
        </is>
      </c>
      <c r="C288" s="81" t="inlineStr">
        <is>
          <t>cash and support</t>
        </is>
      </c>
      <c r="D288" s="81" t="n">
        <v>5</v>
      </c>
      <c r="E288" s="81">
        <f>E154</f>
        <v/>
      </c>
      <c r="F288" s="81">
        <f>F154</f>
        <v/>
      </c>
      <c r="G288" s="81" t="n">
        <v>1</v>
      </c>
      <c r="H288" s="81" t="n">
        <v>1</v>
      </c>
      <c r="I288" s="81" t="n">
        <v>1</v>
      </c>
      <c r="L288" s="81" t="n">
        <v>1</v>
      </c>
      <c r="M288" s="81" t="inlineStr">
        <is>
          <t>Preserved Specimens</t>
        </is>
      </c>
      <c r="CD288" s="81" t="n">
        <v>36</v>
      </c>
      <c r="CE288" s="81" t="n">
        <v>40</v>
      </c>
      <c r="CI288" s="81" t="inlineStr">
        <is>
          <t>B</t>
        </is>
      </c>
      <c r="CJ288" s="81" t="inlineStr">
        <is>
          <t>Every sunk dino pays 36 cash</t>
        </is>
      </c>
    </row>
    <row r="289">
      <c r="A289" s="81" t="inlineStr">
        <is>
          <t>Tar Pit</t>
        </is>
      </c>
      <c r="B289" s="81" t="inlineStr">
        <is>
          <t>Dig Site</t>
        </is>
      </c>
      <c r="C289" s="81" t="inlineStr">
        <is>
          <t>cash and support</t>
        </is>
      </c>
      <c r="D289" s="81" t="n">
        <v>5</v>
      </c>
      <c r="E289" s="81">
        <f>E154</f>
        <v/>
      </c>
      <c r="F289" s="81">
        <f>F154</f>
        <v/>
      </c>
      <c r="G289" s="81" t="n">
        <v>1</v>
      </c>
      <c r="H289" s="81" t="n">
        <v>1</v>
      </c>
      <c r="I289" s="81" t="n">
        <v>1</v>
      </c>
      <c r="L289" s="81" t="n">
        <v>1</v>
      </c>
      <c r="M289" s="81" t="inlineStr">
        <is>
          <t>Amber Seep</t>
        </is>
      </c>
      <c r="CD289" s="81" t="n">
        <v>25</v>
      </c>
      <c r="CE289" s="81" t="n">
        <v>60</v>
      </c>
      <c r="CI289" s="81" t="inlineStr">
        <is>
          <t>C</t>
        </is>
      </c>
      <c r="CJ289" s="81" t="inlineStr">
        <is>
          <t>Chests where dinos sink are worth 60</t>
        </is>
      </c>
    </row>
    <row r="290">
      <c r="A290" s="81" t="inlineStr">
        <is>
          <t>Harpoon Ballista</t>
        </is>
      </c>
      <c r="B290" s="81" t="inlineStr">
        <is>
          <t>Spearhead</t>
        </is>
      </c>
      <c r="C290" s="81" t="inlineStr">
        <is>
          <t>raw damage, breaks</t>
        </is>
      </c>
      <c r="D290" s="81" t="n">
        <v>4</v>
      </c>
      <c r="E290" s="81">
        <f>E158</f>
        <v/>
      </c>
      <c r="F290" s="81">
        <f>F158</f>
        <v/>
      </c>
      <c r="G290" s="81" t="n">
        <v>1.7</v>
      </c>
      <c r="H290" s="81" t="n">
        <v>1</v>
      </c>
      <c r="I290" s="81" t="n">
        <v>1</v>
      </c>
      <c r="L290" s="81" t="n">
        <v>1</v>
      </c>
      <c r="M290" s="81" t="inlineStr">
        <is>
          <t>Serrated Head</t>
        </is>
      </c>
      <c r="N290" s="81" t="inlineStr">
        <is>
          <t>Yes</t>
        </is>
      </c>
      <c r="T290" s="81" t="n">
        <v>20</v>
      </c>
      <c r="CI290" s="81" t="inlineStr">
        <is>
          <t>B</t>
        </is>
      </c>
      <c r="CJ290" s="81" t="inlineStr">
        <is>
          <t>Hit dinos take +20% from every tower</t>
        </is>
      </c>
    </row>
    <row r="291">
      <c r="A291" s="81" t="inlineStr">
        <is>
          <t>Harpoon Ballista</t>
        </is>
      </c>
      <c r="B291" s="81" t="inlineStr">
        <is>
          <t>Spearhead</t>
        </is>
      </c>
      <c r="C291" s="81" t="inlineStr">
        <is>
          <t>raw damage, breaks</t>
        </is>
      </c>
      <c r="D291" s="81" t="n">
        <v>4</v>
      </c>
      <c r="E291" s="81">
        <f>E158</f>
        <v/>
      </c>
      <c r="F291" s="81">
        <f>F158</f>
        <v/>
      </c>
      <c r="G291" s="81" t="n">
        <v>1.6</v>
      </c>
      <c r="H291" s="81" t="n">
        <v>1</v>
      </c>
      <c r="I291" s="81" t="n">
        <v>1</v>
      </c>
      <c r="L291" s="81" t="n">
        <v>1</v>
      </c>
      <c r="M291" s="81" t="inlineStr">
        <is>
          <t>Whale Lance</t>
        </is>
      </c>
      <c r="N291" s="81" t="inlineStr">
        <is>
          <t>Yes</t>
        </is>
      </c>
      <c r="P291" s="81" t="n">
        <v>1.4</v>
      </c>
      <c r="CI291" s="81" t="inlineStr">
        <is>
          <t>C</t>
        </is>
      </c>
      <c r="CJ291" s="81" t="inlineStr">
        <is>
          <t>Bolts hit bosses 40% harder</t>
        </is>
      </c>
    </row>
    <row r="292">
      <c r="A292" s="81" t="inlineStr">
        <is>
          <t>Harpoon Ballista</t>
        </is>
      </c>
      <c r="B292" s="81" t="inlineStr">
        <is>
          <t>Spearhead</t>
        </is>
      </c>
      <c r="C292" s="81" t="inlineStr">
        <is>
          <t>raw damage, breaks</t>
        </is>
      </c>
      <c r="D292" s="81" t="n">
        <v>5</v>
      </c>
      <c r="E292" s="81">
        <f>E159</f>
        <v/>
      </c>
      <c r="F292" s="81">
        <f>F159</f>
        <v/>
      </c>
      <c r="G292" s="81" t="n">
        <v>2.5</v>
      </c>
      <c r="H292" s="81" t="n">
        <v>1.4</v>
      </c>
      <c r="I292" s="81" t="n">
        <v>1</v>
      </c>
      <c r="L292" s="81" t="n">
        <v>1</v>
      </c>
      <c r="M292" s="81" t="inlineStr">
        <is>
          <t>Leviathan Bolt</t>
        </is>
      </c>
      <c r="P292" s="81" t="n">
        <v>3</v>
      </c>
      <c r="BJ292" s="81" t="n">
        <v>4</v>
      </c>
      <c r="CI292" s="81" t="inlineStr">
        <is>
          <t>B</t>
        </is>
      </c>
      <c r="CJ292" s="81" t="inlineStr">
        <is>
          <t>Bolts break 4 sizes and hit bosses 3x</t>
        </is>
      </c>
    </row>
    <row r="293">
      <c r="A293" s="81" t="inlineStr">
        <is>
          <t>Harpoon Ballista</t>
        </is>
      </c>
      <c r="B293" s="81" t="inlineStr">
        <is>
          <t>Spearhead</t>
        </is>
      </c>
      <c r="C293" s="81" t="inlineStr">
        <is>
          <t>raw damage, breaks</t>
        </is>
      </c>
      <c r="D293" s="81" t="n">
        <v>5</v>
      </c>
      <c r="E293" s="81">
        <f>E159</f>
        <v/>
      </c>
      <c r="F293" s="81">
        <f>F159</f>
        <v/>
      </c>
      <c r="G293" s="81" t="n">
        <v>3</v>
      </c>
      <c r="H293" s="81" t="n">
        <v>2.1</v>
      </c>
      <c r="I293" s="81" t="n">
        <v>1</v>
      </c>
      <c r="L293" s="81" t="n">
        <v>1</v>
      </c>
      <c r="M293" s="81" t="inlineStr">
        <is>
          <t>Heartseeker</t>
        </is>
      </c>
      <c r="BJ293" s="81" t="n">
        <v>3</v>
      </c>
      <c r="CI293" s="81" t="inlineStr">
        <is>
          <t>C</t>
        </is>
      </c>
      <c r="CJ293" s="81" t="inlineStr">
        <is>
          <t>Always aims for the biggest dino in range</t>
        </is>
      </c>
      <c r="CU293" s="81" t="inlineStr">
        <is>
          <t>Yes</t>
        </is>
      </c>
    </row>
    <row r="294">
      <c r="A294" s="81" t="inlineStr">
        <is>
          <t>Harpoon Ballista</t>
        </is>
      </c>
      <c r="B294" s="81" t="inlineStr">
        <is>
          <t>Reel</t>
        </is>
      </c>
      <c r="C294" s="81" t="inlineStr">
        <is>
          <t>control</t>
        </is>
      </c>
      <c r="D294" s="81" t="n">
        <v>4</v>
      </c>
      <c r="E294" s="81">
        <f>E163</f>
        <v/>
      </c>
      <c r="F294" s="81">
        <f>F163</f>
        <v/>
      </c>
      <c r="G294" s="81" t="n">
        <v>1.3</v>
      </c>
      <c r="H294" s="81" t="n">
        <v>1</v>
      </c>
      <c r="I294" s="81" t="n">
        <v>1</v>
      </c>
      <c r="L294" s="81" t="n">
        <v>1</v>
      </c>
      <c r="M294" s="81" t="inlineStr">
        <is>
          <t>Tether</t>
        </is>
      </c>
      <c r="U294" s="81" t="n">
        <v>2</v>
      </c>
      <c r="CI294" s="81" t="inlineStr">
        <is>
          <t>B</t>
        </is>
      </c>
      <c r="CJ294" s="81" t="inlineStr">
        <is>
          <t>Pinned dinos stay held 2 s</t>
        </is>
      </c>
    </row>
    <row r="295">
      <c r="A295" s="81" t="inlineStr">
        <is>
          <t>Harpoon Ballista</t>
        </is>
      </c>
      <c r="B295" s="81" t="inlineStr">
        <is>
          <t>Reel</t>
        </is>
      </c>
      <c r="C295" s="81" t="inlineStr">
        <is>
          <t>control</t>
        </is>
      </c>
      <c r="D295" s="81" t="n">
        <v>4</v>
      </c>
      <c r="E295" s="81">
        <f>E163</f>
        <v/>
      </c>
      <c r="F295" s="81">
        <f>F163</f>
        <v/>
      </c>
      <c r="G295" s="81" t="n">
        <v>1.3</v>
      </c>
      <c r="H295" s="81" t="n">
        <v>1</v>
      </c>
      <c r="I295" s="81" t="n">
        <v>1</v>
      </c>
      <c r="L295" s="81" t="n">
        <v>1</v>
      </c>
      <c r="M295" s="81" t="inlineStr">
        <is>
          <t>Snag Line</t>
        </is>
      </c>
      <c r="U295" s="81" t="n">
        <v>1.75</v>
      </c>
      <c r="CI295" s="81" t="inlineStr">
        <is>
          <t>C</t>
        </is>
      </c>
      <c r="CJ295" s="81" t="inlineStr">
        <is>
          <t>Harpoons raiders too; holds dinos 1.75 s</t>
        </is>
      </c>
      <c r="CK295" s="81" t="inlineStr">
        <is>
          <t>yes</t>
        </is>
      </c>
      <c r="CL295" s="81" t="n">
        <v>30</v>
      </c>
      <c r="CM295" s="81" t="n">
        <v>3</v>
      </c>
      <c r="CN295" s="81" t="n">
        <v>12</v>
      </c>
    </row>
    <row r="296">
      <c r="A296" s="81" t="inlineStr">
        <is>
          <t>Harpoon Ballista</t>
        </is>
      </c>
      <c r="B296" s="81" t="inlineStr">
        <is>
          <t>Reel</t>
        </is>
      </c>
      <c r="C296" s="81" t="inlineStr">
        <is>
          <t>control</t>
        </is>
      </c>
      <c r="D296" s="81" t="n">
        <v>5</v>
      </c>
      <c r="E296" s="81">
        <f>E164</f>
        <v/>
      </c>
      <c r="F296" s="81">
        <f>F164</f>
        <v/>
      </c>
      <c r="G296" s="81" t="n">
        <v>1.3</v>
      </c>
      <c r="H296" s="81" t="n">
        <v>1</v>
      </c>
      <c r="I296" s="81" t="n">
        <v>1</v>
      </c>
      <c r="L296" s="81" t="n">
        <v>1</v>
      </c>
      <c r="M296" s="81" t="inlineStr">
        <is>
          <t>Anchor Line</t>
        </is>
      </c>
      <c r="AE296" s="81" t="n">
        <v>30</v>
      </c>
      <c r="AF296" s="81" t="n">
        <v>2</v>
      </c>
      <c r="AG296" s="81" t="inlineStr">
        <is>
          <t>Yes</t>
        </is>
      </c>
      <c r="CI296" s="81" t="inlineStr">
        <is>
          <t>B</t>
        </is>
      </c>
      <c r="CJ296" s="81" t="inlineStr">
        <is>
          <t>Bolts slow bosses too: 30% for 2 s</t>
        </is>
      </c>
    </row>
    <row r="297">
      <c r="A297" s="81" t="inlineStr">
        <is>
          <t>Harpoon Ballista</t>
        </is>
      </c>
      <c r="B297" s="81" t="inlineStr">
        <is>
          <t>Reel</t>
        </is>
      </c>
      <c r="C297" s="81" t="inlineStr">
        <is>
          <t>control</t>
        </is>
      </c>
      <c r="D297" s="81" t="n">
        <v>5</v>
      </c>
      <c r="E297" s="81">
        <f>E164</f>
        <v/>
      </c>
      <c r="F297" s="81">
        <f>F164</f>
        <v/>
      </c>
      <c r="G297" s="81" t="n">
        <v>1.3</v>
      </c>
      <c r="H297" s="81" t="n">
        <v>1</v>
      </c>
      <c r="I297" s="81" t="n">
        <v>1</v>
      </c>
      <c r="L297" s="81" t="n">
        <v>1</v>
      </c>
      <c r="M297" s="81" t="inlineStr">
        <is>
          <t>Winch Haul</t>
        </is>
      </c>
      <c r="W297" s="81" t="n">
        <v>7.5</v>
      </c>
      <c r="CI297" s="81" t="inlineStr">
        <is>
          <t>C</t>
        </is>
      </c>
      <c r="CJ297" s="81" t="inlineStr">
        <is>
          <t>Drags hit dinos 7.5 studs back</t>
        </is>
      </c>
    </row>
    <row r="298">
      <c r="A298" s="81" t="inlineStr">
        <is>
          <t>Harpoon Ballista</t>
        </is>
      </c>
      <c r="B298" s="81" t="inlineStr">
        <is>
          <t>Volley</t>
        </is>
      </c>
      <c r="C298" s="81" t="inlineStr">
        <is>
          <t>more bolts</t>
        </is>
      </c>
      <c r="D298" s="81" t="n">
        <v>4</v>
      </c>
      <c r="E298" s="81">
        <f>E168</f>
        <v/>
      </c>
      <c r="F298" s="81">
        <f>F168</f>
        <v/>
      </c>
      <c r="G298" s="81" t="n">
        <v>1.15</v>
      </c>
      <c r="H298" s="81" t="n">
        <v>1</v>
      </c>
      <c r="I298" s="81" t="n">
        <v>1</v>
      </c>
      <c r="L298" s="81" t="n">
        <v>1</v>
      </c>
      <c r="M298" s="81" t="inlineStr">
        <is>
          <t>Wide Volley</t>
        </is>
      </c>
      <c r="Q298" s="81" t="n">
        <v>5</v>
      </c>
      <c r="CI298" s="81" t="inlineStr">
        <is>
          <t>B</t>
        </is>
      </c>
      <c r="CJ298" s="81" t="inlineStr">
        <is>
          <t>Five bolts per volley</t>
        </is>
      </c>
    </row>
    <row r="299">
      <c r="A299" s="81" t="inlineStr">
        <is>
          <t>Harpoon Ballista</t>
        </is>
      </c>
      <c r="B299" s="81" t="inlineStr">
        <is>
          <t>Volley</t>
        </is>
      </c>
      <c r="C299" s="81" t="inlineStr">
        <is>
          <t>more bolts</t>
        </is>
      </c>
      <c r="D299" s="81" t="n">
        <v>4</v>
      </c>
      <c r="E299" s="81">
        <f>E168</f>
        <v/>
      </c>
      <c r="F299" s="81">
        <f>F168</f>
        <v/>
      </c>
      <c r="G299" s="81" t="n">
        <v>1</v>
      </c>
      <c r="H299" s="81" t="n">
        <v>1.6</v>
      </c>
      <c r="I299" s="81" t="n">
        <v>1</v>
      </c>
      <c r="L299" s="81" t="n">
        <v>1</v>
      </c>
      <c r="M299" s="81" t="inlineStr">
        <is>
          <t>Fire Bolts</t>
        </is>
      </c>
      <c r="X299" s="81" t="n">
        <v>6</v>
      </c>
      <c r="Y299" s="81" t="n">
        <v>3</v>
      </c>
      <c r="CI299" s="81" t="inlineStr">
        <is>
          <t>C</t>
        </is>
      </c>
      <c r="CJ299" s="81" t="inlineStr">
        <is>
          <t>Bolts set dinos on fire</t>
        </is>
      </c>
    </row>
    <row r="300">
      <c r="A300" s="81" t="inlineStr">
        <is>
          <t>Harpoon Ballista</t>
        </is>
      </c>
      <c r="B300" s="81" t="inlineStr">
        <is>
          <t>Volley</t>
        </is>
      </c>
      <c r="C300" s="81" t="inlineStr">
        <is>
          <t>more bolts</t>
        </is>
      </c>
      <c r="D300" s="81" t="n">
        <v>5</v>
      </c>
      <c r="E300" s="81">
        <f>E169</f>
        <v/>
      </c>
      <c r="F300" s="81">
        <f>F169</f>
        <v/>
      </c>
      <c r="G300" s="81" t="n">
        <v>2.4</v>
      </c>
      <c r="H300" s="81" t="n">
        <v>1</v>
      </c>
      <c r="I300" s="81" t="n">
        <v>1</v>
      </c>
      <c r="L300" s="81" t="n">
        <v>1</v>
      </c>
      <c r="M300" s="81" t="inlineStr">
        <is>
          <t>Siege Battery</t>
        </is>
      </c>
      <c r="Q300" s="81" t="n">
        <v>6</v>
      </c>
      <c r="CI300" s="81" t="inlineStr">
        <is>
          <t>B</t>
        </is>
      </c>
      <c r="CJ300" s="81" t="inlineStr">
        <is>
          <t>Six bolts per volley</t>
        </is>
      </c>
    </row>
    <row r="301">
      <c r="A301" s="81" t="inlineStr">
        <is>
          <t>Harpoon Ballista</t>
        </is>
      </c>
      <c r="B301" s="81" t="inlineStr">
        <is>
          <t>Volley</t>
        </is>
      </c>
      <c r="C301" s="81" t="inlineStr">
        <is>
          <t>more bolts</t>
        </is>
      </c>
      <c r="D301" s="81" t="n">
        <v>5</v>
      </c>
      <c r="E301" s="81">
        <f>E169</f>
        <v/>
      </c>
      <c r="F301" s="81">
        <f>F169</f>
        <v/>
      </c>
      <c r="G301" s="81" t="n">
        <v>2</v>
      </c>
      <c r="H301" s="81" t="n">
        <v>1.8</v>
      </c>
      <c r="I301" s="81" t="n">
        <v>1</v>
      </c>
      <c r="L301" s="81" t="n">
        <v>1</v>
      </c>
      <c r="M301" s="81" t="inlineStr">
        <is>
          <t>Firestorm Volley</t>
        </is>
      </c>
      <c r="X301" s="81" t="n">
        <v>12</v>
      </c>
      <c r="Y301" s="81" t="n">
        <v>3</v>
      </c>
      <c r="CI301" s="81" t="inlineStr">
        <is>
          <t>C</t>
        </is>
      </c>
      <c r="CJ301" s="81" t="inlineStr">
        <is>
          <t>Faster volleys of burning bolts</t>
        </is>
      </c>
    </row>
    <row r="302">
      <c r="A302" s="81" t="inlineStr">
        <is>
          <t>Amber Resin Cannon</t>
        </is>
      </c>
      <c r="B302" s="81" t="inlineStr">
        <is>
          <t>Entomb</t>
        </is>
      </c>
      <c r="C302" s="81" t="inlineStr">
        <is>
          <t>control</t>
        </is>
      </c>
      <c r="D302" s="81" t="n">
        <v>1</v>
      </c>
      <c r="E302" s="81">
        <f>ROUND('Towers'!$C$19*POWER('Tuning'!$B$12,D302),0)</f>
        <v/>
      </c>
      <c r="F302" s="81">
        <f>'Towers'!$C$19+E302</f>
        <v/>
      </c>
      <c r="G302" s="110" t="n">
        <v>1.4</v>
      </c>
      <c r="H302" s="110" t="n">
        <v>1.2</v>
      </c>
      <c r="I302" s="110" t="n">
        <v>1</v>
      </c>
      <c r="J302" s="81">
        <f>'Towers'!$G$19*G302*H302*I302</f>
        <v/>
      </c>
      <c r="K302" s="81">
        <f>IF(J302=0,0,F302/J302)</f>
        <v/>
      </c>
      <c r="L302" s="110" t="n">
        <v>1</v>
      </c>
      <c r="M302" s="81" t="inlineStr">
        <is>
          <t>Thick Resin</t>
        </is>
      </c>
      <c r="CW302" s="81" t="n">
        <v>0.85</v>
      </c>
    </row>
    <row r="303">
      <c r="A303" s="81" t="inlineStr">
        <is>
          <t>Amber Resin Cannon</t>
        </is>
      </c>
      <c r="B303" s="81" t="inlineStr">
        <is>
          <t>Entomb</t>
        </is>
      </c>
      <c r="C303" s="81" t="inlineStr">
        <is>
          <t>control</t>
        </is>
      </c>
      <c r="D303" s="81" t="n">
        <v>2</v>
      </c>
      <c r="E303" s="81">
        <f>ROUND('Towers'!$C$19*POWER('Tuning'!$B$12,D303),0)</f>
        <v/>
      </c>
      <c r="F303" s="81">
        <f>F302+E303</f>
        <v/>
      </c>
      <c r="G303" s="110" t="n">
        <v>2</v>
      </c>
      <c r="H303" s="110" t="n">
        <v>1.45</v>
      </c>
      <c r="I303" s="110" t="n">
        <v>1</v>
      </c>
      <c r="J303" s="81">
        <f>'Towers'!$G$19*G303*H303*I303</f>
        <v/>
      </c>
      <c r="K303" s="81">
        <f>IF(J303=0,0,F303/J303)</f>
        <v/>
      </c>
      <c r="L303" s="110" t="n">
        <v>1</v>
      </c>
      <c r="M303" s="81" t="inlineStr">
        <is>
          <t>Quick Set</t>
        </is>
      </c>
      <c r="CW303" s="81" t="n">
        <v>0.7</v>
      </c>
    </row>
    <row r="304">
      <c r="A304" s="81" t="inlineStr">
        <is>
          <t>Amber Resin Cannon</t>
        </is>
      </c>
      <c r="B304" s="81" t="inlineStr">
        <is>
          <t>Entomb</t>
        </is>
      </c>
      <c r="C304" s="81" t="inlineStr">
        <is>
          <t>control</t>
        </is>
      </c>
      <c r="D304" s="81" t="n">
        <v>3</v>
      </c>
      <c r="E304" s="81">
        <f>ROUND('Towers'!$C$19*POWER('Tuning'!$B$12,D304),0)</f>
        <v/>
      </c>
      <c r="F304" s="81">
        <f>F303+E304</f>
        <v/>
      </c>
      <c r="G304" s="110" t="n">
        <v>3</v>
      </c>
      <c r="H304" s="110" t="n">
        <v>1.8</v>
      </c>
      <c r="I304" s="110" t="n">
        <v>1</v>
      </c>
      <c r="J304" s="81">
        <f>'Towers'!$G$19*G304*H304*I304</f>
        <v/>
      </c>
      <c r="K304" s="81">
        <f>IF(J304=0,0,F304/J304)</f>
        <v/>
      </c>
      <c r="L304" s="110" t="n">
        <v>1</v>
      </c>
      <c r="M304" s="81" t="inlineStr">
        <is>
          <t>Amber Tomb</t>
        </is>
      </c>
      <c r="CV304" s="81" t="n">
        <v>2</v>
      </c>
      <c r="CW304" s="81" t="n">
        <v>0.5</v>
      </c>
    </row>
    <row r="305">
      <c r="A305" s="81" t="inlineStr">
        <is>
          <t>Amber Resin Cannon</t>
        </is>
      </c>
      <c r="B305" s="81" t="inlineStr">
        <is>
          <t>Entomb</t>
        </is>
      </c>
      <c r="C305" s="81" t="inlineStr">
        <is>
          <t>control</t>
        </is>
      </c>
      <c r="D305" s="81" t="n">
        <v>4</v>
      </c>
      <c r="E305" s="81">
        <f>ROUND('Towers'!$C$19*POWER('Tuning'!$B$12,D305),0)</f>
        <v/>
      </c>
      <c r="F305" s="81">
        <f>F304+E305</f>
        <v/>
      </c>
      <c r="G305" s="110" t="n">
        <v>1.6</v>
      </c>
      <c r="H305" s="110" t="n">
        <v>1</v>
      </c>
      <c r="I305" s="110" t="n">
        <v>1</v>
      </c>
      <c r="J305" s="81">
        <f>J304*G305*H305*I305</f>
        <v/>
      </c>
      <c r="K305" s="81">
        <f>IF(J305=0,0,F305/J305)</f>
        <v/>
      </c>
      <c r="L305" s="110" t="n">
        <v>1</v>
      </c>
      <c r="M305" s="81" t="inlineStr">
        <is>
          <t>Hardened Amber</t>
        </is>
      </c>
      <c r="CI305" s="81" t="inlineStr">
        <is>
          <t>A</t>
        </is>
      </c>
      <c r="CJ305" s="81" t="inlineStr">
        <is>
          <t>Stuck dinos take +30% from everything</t>
        </is>
      </c>
      <c r="CX305" s="81" t="n">
        <v>30</v>
      </c>
    </row>
    <row r="306">
      <c r="A306" s="81" t="inlineStr">
        <is>
          <t>Amber Resin Cannon</t>
        </is>
      </c>
      <c r="B306" s="81" t="inlineStr">
        <is>
          <t>Entomb</t>
        </is>
      </c>
      <c r="C306" s="81" t="inlineStr">
        <is>
          <t>control</t>
        </is>
      </c>
      <c r="D306" s="81" t="n">
        <v>5</v>
      </c>
      <c r="E306" s="81">
        <f>ROUND('Towers'!$C$19*POWER('Tuning'!$B$12,D306),0)</f>
        <v/>
      </c>
      <c r="F306" s="81">
        <f>F305+E306</f>
        <v/>
      </c>
      <c r="G306" s="110" t="n">
        <v>1.8</v>
      </c>
      <c r="H306" s="110" t="n">
        <v>1</v>
      </c>
      <c r="I306" s="110" t="n">
        <v>1</v>
      </c>
      <c r="J306" s="81">
        <f>J305*G306*H306*I306</f>
        <v/>
      </c>
      <c r="K306" s="81">
        <f>IF(J306=0,0,F306/J306)</f>
        <v/>
      </c>
      <c r="L306" s="110" t="n">
        <v>1</v>
      </c>
      <c r="M306" s="81" t="inlineStr">
        <is>
          <t>Amber Age</t>
        </is>
      </c>
      <c r="CI306" s="81" t="inlineStr">
        <is>
          <t>A</t>
        </is>
      </c>
      <c r="CJ306" s="81" t="inlineStr">
        <is>
          <t>Every 12 s, everything in range is stuck</t>
        </is>
      </c>
      <c r="DA306" s="81" t="n">
        <v>12</v>
      </c>
    </row>
    <row r="307">
      <c r="A307" s="81" t="inlineStr">
        <is>
          <t>Amber Resin Cannon</t>
        </is>
      </c>
      <c r="B307" s="81" t="inlineStr">
        <is>
          <t>Fossilize</t>
        </is>
      </c>
      <c r="C307" s="81" t="inlineStr">
        <is>
          <t>economy</t>
        </is>
      </c>
      <c r="D307" s="81" t="n">
        <v>1</v>
      </c>
      <c r="E307" s="81">
        <f>ROUND('Towers'!$C$19*POWER('Tuning'!$B$12,D307),0)</f>
        <v/>
      </c>
      <c r="F307" s="81">
        <f>'Towers'!$C$19+E307</f>
        <v/>
      </c>
      <c r="G307" s="110" t="n">
        <v>1.3</v>
      </c>
      <c r="H307" s="110" t="n">
        <v>1</v>
      </c>
      <c r="I307" s="110" t="n">
        <v>1</v>
      </c>
      <c r="J307" s="81">
        <f>'Towers'!$G$19*G307*H307*I307</f>
        <v/>
      </c>
      <c r="K307" s="81">
        <f>IF(J307=0,0,F307/J307)</f>
        <v/>
      </c>
      <c r="L307" s="110" t="n">
        <v>1.15</v>
      </c>
      <c r="M307" s="81" t="inlineStr">
        <is>
          <t>Collector's Eye</t>
        </is>
      </c>
      <c r="CD307" s="81" t="n">
        <v>50</v>
      </c>
      <c r="DD307" s="81" t="n">
        <v>10</v>
      </c>
    </row>
    <row r="308">
      <c r="A308" s="81" t="inlineStr">
        <is>
          <t>Amber Resin Cannon</t>
        </is>
      </c>
      <c r="B308" s="81" t="inlineStr">
        <is>
          <t>Fossilize</t>
        </is>
      </c>
      <c r="C308" s="81" t="inlineStr">
        <is>
          <t>economy</t>
        </is>
      </c>
      <c r="D308" s="81" t="n">
        <v>2</v>
      </c>
      <c r="E308" s="81">
        <f>ROUND('Towers'!$C$19*POWER('Tuning'!$B$12,D308),0)</f>
        <v/>
      </c>
      <c r="F308" s="81">
        <f>F307+E308</f>
        <v/>
      </c>
      <c r="G308" s="110" t="n">
        <v>1.8</v>
      </c>
      <c r="H308" s="110" t="n">
        <v>1.3</v>
      </c>
      <c r="I308" s="110" t="n">
        <v>1</v>
      </c>
      <c r="J308" s="81">
        <f>'Towers'!$G$19*G308*H308*I308</f>
        <v/>
      </c>
      <c r="K308" s="81">
        <f>IF(J308=0,0,F308/J308)</f>
        <v/>
      </c>
      <c r="L308" s="110" t="n">
        <v>1.15</v>
      </c>
      <c r="M308" s="81" t="inlineStr">
        <is>
          <t>Rare Find</t>
        </is>
      </c>
      <c r="CD308" s="81" t="n">
        <v>100</v>
      </c>
      <c r="DD308" s="81" t="n">
        <v>12</v>
      </c>
    </row>
    <row r="309">
      <c r="A309" s="81" t="inlineStr">
        <is>
          <t>Amber Resin Cannon</t>
        </is>
      </c>
      <c r="B309" s="81" t="inlineStr">
        <is>
          <t>Fossilize</t>
        </is>
      </c>
      <c r="C309" s="81" t="inlineStr">
        <is>
          <t>economy</t>
        </is>
      </c>
      <c r="D309" s="81" t="n">
        <v>3</v>
      </c>
      <c r="E309" s="81">
        <f>ROUND('Towers'!$C$19*POWER('Tuning'!$B$12,D309),0)</f>
        <v/>
      </c>
      <c r="F309" s="81">
        <f>F308+E309</f>
        <v/>
      </c>
      <c r="G309" s="110" t="n">
        <v>2.6</v>
      </c>
      <c r="H309" s="110" t="n">
        <v>1.5</v>
      </c>
      <c r="I309" s="110" t="n">
        <v>1</v>
      </c>
      <c r="J309" s="81">
        <f>'Towers'!$G$19*G309*H309*I309</f>
        <v/>
      </c>
      <c r="K309" s="81">
        <f>IF(J309=0,0,F309/J309)</f>
        <v/>
      </c>
      <c r="L309" s="110" t="n">
        <v>1.15</v>
      </c>
      <c r="M309" s="81" t="inlineStr">
        <is>
          <t>Fossil Record</t>
        </is>
      </c>
      <c r="CD309" s="81" t="n">
        <v>100</v>
      </c>
      <c r="CW309" s="81" t="n">
        <v>0.7</v>
      </c>
      <c r="DD309" s="81" t="n">
        <v>20</v>
      </c>
    </row>
    <row r="310">
      <c r="A310" s="81" t="inlineStr">
        <is>
          <t>Amber Resin Cannon</t>
        </is>
      </c>
      <c r="B310" s="81" t="inlineStr">
        <is>
          <t>Fossilize</t>
        </is>
      </c>
      <c r="C310" s="81" t="inlineStr">
        <is>
          <t>economy</t>
        </is>
      </c>
      <c r="D310" s="81" t="n">
        <v>4</v>
      </c>
      <c r="E310" s="81">
        <f>ROUND('Towers'!$C$19*POWER('Tuning'!$B$12,D310),0)</f>
        <v/>
      </c>
      <c r="F310" s="81">
        <f>F309+E310</f>
        <v/>
      </c>
      <c r="G310" s="110" t="n">
        <v>1</v>
      </c>
      <c r="H310" s="110" t="n">
        <v>1</v>
      </c>
      <c r="I310" s="110" t="n">
        <v>1</v>
      </c>
      <c r="J310" s="81">
        <f>J309*G310*H310*I310</f>
        <v/>
      </c>
      <c r="K310" s="81">
        <f>IF(J310=0,0,F310/J310)</f>
        <v/>
      </c>
      <c r="L310" s="110" t="n">
        <v>1</v>
      </c>
      <c r="M310" s="81" t="inlineStr">
        <is>
          <t>Museum Piece</t>
        </is>
      </c>
      <c r="CD310" s="81" t="n">
        <v>150</v>
      </c>
      <c r="CI310" s="81" t="inlineStr">
        <is>
          <t>A</t>
        </is>
      </c>
      <c r="CJ310" s="81" t="inlineStr">
        <is>
          <t>Fossils pay 50% more cash</t>
        </is>
      </c>
    </row>
    <row r="311">
      <c r="A311" s="81" t="inlineStr">
        <is>
          <t>Amber Resin Cannon</t>
        </is>
      </c>
      <c r="B311" s="81" t="inlineStr">
        <is>
          <t>Fossilize</t>
        </is>
      </c>
      <c r="C311" s="81" t="inlineStr">
        <is>
          <t>economy</t>
        </is>
      </c>
      <c r="D311" s="81" t="n">
        <v>5</v>
      </c>
      <c r="E311" s="81">
        <f>ROUND('Towers'!$C$19*POWER('Tuning'!$B$12,D311),0)</f>
        <v/>
      </c>
      <c r="F311" s="81">
        <f>F310+E311</f>
        <v/>
      </c>
      <c r="G311" s="110" t="n">
        <v>1</v>
      </c>
      <c r="H311" s="110" t="n">
        <v>1</v>
      </c>
      <c r="I311" s="110" t="n">
        <v>1</v>
      </c>
      <c r="J311" s="81">
        <f>J310*G311*H311*I311</f>
        <v/>
      </c>
      <c r="K311" s="81">
        <f>IF(J311=0,0,F311/J311)</f>
        <v/>
      </c>
      <c r="L311" s="110" t="n">
        <v>1</v>
      </c>
      <c r="M311" s="81" t="inlineStr">
        <is>
          <t>Fossil Fuel</t>
        </is>
      </c>
      <c r="CI311" s="81" t="inlineStr">
        <is>
          <t>A</t>
        </is>
      </c>
      <c r="CJ311" s="81" t="inlineStr">
        <is>
          <t>Each fossil speeds up nearby towers</t>
        </is>
      </c>
      <c r="DD311" s="81" t="n">
        <v>25</v>
      </c>
      <c r="DE311" s="81" t="n">
        <v>5</v>
      </c>
    </row>
    <row r="312">
      <c r="A312" s="81" t="inlineStr">
        <is>
          <t>Amber Resin Cannon</t>
        </is>
      </c>
      <c r="B312" s="81" t="inlineStr">
        <is>
          <t>Resin Shell</t>
        </is>
      </c>
      <c r="C312" s="81" t="inlineStr">
        <is>
          <t>support</t>
        </is>
      </c>
      <c r="D312" s="81" t="n">
        <v>1</v>
      </c>
      <c r="E312" s="81">
        <f>ROUND('Towers'!$C$19*POWER('Tuning'!$B$12,D312),0)</f>
        <v/>
      </c>
      <c r="F312" s="81">
        <f>'Towers'!$C$19+E312</f>
        <v/>
      </c>
      <c r="G312" s="110" t="n">
        <v>1</v>
      </c>
      <c r="H312" s="110" t="n">
        <v>1</v>
      </c>
      <c r="I312" s="110" t="n">
        <v>1</v>
      </c>
      <c r="J312" s="81">
        <f>'Towers'!$G$19*G312*H312*I312</f>
        <v/>
      </c>
      <c r="K312" s="81">
        <f>IF(J312=0,0,F312/J312)</f>
        <v/>
      </c>
      <c r="L312" s="110" t="n">
        <v>1</v>
      </c>
      <c r="M312" s="81" t="inlineStr">
        <is>
          <t>Coat of Resin</t>
        </is>
      </c>
      <c r="BH312" s="81" t="n">
        <v>15</v>
      </c>
    </row>
    <row r="313">
      <c r="A313" s="81" t="inlineStr">
        <is>
          <t>Amber Resin Cannon</t>
        </is>
      </c>
      <c r="B313" s="81" t="inlineStr">
        <is>
          <t>Resin Shell</t>
        </is>
      </c>
      <c r="C313" s="81" t="inlineStr">
        <is>
          <t>support</t>
        </is>
      </c>
      <c r="D313" s="81" t="n">
        <v>2</v>
      </c>
      <c r="E313" s="81">
        <f>ROUND('Towers'!$C$19*POWER('Tuning'!$B$12,D313),0)</f>
        <v/>
      </c>
      <c r="F313" s="81">
        <f>F312+E313</f>
        <v/>
      </c>
      <c r="G313" s="110" t="n">
        <v>1</v>
      </c>
      <c r="H313" s="110" t="n">
        <v>1</v>
      </c>
      <c r="I313" s="110" t="n">
        <v>1</v>
      </c>
      <c r="J313" s="81">
        <f>'Towers'!$G$19*G313*H313*I313</f>
        <v/>
      </c>
      <c r="K313" s="81">
        <f>IF(J313=0,0,F313/J313)</f>
        <v/>
      </c>
      <c r="L313" s="110" t="n">
        <v>1</v>
      </c>
      <c r="M313" s="81" t="inlineStr">
        <is>
          <t>Sticky Armour</t>
        </is>
      </c>
      <c r="AU313" s="81" t="n">
        <v>20</v>
      </c>
      <c r="BH313" s="81" t="n">
        <v>15</v>
      </c>
    </row>
    <row r="314">
      <c r="A314" s="81" t="inlineStr">
        <is>
          <t>Amber Resin Cannon</t>
        </is>
      </c>
      <c r="B314" s="81" t="inlineStr">
        <is>
          <t>Resin Shell</t>
        </is>
      </c>
      <c r="C314" s="81" t="inlineStr">
        <is>
          <t>support</t>
        </is>
      </c>
      <c r="D314" s="81" t="n">
        <v>3</v>
      </c>
      <c r="E314" s="81">
        <f>ROUND('Towers'!$C$19*POWER('Tuning'!$B$12,D314),0)</f>
        <v/>
      </c>
      <c r="F314" s="81">
        <f>F313+E314</f>
        <v/>
      </c>
      <c r="G314" s="110" t="n">
        <v>1</v>
      </c>
      <c r="H314" s="110" t="n">
        <v>1</v>
      </c>
      <c r="I314" s="110" t="n">
        <v>1</v>
      </c>
      <c r="J314" s="81">
        <f>'Towers'!$G$19*G314*H314*I314</f>
        <v/>
      </c>
      <c r="K314" s="81">
        <f>IF(J314=0,0,F314/J314)</f>
        <v/>
      </c>
      <c r="L314" s="110" t="n">
        <v>1</v>
      </c>
      <c r="M314" s="81" t="inlineStr">
        <is>
          <t>Amber Shield</t>
        </is>
      </c>
      <c r="AU314" s="81" t="n">
        <v>20</v>
      </c>
      <c r="BH314" s="81" t="n">
        <v>15</v>
      </c>
      <c r="DH314" s="81" t="n">
        <v>3</v>
      </c>
    </row>
    <row r="315">
      <c r="A315" s="81" t="inlineStr">
        <is>
          <t>Amber Resin Cannon</t>
        </is>
      </c>
      <c r="B315" s="81" t="inlineStr">
        <is>
          <t>Resin Shell</t>
        </is>
      </c>
      <c r="C315" s="81" t="inlineStr">
        <is>
          <t>support</t>
        </is>
      </c>
      <c r="D315" s="81" t="n">
        <v>4</v>
      </c>
      <c r="E315" s="81">
        <f>ROUND('Towers'!$C$19*POWER('Tuning'!$B$12,D315),0)</f>
        <v/>
      </c>
      <c r="F315" s="81">
        <f>F314+E315</f>
        <v/>
      </c>
      <c r="G315" s="110" t="n">
        <v>1</v>
      </c>
      <c r="H315" s="110" t="n">
        <v>1</v>
      </c>
      <c r="I315" s="110" t="n">
        <v>1</v>
      </c>
      <c r="J315" s="81">
        <f>J314*G315*H315*I315</f>
        <v/>
      </c>
      <c r="K315" s="81">
        <f>IF(J315=0,0,F315/J315)</f>
        <v/>
      </c>
      <c r="L315" s="110" t="n">
        <v>1</v>
      </c>
      <c r="M315" s="81" t="inlineStr">
        <is>
          <t>Self-Sealing</t>
        </is>
      </c>
      <c r="CI315" s="81" t="inlineStr">
        <is>
          <t>A</t>
        </is>
      </c>
      <c r="CJ315" s="81" t="inlineStr">
        <is>
          <t>Sealed towers heal 30% when the shell breaks</t>
        </is>
      </c>
      <c r="DJ315" s="81" t="n">
        <v>30</v>
      </c>
    </row>
    <row r="316">
      <c r="A316" s="81" t="inlineStr">
        <is>
          <t>Amber Resin Cannon</t>
        </is>
      </c>
      <c r="B316" s="81" t="inlineStr">
        <is>
          <t>Resin Shell</t>
        </is>
      </c>
      <c r="C316" s="81" t="inlineStr">
        <is>
          <t>support</t>
        </is>
      </c>
      <c r="D316" s="81" t="n">
        <v>5</v>
      </c>
      <c r="E316" s="81">
        <f>ROUND('Towers'!$C$19*POWER('Tuning'!$B$12,D316),0)</f>
        <v/>
      </c>
      <c r="F316" s="81">
        <f>F315+E316</f>
        <v/>
      </c>
      <c r="G316" s="110" t="n">
        <v>1</v>
      </c>
      <c r="H316" s="110" t="n">
        <v>1</v>
      </c>
      <c r="I316" s="110" t="n">
        <v>1</v>
      </c>
      <c r="J316" s="81">
        <f>J315*G316*H316*I316</f>
        <v/>
      </c>
      <c r="K316" s="81">
        <f>IF(J316=0,0,F316/J316)</f>
        <v/>
      </c>
      <c r="L316" s="110" t="n">
        <v>1</v>
      </c>
      <c r="M316" s="81" t="inlineStr">
        <is>
          <t>Amber Fortress</t>
        </is>
      </c>
      <c r="CI316" s="81" t="inlineStr">
        <is>
          <t>A</t>
        </is>
      </c>
      <c r="CJ316" s="81" t="inlineStr">
        <is>
          <t>Nearby towers can't be knocked out (20 s each)</t>
        </is>
      </c>
      <c r="DI316" s="81" t="n">
        <v>20</v>
      </c>
    </row>
    <row r="317">
      <c r="A317" s="81" t="inlineStr">
        <is>
          <t>Amber Resin Cannon</t>
        </is>
      </c>
      <c r="B317" s="81" t="inlineStr">
        <is>
          <t>Entomb</t>
        </is>
      </c>
      <c r="C317" s="81" t="inlineStr">
        <is>
          <t>control</t>
        </is>
      </c>
      <c r="D317" s="81" t="n">
        <v>4</v>
      </c>
      <c r="E317" s="81">
        <f>E305</f>
        <v/>
      </c>
      <c r="F317" s="81">
        <f>F305</f>
        <v/>
      </c>
      <c r="G317" s="110" t="n">
        <v>1.5</v>
      </c>
      <c r="H317" s="110" t="n">
        <v>1</v>
      </c>
      <c r="I317" s="110" t="n">
        <v>1</v>
      </c>
      <c r="L317" s="110" t="n">
        <v>1</v>
      </c>
      <c r="M317" s="81" t="inlineStr">
        <is>
          <t>Spreading Amber</t>
        </is>
      </c>
      <c r="CI317" s="81" t="inlineStr">
        <is>
          <t>B</t>
        </is>
      </c>
      <c r="CJ317" s="81" t="inlineStr">
        <is>
          <t>The amber jumps to the next dino</t>
        </is>
      </c>
      <c r="CY317" s="81" t="n">
        <v>1</v>
      </c>
    </row>
    <row r="318">
      <c r="A318" s="81" t="inlineStr">
        <is>
          <t>Amber Resin Cannon</t>
        </is>
      </c>
      <c r="B318" s="81" t="inlineStr">
        <is>
          <t>Entomb</t>
        </is>
      </c>
      <c r="C318" s="81" t="inlineStr">
        <is>
          <t>control</t>
        </is>
      </c>
      <c r="D318" s="81" t="n">
        <v>4</v>
      </c>
      <c r="E318" s="81">
        <f>E305</f>
        <v/>
      </c>
      <c r="F318" s="81">
        <f>F305</f>
        <v/>
      </c>
      <c r="G318" s="110" t="n">
        <v>1.6</v>
      </c>
      <c r="H318" s="110" t="n">
        <v>1</v>
      </c>
      <c r="I318" s="110" t="n">
        <v>1</v>
      </c>
      <c r="L318" s="110" t="n">
        <v>1</v>
      </c>
      <c r="M318" s="81" t="inlineStr">
        <is>
          <t>Sticky Bed</t>
        </is>
      </c>
      <c r="CI318" s="81" t="inlineStr">
        <is>
          <t>C</t>
        </is>
      </c>
      <c r="CJ318" s="81" t="inlineStr">
        <is>
          <t>Dinos walking past a stuck one slow 30%</t>
        </is>
      </c>
      <c r="CZ318" s="81" t="n">
        <v>30</v>
      </c>
    </row>
    <row r="319">
      <c r="A319" s="81" t="inlineStr">
        <is>
          <t>Amber Resin Cannon</t>
        </is>
      </c>
      <c r="B319" s="81" t="inlineStr">
        <is>
          <t>Entomb</t>
        </is>
      </c>
      <c r="C319" s="81" t="inlineStr">
        <is>
          <t>control</t>
        </is>
      </c>
      <c r="D319" s="81" t="n">
        <v>5</v>
      </c>
      <c r="E319" s="81">
        <f>E306</f>
        <v/>
      </c>
      <c r="F319" s="81">
        <f>F306</f>
        <v/>
      </c>
      <c r="G319" s="110" t="n">
        <v>1.8</v>
      </c>
      <c r="H319" s="110" t="n">
        <v>1.15</v>
      </c>
      <c r="I319" s="110" t="n">
        <v>1</v>
      </c>
      <c r="L319" s="110" t="n">
        <v>1</v>
      </c>
      <c r="M319" s="81" t="inlineStr">
        <is>
          <t>Living Amber</t>
        </is>
      </c>
      <c r="CI319" s="81" t="inlineStr">
        <is>
          <t>B</t>
        </is>
      </c>
      <c r="CJ319" s="81" t="inlineStr">
        <is>
          <t>Traps a boss 3 s; others stay stuck longer</t>
        </is>
      </c>
      <c r="CV319" s="81" t="n">
        <v>2.5</v>
      </c>
      <c r="DB319" s="81" t="n">
        <v>3</v>
      </c>
    </row>
    <row r="320">
      <c r="A320" s="81" t="inlineStr">
        <is>
          <t>Amber Resin Cannon</t>
        </is>
      </c>
      <c r="B320" s="81" t="inlineStr">
        <is>
          <t>Entomb</t>
        </is>
      </c>
      <c r="C320" s="81" t="inlineStr">
        <is>
          <t>control</t>
        </is>
      </c>
      <c r="D320" s="81" t="n">
        <v>5</v>
      </c>
      <c r="E320" s="81">
        <f>E306</f>
        <v/>
      </c>
      <c r="F320" s="81">
        <f>F306</f>
        <v/>
      </c>
      <c r="G320" s="110" t="n">
        <v>1.8</v>
      </c>
      <c r="H320" s="110" t="n">
        <v>1</v>
      </c>
      <c r="I320" s="110" t="n">
        <v>1</v>
      </c>
      <c r="L320" s="110" t="n">
        <v>1</v>
      </c>
      <c r="M320" s="81" t="inlineStr">
        <is>
          <t>Time Capsule</t>
        </is>
      </c>
      <c r="CI320" s="81" t="inlineStr">
        <is>
          <t>C</t>
        </is>
      </c>
      <c r="CJ320" s="81" t="inlineStr">
        <is>
          <t>Stuck dinos are sent 12 studs back</t>
        </is>
      </c>
      <c r="DC320" s="81" t="n">
        <v>12</v>
      </c>
    </row>
    <row r="321">
      <c r="A321" s="81" t="inlineStr">
        <is>
          <t>Amber Resin Cannon</t>
        </is>
      </c>
      <c r="B321" s="81" t="inlineStr">
        <is>
          <t>Fossilize</t>
        </is>
      </c>
      <c r="C321" s="81" t="inlineStr">
        <is>
          <t>economy</t>
        </is>
      </c>
      <c r="D321" s="81" t="n">
        <v>4</v>
      </c>
      <c r="E321" s="81">
        <f>E310</f>
        <v/>
      </c>
      <c r="F321" s="81">
        <f>F310</f>
        <v/>
      </c>
      <c r="G321" s="110" t="n">
        <v>1</v>
      </c>
      <c r="H321" s="110" t="n">
        <v>1</v>
      </c>
      <c r="I321" s="110" t="n">
        <v>1</v>
      </c>
      <c r="L321" s="110" t="n">
        <v>1</v>
      </c>
      <c r="M321" s="81" t="inlineStr">
        <is>
          <t>Dig Crew</t>
        </is>
      </c>
      <c r="CE321" s="81" t="n">
        <v>25</v>
      </c>
      <c r="CI321" s="81" t="inlineStr">
        <is>
          <t>B</t>
        </is>
      </c>
      <c r="CJ321" s="81" t="inlineStr">
        <is>
          <t>A fossil drops a cash chest</t>
        </is>
      </c>
    </row>
    <row r="322">
      <c r="A322" s="81" t="inlineStr">
        <is>
          <t>Amber Resin Cannon</t>
        </is>
      </c>
      <c r="B322" s="81" t="inlineStr">
        <is>
          <t>Fossilize</t>
        </is>
      </c>
      <c r="C322" s="81" t="inlineStr">
        <is>
          <t>economy</t>
        </is>
      </c>
      <c r="D322" s="81" t="n">
        <v>4</v>
      </c>
      <c r="E322" s="81">
        <f>E310</f>
        <v/>
      </c>
      <c r="F322" s="81">
        <f>F310</f>
        <v/>
      </c>
      <c r="G322" s="110" t="n">
        <v>1</v>
      </c>
      <c r="H322" s="110" t="n">
        <v>1</v>
      </c>
      <c r="I322" s="110" t="n">
        <v>1</v>
      </c>
      <c r="L322" s="110" t="n">
        <v>1</v>
      </c>
      <c r="M322" s="81" t="inlineStr">
        <is>
          <t>Bone Dust</t>
        </is>
      </c>
      <c r="CI322" s="81" t="inlineStr">
        <is>
          <t>C</t>
        </is>
      </c>
      <c r="CJ322" s="81" t="inlineStr">
        <is>
          <t>Fossils mark nearby dinos +15%</t>
        </is>
      </c>
      <c r="DM322" s="81" t="n">
        <v>15</v>
      </c>
    </row>
    <row r="323">
      <c r="A323" s="81" t="inlineStr">
        <is>
          <t>Amber Resin Cannon</t>
        </is>
      </c>
      <c r="B323" s="81" t="inlineStr">
        <is>
          <t>Fossilize</t>
        </is>
      </c>
      <c r="C323" s="81" t="inlineStr">
        <is>
          <t>economy</t>
        </is>
      </c>
      <c r="D323" s="81" t="n">
        <v>5</v>
      </c>
      <c r="E323" s="81">
        <f>E311</f>
        <v/>
      </c>
      <c r="F323" s="81">
        <f>F311</f>
        <v/>
      </c>
      <c r="G323" s="110" t="n">
        <v>1</v>
      </c>
      <c r="H323" s="110" t="n">
        <v>1</v>
      </c>
      <c r="I323" s="110" t="n">
        <v>1</v>
      </c>
      <c r="L323" s="110" t="n">
        <v>1</v>
      </c>
      <c r="M323" s="81" t="inlineStr">
        <is>
          <t>Prize Fossils</t>
        </is>
      </c>
      <c r="CI323" s="81" t="inlineStr">
        <is>
          <t>B</t>
        </is>
      </c>
      <c r="CJ323" s="81" t="inlineStr">
        <is>
          <t>More fossils; each counts double for bounties</t>
        </is>
      </c>
      <c r="DD323" s="81" t="n">
        <v>30</v>
      </c>
      <c r="DF323" s="81" t="n">
        <v>2</v>
      </c>
    </row>
    <row r="324">
      <c r="A324" s="81" t="inlineStr">
        <is>
          <t>Amber Resin Cannon</t>
        </is>
      </c>
      <c r="B324" s="81" t="inlineStr">
        <is>
          <t>Fossilize</t>
        </is>
      </c>
      <c r="C324" s="81" t="inlineStr">
        <is>
          <t>economy</t>
        </is>
      </c>
      <c r="D324" s="81" t="n">
        <v>5</v>
      </c>
      <c r="E324" s="81">
        <f>E311</f>
        <v/>
      </c>
      <c r="F324" s="81">
        <f>F311</f>
        <v/>
      </c>
      <c r="G324" s="110" t="n">
        <v>1</v>
      </c>
      <c r="H324" s="110" t="n">
        <v>1</v>
      </c>
      <c r="I324" s="110" t="n">
        <v>1</v>
      </c>
      <c r="L324" s="110" t="n">
        <v>1</v>
      </c>
      <c r="M324" s="81" t="inlineStr">
        <is>
          <t>Amber Heart</t>
        </is>
      </c>
      <c r="CI324" s="81" t="inlineStr">
        <is>
          <t>C</t>
        </is>
      </c>
      <c r="CJ324" s="81" t="inlineStr">
        <is>
          <t>Every 15th fossil freezes your whole side 1 s</t>
        </is>
      </c>
      <c r="DG324" s="81" t="n">
        <v>15</v>
      </c>
    </row>
    <row r="325">
      <c r="A325" s="81" t="inlineStr">
        <is>
          <t>Amber Resin Cannon</t>
        </is>
      </c>
      <c r="B325" s="81" t="inlineStr">
        <is>
          <t>Resin Shell</t>
        </is>
      </c>
      <c r="C325" s="81" t="inlineStr">
        <is>
          <t>support</t>
        </is>
      </c>
      <c r="D325" s="81" t="n">
        <v>4</v>
      </c>
      <c r="E325" s="81">
        <f>E315</f>
        <v/>
      </c>
      <c r="F325" s="81">
        <f>F315</f>
        <v/>
      </c>
      <c r="G325" s="110" t="n">
        <v>1</v>
      </c>
      <c r="H325" s="110" t="n">
        <v>1</v>
      </c>
      <c r="I325" s="110" t="n">
        <v>1</v>
      </c>
      <c r="L325" s="110" t="n">
        <v>1</v>
      </c>
      <c r="M325" s="81" t="inlineStr">
        <is>
          <t>Raider Glue</t>
        </is>
      </c>
      <c r="CI325" s="81" t="inlineStr">
        <is>
          <t>B</t>
        </is>
      </c>
      <c r="CJ325" s="81" t="inlineStr">
        <is>
          <t>Raiders and biters near your towers slow down</t>
        </is>
      </c>
      <c r="CK325" s="81" t="inlineStr">
        <is>
          <t>yes</t>
        </is>
      </c>
      <c r="CL325" s="81" t="n">
        <v>20</v>
      </c>
      <c r="CM325" s="81" t="n">
        <v>2</v>
      </c>
      <c r="CP325" s="81" t="n">
        <v>25</v>
      </c>
      <c r="CQ325" s="81" t="n">
        <v>2</v>
      </c>
    </row>
    <row r="326">
      <c r="A326" s="81" t="inlineStr">
        <is>
          <t>Amber Resin Cannon</t>
        </is>
      </c>
      <c r="B326" s="81" t="inlineStr">
        <is>
          <t>Resin Shell</t>
        </is>
      </c>
      <c r="C326" s="81" t="inlineStr">
        <is>
          <t>support</t>
        </is>
      </c>
      <c r="D326" s="81" t="n">
        <v>4</v>
      </c>
      <c r="E326" s="81">
        <f>E315</f>
        <v/>
      </c>
      <c r="F326" s="81">
        <f>F315</f>
        <v/>
      </c>
      <c r="G326" s="110" t="n">
        <v>1</v>
      </c>
      <c r="H326" s="110" t="n">
        <v>1</v>
      </c>
      <c r="I326" s="110" t="n">
        <v>1</v>
      </c>
      <c r="L326" s="110" t="n">
        <v>1</v>
      </c>
      <c r="M326" s="81" t="inlineStr">
        <is>
          <t>Sticky Thorns</t>
        </is>
      </c>
      <c r="AV326" s="81" t="n">
        <v>5</v>
      </c>
      <c r="CI326" s="81" t="inlineStr">
        <is>
          <t>C</t>
        </is>
      </c>
      <c r="CJ326" s="81" t="inlineStr">
        <is>
          <t>Biters get slowed and take 5 damage</t>
        </is>
      </c>
      <c r="CP326" s="81" t="n">
        <v>15</v>
      </c>
      <c r="CQ326" s="81" t="n">
        <v>1.5</v>
      </c>
    </row>
    <row r="327">
      <c r="A327" s="81" t="inlineStr">
        <is>
          <t>Amber Resin Cannon</t>
        </is>
      </c>
      <c r="B327" s="81" t="inlineStr">
        <is>
          <t>Resin Shell</t>
        </is>
      </c>
      <c r="C327" s="81" t="inlineStr">
        <is>
          <t>support</t>
        </is>
      </c>
      <c r="D327" s="81" t="n">
        <v>5</v>
      </c>
      <c r="E327" s="81">
        <f>E316</f>
        <v/>
      </c>
      <c r="F327" s="81">
        <f>F316</f>
        <v/>
      </c>
      <c r="G327" s="110" t="n">
        <v>1</v>
      </c>
      <c r="H327" s="110" t="n">
        <v>1</v>
      </c>
      <c r="I327" s="110" t="n">
        <v>1</v>
      </c>
      <c r="L327" s="110" t="n">
        <v>1</v>
      </c>
      <c r="M327" s="81" t="inlineStr">
        <is>
          <t>Resin Wall</t>
        </is>
      </c>
      <c r="CI327" s="81" t="inlineStr">
        <is>
          <t>B</t>
        </is>
      </c>
      <c r="CJ327" s="81" t="inlineStr">
        <is>
          <t>Once a round, an amber wall holds every dino 3 s</t>
        </is>
      </c>
      <c r="DL327" s="81" t="n">
        <v>3</v>
      </c>
    </row>
    <row r="328">
      <c r="A328" s="81" t="inlineStr">
        <is>
          <t>Amber Resin Cannon</t>
        </is>
      </c>
      <c r="B328" s="81" t="inlineStr">
        <is>
          <t>Resin Shell</t>
        </is>
      </c>
      <c r="C328" s="81" t="inlineStr">
        <is>
          <t>support</t>
        </is>
      </c>
      <c r="D328" s="81" t="n">
        <v>5</v>
      </c>
      <c r="E328" s="81">
        <f>E316</f>
        <v/>
      </c>
      <c r="F328" s="81">
        <f>F316</f>
        <v/>
      </c>
      <c r="G328" s="110" t="n">
        <v>1</v>
      </c>
      <c r="H328" s="110" t="n">
        <v>1</v>
      </c>
      <c r="I328" s="110" t="n">
        <v>1</v>
      </c>
      <c r="L328" s="110" t="n">
        <v>1</v>
      </c>
      <c r="M328" s="81" t="inlineStr">
        <is>
          <t>Amber Mirror</t>
        </is>
      </c>
      <c r="BR328" s="81" t="n">
        <v>1</v>
      </c>
      <c r="CI328" s="81" t="inlineStr">
        <is>
          <t>C</t>
        </is>
      </c>
      <c r="CJ328" s="81" t="inlineStr">
        <is>
          <t>Throws at your towers bounce back</t>
        </is>
      </c>
      <c r="DK328" s="81" t="n">
        <v>60</v>
      </c>
    </row>
    <row r="329">
      <c r="A329" s="81" t="inlineStr">
        <is>
          <t>Raptor Pen</t>
        </is>
      </c>
      <c r="B329" s="81" t="inlineStr">
        <is>
          <t>Pack</t>
        </is>
      </c>
      <c r="C329" s="81" t="inlineStr">
        <is>
          <t>pack damage</t>
        </is>
      </c>
      <c r="D329" s="81" t="n">
        <v>1</v>
      </c>
      <c r="E329" s="81">
        <f>ROUND('Towers'!$C$20*POWER('Tuning'!$B$12,D329),0)</f>
        <v/>
      </c>
      <c r="F329" s="81">
        <f>'Towers'!$C$20+E329</f>
        <v/>
      </c>
      <c r="G329" s="110" t="n">
        <v>1</v>
      </c>
      <c r="H329" s="110" t="n">
        <v>1</v>
      </c>
      <c r="I329" s="110" t="n">
        <v>1</v>
      </c>
      <c r="J329" s="81">
        <f>'Towers'!$G$20*G329*H329*I329</f>
        <v/>
      </c>
      <c r="K329" s="81">
        <f>IF(J329=0,0,F329/J329)</f>
        <v/>
      </c>
      <c r="L329" s="110" t="n">
        <v>1</v>
      </c>
      <c r="M329" s="81" t="inlineStr">
        <is>
          <t>Second Raptor</t>
        </is>
      </c>
      <c r="DN329" s="81" t="n">
        <v>2</v>
      </c>
    </row>
    <row r="330">
      <c r="A330" s="81" t="inlineStr">
        <is>
          <t>Raptor Pen</t>
        </is>
      </c>
      <c r="B330" s="81" t="inlineStr">
        <is>
          <t>Pack</t>
        </is>
      </c>
      <c r="C330" s="81" t="inlineStr">
        <is>
          <t>pack damage</t>
        </is>
      </c>
      <c r="D330" s="81" t="n">
        <v>2</v>
      </c>
      <c r="E330" s="81">
        <f>ROUND('Towers'!$C$20*POWER('Tuning'!$B$12,D330),0)</f>
        <v/>
      </c>
      <c r="F330" s="81">
        <f>F329+E330</f>
        <v/>
      </c>
      <c r="G330" s="110" t="n">
        <v>1.4</v>
      </c>
      <c r="H330" s="110" t="n">
        <v>1</v>
      </c>
      <c r="I330" s="110" t="n">
        <v>1</v>
      </c>
      <c r="J330" s="81">
        <f>'Towers'!$G$20*G330*H330*I330</f>
        <v/>
      </c>
      <c r="K330" s="81">
        <f>IF(J330=0,0,F330/J330)</f>
        <v/>
      </c>
      <c r="L330" s="110" t="n">
        <v>1</v>
      </c>
      <c r="M330" s="81" t="inlineStr">
        <is>
          <t>Quick Whistle</t>
        </is>
      </c>
      <c r="DN330" s="81" t="n">
        <v>2</v>
      </c>
      <c r="DP330" s="81" t="n">
        <v>1.3</v>
      </c>
      <c r="DR330" s="81" t="n">
        <v>0.7</v>
      </c>
    </row>
    <row r="331">
      <c r="A331" s="81" t="inlineStr">
        <is>
          <t>Raptor Pen</t>
        </is>
      </c>
      <c r="B331" s="81" t="inlineStr">
        <is>
          <t>Pack</t>
        </is>
      </c>
      <c r="C331" s="81" t="inlineStr">
        <is>
          <t>pack damage</t>
        </is>
      </c>
      <c r="D331" s="81" t="n">
        <v>3</v>
      </c>
      <c r="E331" s="81">
        <f>ROUND('Towers'!$C$20*POWER('Tuning'!$B$12,D331),0)</f>
        <v/>
      </c>
      <c r="F331" s="81">
        <f>F330+E331</f>
        <v/>
      </c>
      <c r="G331" s="110" t="n">
        <v>1.4</v>
      </c>
      <c r="H331" s="110" t="n">
        <v>1</v>
      </c>
      <c r="I331" s="110" t="n">
        <v>1</v>
      </c>
      <c r="J331" s="81">
        <f>'Towers'!$G$20*G331*H331*I331</f>
        <v/>
      </c>
      <c r="K331" s="81">
        <f>IF(J331=0,0,F331/J331)</f>
        <v/>
      </c>
      <c r="L331" s="110" t="n">
        <v>1</v>
      </c>
      <c r="M331" s="81" t="inlineStr">
        <is>
          <t>Pack of Five</t>
        </is>
      </c>
      <c r="DN331" s="81" t="n">
        <v>5</v>
      </c>
      <c r="DP331" s="81" t="n">
        <v>1.3</v>
      </c>
      <c r="DR331" s="81" t="n">
        <v>0.7</v>
      </c>
    </row>
    <row r="332">
      <c r="A332" s="81" t="inlineStr">
        <is>
          <t>Raptor Pen</t>
        </is>
      </c>
      <c r="B332" s="81" t="inlineStr">
        <is>
          <t>Pack</t>
        </is>
      </c>
      <c r="C332" s="81" t="inlineStr">
        <is>
          <t>pack damage</t>
        </is>
      </c>
      <c r="D332" s="81" t="n">
        <v>4</v>
      </c>
      <c r="E332" s="81">
        <f>ROUND('Towers'!$C$20*POWER('Tuning'!$B$12,D332),0)</f>
        <v/>
      </c>
      <c r="F332" s="81">
        <f>F331+E332</f>
        <v/>
      </c>
      <c r="G332" s="110" t="n">
        <v>1.75</v>
      </c>
      <c r="H332" s="110" t="n">
        <v>1</v>
      </c>
      <c r="I332" s="110" t="n">
        <v>1</v>
      </c>
      <c r="J332" s="81">
        <f>J331*G332*H332*I332</f>
        <v/>
      </c>
      <c r="K332" s="81">
        <f>IF(J332=0,0,F332/J332)</f>
        <v/>
      </c>
      <c r="L332" s="110" t="n">
        <v>1</v>
      </c>
      <c r="M332" s="81" t="inlineStr">
        <is>
          <t>Hide Rippers</t>
        </is>
      </c>
      <c r="N332" s="81" t="inlineStr">
        <is>
          <t>Yes</t>
        </is>
      </c>
      <c r="CI332" s="81" t="inlineStr">
        <is>
          <t>A</t>
        </is>
      </c>
      <c r="CJ332" s="81" t="inlineStr">
        <is>
          <t>Raptors bite through armour</t>
        </is>
      </c>
    </row>
    <row r="333">
      <c r="A333" s="81" t="inlineStr">
        <is>
          <t>Raptor Pen</t>
        </is>
      </c>
      <c r="B333" s="81" t="inlineStr">
        <is>
          <t>Pack</t>
        </is>
      </c>
      <c r="C333" s="81" t="inlineStr">
        <is>
          <t>pack damage</t>
        </is>
      </c>
      <c r="D333" s="81" t="n">
        <v>5</v>
      </c>
      <c r="E333" s="81">
        <f>ROUND('Towers'!$C$20*POWER('Tuning'!$B$12,D333),0)</f>
        <v/>
      </c>
      <c r="F333" s="81">
        <f>F332+E333</f>
        <v/>
      </c>
      <c r="G333" s="110" t="n">
        <v>1.7</v>
      </c>
      <c r="H333" s="110" t="n">
        <v>1</v>
      </c>
      <c r="I333" s="110" t="n">
        <v>1</v>
      </c>
      <c r="J333" s="81">
        <f>J332*G333*H333*I333</f>
        <v/>
      </c>
      <c r="K333" s="81">
        <f>IF(J333=0,0,F333/J333)</f>
        <v/>
      </c>
      <c r="L333" s="110" t="n">
        <v>1</v>
      </c>
      <c r="M333" s="81" t="inlineStr">
        <is>
          <t>Raptor Swarm</t>
        </is>
      </c>
      <c r="CI333" s="81" t="inlineStr">
        <is>
          <t>A</t>
        </is>
      </c>
      <c r="CJ333" s="81" t="inlineStr">
        <is>
          <t>10 small raptors flood the track once a round</t>
        </is>
      </c>
      <c r="EA333" s="81" t="inlineStr">
        <is>
          <t>Yes</t>
        </is>
      </c>
    </row>
    <row r="334">
      <c r="A334" s="81" t="inlineStr">
        <is>
          <t>Raptor Pen</t>
        </is>
      </c>
      <c r="B334" s="81" t="inlineStr">
        <is>
          <t>Alpha</t>
        </is>
      </c>
      <c r="C334" s="81" t="inlineStr">
        <is>
          <t>one big hunter</t>
        </is>
      </c>
      <c r="D334" s="81" t="n">
        <v>1</v>
      </c>
      <c r="E334" s="81">
        <f>ROUND('Towers'!$C$20*POWER('Tuning'!$B$12,D334),0)</f>
        <v/>
      </c>
      <c r="F334" s="81">
        <f>'Towers'!$C$20+E334</f>
        <v/>
      </c>
      <c r="G334" s="110" t="n">
        <v>1.9</v>
      </c>
      <c r="H334" s="110" t="n">
        <v>1</v>
      </c>
      <c r="I334" s="110" t="n">
        <v>1</v>
      </c>
      <c r="J334" s="81">
        <f>'Towers'!$G$20*G334*H334*I334</f>
        <v/>
      </c>
      <c r="K334" s="81">
        <f>IF(J334=0,0,F334/J334)</f>
        <v/>
      </c>
      <c r="L334" s="110" t="n">
        <v>1</v>
      </c>
      <c r="M334" s="81" t="inlineStr">
        <is>
          <t>Sharp Claws</t>
        </is>
      </c>
    </row>
    <row r="335">
      <c r="A335" s="81" t="inlineStr">
        <is>
          <t>Raptor Pen</t>
        </is>
      </c>
      <c r="B335" s="81" t="inlineStr">
        <is>
          <t>Alpha</t>
        </is>
      </c>
      <c r="C335" s="81" t="inlineStr">
        <is>
          <t>one big hunter</t>
        </is>
      </c>
      <c r="D335" s="81" t="n">
        <v>2</v>
      </c>
      <c r="E335" s="81">
        <f>ROUND('Towers'!$C$20*POWER('Tuning'!$B$12,D335),0)</f>
        <v/>
      </c>
      <c r="F335" s="81">
        <f>F334+E335</f>
        <v/>
      </c>
      <c r="G335" s="110" t="n">
        <v>3.6</v>
      </c>
      <c r="H335" s="110" t="n">
        <v>1</v>
      </c>
      <c r="I335" s="110" t="n">
        <v>1</v>
      </c>
      <c r="J335" s="81">
        <f>'Towers'!$G$20*G335*H335*I335</f>
        <v/>
      </c>
      <c r="K335" s="81">
        <f>IF(J335=0,0,F335/J335)</f>
        <v/>
      </c>
      <c r="L335" s="110" t="n">
        <v>1</v>
      </c>
      <c r="M335" s="81" t="inlineStr">
        <is>
          <t>Thick Hide</t>
        </is>
      </c>
      <c r="DO335" s="81" t="n">
        <v>1.6</v>
      </c>
      <c r="DQ335" s="81" t="n">
        <v>25</v>
      </c>
    </row>
    <row r="336">
      <c r="A336" s="81" t="inlineStr">
        <is>
          <t>Raptor Pen</t>
        </is>
      </c>
      <c r="B336" s="81" t="inlineStr">
        <is>
          <t>Alpha</t>
        </is>
      </c>
      <c r="C336" s="81" t="inlineStr">
        <is>
          <t>one big hunter</t>
        </is>
      </c>
      <c r="D336" s="81" t="n">
        <v>3</v>
      </c>
      <c r="E336" s="81">
        <f>ROUND('Towers'!$C$20*POWER('Tuning'!$B$12,D336),0)</f>
        <v/>
      </c>
      <c r="F336" s="81">
        <f>F335+E336</f>
        <v/>
      </c>
      <c r="G336" s="110" t="n">
        <v>7</v>
      </c>
      <c r="H336" s="110" t="n">
        <v>1</v>
      </c>
      <c r="I336" s="110" t="n">
        <v>1</v>
      </c>
      <c r="J336" s="81">
        <f>'Towers'!$G$20*G336*H336*I336</f>
        <v/>
      </c>
      <c r="K336" s="81">
        <f>IF(J336=0,0,F336/J336)</f>
        <v/>
      </c>
      <c r="L336" s="110" t="n">
        <v>1</v>
      </c>
      <c r="M336" s="81" t="inlineStr">
        <is>
          <t>Alpha Raptor</t>
        </is>
      </c>
      <c r="BJ336" s="81" t="n">
        <v>2</v>
      </c>
      <c r="DO336" s="81" t="n">
        <v>3</v>
      </c>
      <c r="DQ336" s="81" t="n">
        <v>25</v>
      </c>
      <c r="DS336" s="81" t="n">
        <v>1</v>
      </c>
      <c r="DZ336" s="81" t="inlineStr">
        <is>
          <t>Yes</t>
        </is>
      </c>
    </row>
    <row r="337">
      <c r="A337" s="81" t="inlineStr">
        <is>
          <t>Raptor Pen</t>
        </is>
      </c>
      <c r="B337" s="81" t="inlineStr">
        <is>
          <t>Alpha</t>
        </is>
      </c>
      <c r="C337" s="81" t="inlineStr">
        <is>
          <t>one big hunter</t>
        </is>
      </c>
      <c r="D337" s="81" t="n">
        <v>4</v>
      </c>
      <c r="E337" s="81">
        <f>ROUND('Towers'!$C$20*POWER('Tuning'!$B$12,D337),0)</f>
        <v/>
      </c>
      <c r="F337" s="81">
        <f>F336+E337</f>
        <v/>
      </c>
      <c r="G337" s="110" t="n">
        <v>1.8</v>
      </c>
      <c r="H337" s="110" t="n">
        <v>1</v>
      </c>
      <c r="I337" s="110" t="n">
        <v>1</v>
      </c>
      <c r="J337" s="81">
        <f>J336*G337*H337*I337</f>
        <v/>
      </c>
      <c r="K337" s="81">
        <f>IF(J337=0,0,F337/J337)</f>
        <v/>
      </c>
      <c r="L337" s="110" t="n">
        <v>1</v>
      </c>
      <c r="M337" s="81" t="inlineStr">
        <is>
          <t>Sickle Claw</t>
        </is>
      </c>
      <c r="BJ337" s="81" t="n">
        <v>3</v>
      </c>
      <c r="CI337" s="81" t="inlineStr">
        <is>
          <t>A</t>
        </is>
      </c>
      <c r="CJ337" s="81" t="inlineStr">
        <is>
          <t>×3 on its target, breaks 3</t>
        </is>
      </c>
    </row>
    <row r="338">
      <c r="A338" s="81" t="inlineStr">
        <is>
          <t>Raptor Pen</t>
        </is>
      </c>
      <c r="B338" s="81" t="inlineStr">
        <is>
          <t>Alpha</t>
        </is>
      </c>
      <c r="C338" s="81" t="inlineStr">
        <is>
          <t>one big hunter</t>
        </is>
      </c>
      <c r="D338" s="81" t="n">
        <v>5</v>
      </c>
      <c r="E338" s="81">
        <f>ROUND('Towers'!$C$20*POWER('Tuning'!$B$12,D338),0)</f>
        <v/>
      </c>
      <c r="F338" s="81">
        <f>F337+E338</f>
        <v/>
      </c>
      <c r="G338" s="110" t="n">
        <v>1.9</v>
      </c>
      <c r="H338" s="110" t="n">
        <v>1.25</v>
      </c>
      <c r="I338" s="110" t="n">
        <v>1</v>
      </c>
      <c r="J338" s="81">
        <f>J337*G338*H338*I338</f>
        <v/>
      </c>
      <c r="K338" s="81">
        <f>IF(J338=0,0,F338/J338)</f>
        <v/>
      </c>
      <c r="L338" s="110" t="n">
        <v>1</v>
      </c>
      <c r="M338" s="81" t="inlineStr">
        <is>
          <t>King of the Pack</t>
        </is>
      </c>
      <c r="BJ338" s="81" t="n">
        <v>4</v>
      </c>
      <c r="CI338" s="81" t="inlineStr">
        <is>
          <t>A</t>
        </is>
      </c>
      <c r="CJ338" s="81" t="inlineStr">
        <is>
          <t>A giant raptor, half damage taken</t>
        </is>
      </c>
      <c r="DO338" s="81" t="n">
        <v>1.5</v>
      </c>
      <c r="DQ338" s="81" t="n">
        <v>50</v>
      </c>
    </row>
    <row r="339">
      <c r="A339" s="81" t="inlineStr">
        <is>
          <t>Raptor Pen</t>
        </is>
      </c>
      <c r="B339" s="81" t="inlineStr">
        <is>
          <t>Trainer</t>
        </is>
      </c>
      <c r="C339" s="81" t="inlineStr">
        <is>
          <t>support</t>
        </is>
      </c>
      <c r="D339" s="81" t="n">
        <v>1</v>
      </c>
      <c r="E339" s="81">
        <f>ROUND('Towers'!$C$20*POWER('Tuning'!$B$12,D339),0)</f>
        <v/>
      </c>
      <c r="F339" s="81">
        <f>'Towers'!$C$20+E339</f>
        <v/>
      </c>
      <c r="G339" s="110" t="n">
        <v>1.3</v>
      </c>
      <c r="H339" s="110" t="n">
        <v>1</v>
      </c>
      <c r="I339" s="110" t="n">
        <v>1</v>
      </c>
      <c r="J339" s="81">
        <f>'Towers'!$G$20*G339*H339*I339</f>
        <v/>
      </c>
      <c r="K339" s="81">
        <f>IF(J339=0,0,F339/J339)</f>
        <v/>
      </c>
      <c r="L339" s="110" t="n">
        <v>1.15</v>
      </c>
      <c r="M339" s="81" t="inlineStr">
        <is>
          <t>Tracking Nose</t>
        </is>
      </c>
      <c r="DV339" s="81" t="inlineStr">
        <is>
          <t>Yes</t>
        </is>
      </c>
    </row>
    <row r="340">
      <c r="A340" s="81" t="inlineStr">
        <is>
          <t>Raptor Pen</t>
        </is>
      </c>
      <c r="B340" s="81" t="inlineStr">
        <is>
          <t>Trainer</t>
        </is>
      </c>
      <c r="C340" s="81" t="inlineStr">
        <is>
          <t>support</t>
        </is>
      </c>
      <c r="D340" s="81" t="n">
        <v>2</v>
      </c>
      <c r="E340" s="81">
        <f>ROUND('Towers'!$C$20*POWER('Tuning'!$B$12,D340),0)</f>
        <v/>
      </c>
      <c r="F340" s="81">
        <f>F339+E340</f>
        <v/>
      </c>
      <c r="G340" s="110" t="n">
        <v>1.6</v>
      </c>
      <c r="H340" s="110" t="n">
        <v>1</v>
      </c>
      <c r="I340" s="110" t="n">
        <v>1</v>
      </c>
      <c r="J340" s="81">
        <f>'Towers'!$G$20*G340*H340*I340</f>
        <v/>
      </c>
      <c r="K340" s="81">
        <f>IF(J340=0,0,F340/J340)</f>
        <v/>
      </c>
      <c r="L340" s="110" t="n">
        <v>1.15</v>
      </c>
      <c r="M340" s="81" t="inlineStr">
        <is>
          <t>Herding Call</t>
        </is>
      </c>
      <c r="AE340" s="81" t="n">
        <v>20</v>
      </c>
      <c r="AF340" s="81" t="n">
        <v>1</v>
      </c>
      <c r="DV340" s="81" t="inlineStr">
        <is>
          <t>Yes</t>
        </is>
      </c>
    </row>
    <row r="341">
      <c r="A341" s="81" t="inlineStr">
        <is>
          <t>Raptor Pen</t>
        </is>
      </c>
      <c r="B341" s="81" t="inlineStr">
        <is>
          <t>Trainer</t>
        </is>
      </c>
      <c r="C341" s="81" t="inlineStr">
        <is>
          <t>support</t>
        </is>
      </c>
      <c r="D341" s="81" t="n">
        <v>3</v>
      </c>
      <c r="E341" s="81">
        <f>ROUND('Towers'!$C$20*POWER('Tuning'!$B$12,D341),0)</f>
        <v/>
      </c>
      <c r="F341" s="81">
        <f>F340+E341</f>
        <v/>
      </c>
      <c r="G341" s="110" t="n">
        <v>2.2</v>
      </c>
      <c r="H341" s="110" t="n">
        <v>1</v>
      </c>
      <c r="I341" s="110" t="n">
        <v>1</v>
      </c>
      <c r="J341" s="81">
        <f>'Towers'!$G$20*G341*H341*I341</f>
        <v/>
      </c>
      <c r="K341" s="81">
        <f>IF(J341=0,0,F341/J341)</f>
        <v/>
      </c>
      <c r="L341" s="110" t="n">
        <v>1.15</v>
      </c>
      <c r="M341" s="81" t="inlineStr">
        <is>
          <t>Pack Howl</t>
        </is>
      </c>
      <c r="AE341" s="81" t="n">
        <v>20</v>
      </c>
      <c r="AF341" s="81" t="n">
        <v>1</v>
      </c>
      <c r="BY341" s="81" t="n">
        <v>15</v>
      </c>
      <c r="DN341" s="81" t="n">
        <v>2</v>
      </c>
      <c r="DV341" s="81" t="inlineStr">
        <is>
          <t>Yes</t>
        </is>
      </c>
    </row>
    <row r="342">
      <c r="A342" s="81" t="inlineStr">
        <is>
          <t>Raptor Pen</t>
        </is>
      </c>
      <c r="B342" s="81" t="inlineStr">
        <is>
          <t>Trainer</t>
        </is>
      </c>
      <c r="C342" s="81" t="inlineStr">
        <is>
          <t>support</t>
        </is>
      </c>
      <c r="D342" s="81" t="n">
        <v>4</v>
      </c>
      <c r="E342" s="81">
        <f>ROUND('Towers'!$C$20*POWER('Tuning'!$B$12,D342),0)</f>
        <v/>
      </c>
      <c r="F342" s="81">
        <f>F341+E342</f>
        <v/>
      </c>
      <c r="G342" s="110" t="n">
        <v>1.4</v>
      </c>
      <c r="H342" s="110" t="n">
        <v>1</v>
      </c>
      <c r="I342" s="110" t="n">
        <v>1</v>
      </c>
      <c r="J342" s="81">
        <f>J341*G342*H342*I342</f>
        <v/>
      </c>
      <c r="K342" s="81">
        <f>IF(J342=0,0,F342/J342)</f>
        <v/>
      </c>
      <c r="L342" s="110" t="n">
        <v>1</v>
      </c>
      <c r="M342" s="81" t="inlineStr">
        <is>
          <t>Treat Bag</t>
        </is>
      </c>
      <c r="CI342" s="81" t="inlineStr">
        <is>
          <t>A</t>
        </is>
      </c>
      <c r="CJ342" s="81" t="inlineStr">
        <is>
          <t>Raptors heal and return faster</t>
        </is>
      </c>
      <c r="DR342" s="81" t="n">
        <v>0.5</v>
      </c>
      <c r="DX342" s="81" t="inlineStr">
        <is>
          <t>Yes</t>
        </is>
      </c>
    </row>
    <row r="343">
      <c r="A343" s="81" t="inlineStr">
        <is>
          <t>Raptor Pen</t>
        </is>
      </c>
      <c r="B343" s="81" t="inlineStr">
        <is>
          <t>Trainer</t>
        </is>
      </c>
      <c r="C343" s="81" t="inlineStr">
        <is>
          <t>support</t>
        </is>
      </c>
      <c r="D343" s="81" t="n">
        <v>5</v>
      </c>
      <c r="E343" s="81">
        <f>ROUND('Towers'!$C$20*POWER('Tuning'!$B$12,D343),0)</f>
        <v/>
      </c>
      <c r="F343" s="81">
        <f>F342+E343</f>
        <v/>
      </c>
      <c r="G343" s="110" t="n">
        <v>1.5</v>
      </c>
      <c r="H343" s="110" t="n">
        <v>1</v>
      </c>
      <c r="I343" s="110" t="n">
        <v>1</v>
      </c>
      <c r="J343" s="81">
        <f>J342*G343*H343*I343</f>
        <v/>
      </c>
      <c r="K343" s="81">
        <f>IF(J343=0,0,F343/J343)</f>
        <v/>
      </c>
      <c r="L343" s="110" t="n">
        <v>1</v>
      </c>
      <c r="M343" s="81" t="inlineStr">
        <is>
          <t>Raptor Charge</t>
        </is>
      </c>
      <c r="CI343" s="81" t="inlineStr">
        <is>
          <t>A</t>
        </is>
      </c>
      <c r="CJ343" s="81" t="inlineStr">
        <is>
          <t>Every raptor charges the track once a round</t>
        </is>
      </c>
      <c r="EB343" s="81" t="inlineStr">
        <is>
          <t>Yes</t>
        </is>
      </c>
    </row>
    <row r="344">
      <c r="A344" s="81" t="inlineStr">
        <is>
          <t>Raptor Pen</t>
        </is>
      </c>
      <c r="B344" s="81" t="inlineStr">
        <is>
          <t>Pack</t>
        </is>
      </c>
      <c r="C344" s="81" t="inlineStr">
        <is>
          <t>pack damage</t>
        </is>
      </c>
      <c r="D344" s="81" t="n">
        <v>4</v>
      </c>
      <c r="E344" s="81">
        <f>E332</f>
        <v/>
      </c>
      <c r="F344" s="81">
        <f>F332</f>
        <v/>
      </c>
      <c r="G344" s="110" t="n">
        <v>1.85</v>
      </c>
      <c r="H344" s="110" t="n">
        <v>1</v>
      </c>
      <c r="I344" s="110" t="n">
        <v>1</v>
      </c>
      <c r="L344" s="110" t="n">
        <v>1</v>
      </c>
      <c r="M344" s="81" t="inlineStr">
        <is>
          <t>Flanking</t>
        </is>
      </c>
      <c r="CI344" s="81" t="inlineStr">
        <is>
          <t>B</t>
        </is>
      </c>
      <c r="CJ344" s="81" t="inlineStr">
        <is>
          <t>Each raptor picks a different dino</t>
        </is>
      </c>
      <c r="DU344" s="81" t="inlineStr">
        <is>
          <t>Yes</t>
        </is>
      </c>
    </row>
    <row r="345">
      <c r="A345" s="81" t="inlineStr">
        <is>
          <t>Raptor Pen</t>
        </is>
      </c>
      <c r="B345" s="81" t="inlineStr">
        <is>
          <t>Pack</t>
        </is>
      </c>
      <c r="C345" s="81" t="inlineStr">
        <is>
          <t>pack damage</t>
        </is>
      </c>
      <c r="D345" s="81" t="n">
        <v>4</v>
      </c>
      <c r="E345" s="81">
        <f>E332</f>
        <v/>
      </c>
      <c r="F345" s="81">
        <f>F332</f>
        <v/>
      </c>
      <c r="G345" s="110" t="n">
        <v>1.75</v>
      </c>
      <c r="H345" s="110" t="n">
        <v>1</v>
      </c>
      <c r="I345" s="110" t="n">
        <v>1</v>
      </c>
      <c r="L345" s="110" t="n">
        <v>1</v>
      </c>
      <c r="M345" s="81" t="inlineStr">
        <is>
          <t>Ambush</t>
        </is>
      </c>
      <c r="BU345" s="81" t="n">
        <v>2</v>
      </c>
      <c r="CI345" s="81" t="inlineStr">
        <is>
          <t>C</t>
        </is>
      </c>
      <c r="CJ345" s="81" t="inlineStr">
        <is>
          <t>Each raptor's first pounce hits double</t>
        </is>
      </c>
    </row>
    <row r="346">
      <c r="A346" s="81" t="inlineStr">
        <is>
          <t>Raptor Pen</t>
        </is>
      </c>
      <c r="B346" s="81" t="inlineStr">
        <is>
          <t>Pack</t>
        </is>
      </c>
      <c r="C346" s="81" t="inlineStr">
        <is>
          <t>pack damage</t>
        </is>
      </c>
      <c r="D346" s="81" t="n">
        <v>5</v>
      </c>
      <c r="E346" s="81">
        <f>E333</f>
        <v/>
      </c>
      <c r="F346" s="81">
        <f>F333</f>
        <v/>
      </c>
      <c r="G346" s="110" t="n">
        <v>1.75</v>
      </c>
      <c r="H346" s="110" t="n">
        <v>1</v>
      </c>
      <c r="I346" s="110" t="n">
        <v>1</v>
      </c>
      <c r="L346" s="110" t="n">
        <v>1</v>
      </c>
      <c r="M346" s="81" t="inlineStr">
        <is>
          <t>Clever Girls</t>
        </is>
      </c>
      <c r="CI346" s="81" t="inlineStr">
        <is>
          <t>B</t>
        </is>
      </c>
      <c r="CJ346" s="81" t="inlineStr">
        <is>
          <t>Raptors dodge bites and never get trampled</t>
        </is>
      </c>
      <c r="DY346" s="81" t="inlineStr">
        <is>
          <t>Yes</t>
        </is>
      </c>
    </row>
    <row r="347">
      <c r="A347" s="81" t="inlineStr">
        <is>
          <t>Raptor Pen</t>
        </is>
      </c>
      <c r="B347" s="81" t="inlineStr">
        <is>
          <t>Pack</t>
        </is>
      </c>
      <c r="C347" s="81" t="inlineStr">
        <is>
          <t>pack damage</t>
        </is>
      </c>
      <c r="D347" s="81" t="n">
        <v>5</v>
      </c>
      <c r="E347" s="81">
        <f>E333</f>
        <v/>
      </c>
      <c r="F347" s="81">
        <f>F333</f>
        <v/>
      </c>
      <c r="G347" s="110" t="n">
        <v>1.95</v>
      </c>
      <c r="H347" s="110" t="n">
        <v>1</v>
      </c>
      <c r="I347" s="110" t="n">
        <v>1</v>
      </c>
      <c r="L347" s="110" t="n">
        <v>1</v>
      </c>
      <c r="M347" s="81" t="inlineStr">
        <is>
          <t>Sky Leap</t>
        </is>
      </c>
      <c r="CI347" s="81" t="inlineStr">
        <is>
          <t>C</t>
        </is>
      </c>
      <c r="CJ347" s="81" t="inlineStr">
        <is>
          <t>Raptors jump at low flyers</t>
        </is>
      </c>
      <c r="DW347" s="81" t="inlineStr">
        <is>
          <t>Yes</t>
        </is>
      </c>
    </row>
    <row r="348">
      <c r="A348" s="81" t="inlineStr">
        <is>
          <t>Raptor Pen</t>
        </is>
      </c>
      <c r="B348" s="81" t="inlineStr">
        <is>
          <t>Alpha</t>
        </is>
      </c>
      <c r="C348" s="81" t="inlineStr">
        <is>
          <t>one big hunter</t>
        </is>
      </c>
      <c r="D348" s="81" t="n">
        <v>4</v>
      </c>
      <c r="E348" s="81">
        <f>E337</f>
        <v/>
      </c>
      <c r="F348" s="81">
        <f>F337</f>
        <v/>
      </c>
      <c r="G348" s="110" t="n">
        <v>1.6</v>
      </c>
      <c r="H348" s="110" t="n">
        <v>1</v>
      </c>
      <c r="I348" s="110" t="n">
        <v>1</v>
      </c>
      <c r="L348" s="110" t="n">
        <v>1</v>
      </c>
      <c r="M348" s="81" t="inlineStr">
        <is>
          <t>Boss Hunter</t>
        </is>
      </c>
      <c r="P348" s="81" t="n">
        <v>1.6</v>
      </c>
      <c r="CI348" s="81" t="inlineStr">
        <is>
          <t>B</t>
        </is>
      </c>
      <c r="CJ348" s="81" t="inlineStr">
        <is>
          <t>Can hold a boss for a moment</t>
        </is>
      </c>
      <c r="DT348" s="81" t="n">
        <v>0.5</v>
      </c>
    </row>
    <row r="349">
      <c r="A349" s="81" t="inlineStr">
        <is>
          <t>Raptor Pen</t>
        </is>
      </c>
      <c r="B349" s="81" t="inlineStr">
        <is>
          <t>Alpha</t>
        </is>
      </c>
      <c r="C349" s="81" t="inlineStr">
        <is>
          <t>one big hunter</t>
        </is>
      </c>
      <c r="D349" s="81" t="n">
        <v>4</v>
      </c>
      <c r="E349" s="81">
        <f>E337</f>
        <v/>
      </c>
      <c r="F349" s="81">
        <f>F337</f>
        <v/>
      </c>
      <c r="G349" s="110" t="n">
        <v>1.7</v>
      </c>
      <c r="H349" s="110" t="n">
        <v>1</v>
      </c>
      <c r="I349" s="110" t="n">
        <v>1</v>
      </c>
      <c r="L349" s="110" t="n">
        <v>1</v>
      </c>
      <c r="M349" s="81" t="inlineStr">
        <is>
          <t>Scent Trail</t>
        </is>
      </c>
      <c r="T349" s="81" t="n">
        <v>15</v>
      </c>
      <c r="CI349" s="81" t="inlineStr">
        <is>
          <t>C</t>
        </is>
      </c>
      <c r="CJ349" s="81" t="inlineStr">
        <is>
          <t>Its target is marked +15%</t>
        </is>
      </c>
    </row>
    <row r="350">
      <c r="A350" s="81" t="inlineStr">
        <is>
          <t>Raptor Pen</t>
        </is>
      </c>
      <c r="B350" s="81" t="inlineStr">
        <is>
          <t>Alpha</t>
        </is>
      </c>
      <c r="C350" s="81" t="inlineStr">
        <is>
          <t>one big hunter</t>
        </is>
      </c>
      <c r="D350" s="81" t="n">
        <v>5</v>
      </c>
      <c r="E350" s="81">
        <f>E338</f>
        <v/>
      </c>
      <c r="F350" s="81">
        <f>F338</f>
        <v/>
      </c>
      <c r="G350" s="110" t="n">
        <v>2</v>
      </c>
      <c r="H350" s="110" t="n">
        <v>1</v>
      </c>
      <c r="I350" s="110" t="n">
        <v>1</v>
      </c>
      <c r="L350" s="110" t="n">
        <v>1</v>
      </c>
      <c r="M350" s="81" t="inlineStr">
        <is>
          <t>Rex Tamer</t>
        </is>
      </c>
      <c r="U350" s="81" t="n">
        <v>1</v>
      </c>
      <c r="CI350" s="81" t="inlineStr">
        <is>
          <t>B</t>
        </is>
      </c>
      <c r="CJ350" s="81" t="inlineStr">
        <is>
          <t>A tamed T. rex whose roar stuns</t>
        </is>
      </c>
      <c r="DO350" s="81" t="n">
        <v>1.4</v>
      </c>
      <c r="ED350" s="81" t="n">
        <v>15</v>
      </c>
    </row>
    <row r="351">
      <c r="A351" s="81" t="inlineStr">
        <is>
          <t>Raptor Pen</t>
        </is>
      </c>
      <c r="B351" s="81" t="inlineStr">
        <is>
          <t>Alpha</t>
        </is>
      </c>
      <c r="C351" s="81" t="inlineStr">
        <is>
          <t>one big hunter</t>
        </is>
      </c>
      <c r="D351" s="81" t="n">
        <v>5</v>
      </c>
      <c r="E351" s="81">
        <f>E338</f>
        <v/>
      </c>
      <c r="F351" s="81">
        <f>F338</f>
        <v/>
      </c>
      <c r="G351" s="110" t="n">
        <v>1.75</v>
      </c>
      <c r="H351" s="110" t="n">
        <v>1</v>
      </c>
      <c r="I351" s="110" t="n">
        <v>1</v>
      </c>
      <c r="L351" s="110" t="n">
        <v>1</v>
      </c>
      <c r="M351" s="81" t="inlineStr">
        <is>
          <t>Hungry Alpha</t>
        </is>
      </c>
      <c r="CI351" s="81" t="inlineStr">
        <is>
          <t>C</t>
        </is>
      </c>
      <c r="CJ351" s="81" t="inlineStr">
        <is>
          <t>Stronger with every take-down</t>
        </is>
      </c>
      <c r="EE351" s="81" t="n">
        <v>10</v>
      </c>
    </row>
    <row r="352">
      <c r="A352" s="81" t="inlineStr">
        <is>
          <t>Raptor Pen</t>
        </is>
      </c>
      <c r="B352" s="81" t="inlineStr">
        <is>
          <t>Trainer</t>
        </is>
      </c>
      <c r="C352" s="81" t="inlineStr">
        <is>
          <t>support</t>
        </is>
      </c>
      <c r="D352" s="81" t="n">
        <v>4</v>
      </c>
      <c r="E352" s="81">
        <f>E342</f>
        <v/>
      </c>
      <c r="F352" s="81">
        <f>F342</f>
        <v/>
      </c>
      <c r="G352" s="110" t="n">
        <v>1.3</v>
      </c>
      <c r="H352" s="110" t="n">
        <v>1</v>
      </c>
      <c r="I352" s="110" t="n">
        <v>1</v>
      </c>
      <c r="L352" s="110" t="n">
        <v>1</v>
      </c>
      <c r="M352" s="81" t="inlineStr">
        <is>
          <t>Guard Raptors</t>
        </is>
      </c>
      <c r="CI352" s="81" t="inlineStr">
        <is>
          <t>B</t>
        </is>
      </c>
      <c r="CJ352" s="81" t="inlineStr">
        <is>
          <t>A raptor guards each tower</t>
        </is>
      </c>
      <c r="EC352" s="81" t="inlineStr">
        <is>
          <t>Yes</t>
        </is>
      </c>
    </row>
    <row r="353">
      <c r="A353" s="81" t="inlineStr">
        <is>
          <t>Raptor Pen</t>
        </is>
      </c>
      <c r="B353" s="81" t="inlineStr">
        <is>
          <t>Trainer</t>
        </is>
      </c>
      <c r="C353" s="81" t="inlineStr">
        <is>
          <t>support</t>
        </is>
      </c>
      <c r="D353" s="81" t="n">
        <v>4</v>
      </c>
      <c r="E353" s="81">
        <f>E342</f>
        <v/>
      </c>
      <c r="F353" s="81">
        <f>F342</f>
        <v/>
      </c>
      <c r="G353" s="110" t="n">
        <v>1.3</v>
      </c>
      <c r="H353" s="110" t="n">
        <v>1</v>
      </c>
      <c r="I353" s="110" t="n">
        <v>1</v>
      </c>
      <c r="L353" s="110" t="n">
        <v>1</v>
      </c>
      <c r="M353" s="81" t="inlineStr">
        <is>
          <t>Whistle Drill</t>
        </is>
      </c>
      <c r="BY353" s="81" t="n">
        <v>20</v>
      </c>
      <c r="CI353" s="81" t="inlineStr">
        <is>
          <t>C</t>
        </is>
      </c>
      <c r="CJ353" s="81" t="inlineStr">
        <is>
          <t>Raptors run 30% faster</t>
        </is>
      </c>
      <c r="DP353" s="81" t="n">
        <v>1.3</v>
      </c>
    </row>
    <row r="354">
      <c r="A354" s="81" t="inlineStr">
        <is>
          <t>Raptor Pen</t>
        </is>
      </c>
      <c r="B354" s="81" t="inlineStr">
        <is>
          <t>Trainer</t>
        </is>
      </c>
      <c r="C354" s="81" t="inlineStr">
        <is>
          <t>support</t>
        </is>
      </c>
      <c r="D354" s="81" t="n">
        <v>5</v>
      </c>
      <c r="E354" s="81">
        <f>E343</f>
        <v/>
      </c>
      <c r="F354" s="81">
        <f>F343</f>
        <v/>
      </c>
      <c r="G354" s="110" t="n">
        <v>1.1</v>
      </c>
      <c r="H354" s="110" t="n">
        <v>1</v>
      </c>
      <c r="I354" s="110" t="n">
        <v>1</v>
      </c>
      <c r="L354" s="110" t="n">
        <v>1</v>
      </c>
      <c r="M354" s="81" t="inlineStr">
        <is>
          <t>Pack Bond</t>
        </is>
      </c>
      <c r="CI354" s="81" t="inlineStr">
        <is>
          <t>B</t>
        </is>
      </c>
      <c r="CJ354" s="81" t="inlineStr">
        <is>
          <t>Hunters nearby +20% with 3+ raptors out</t>
        </is>
      </c>
      <c r="DN354" s="81" t="n">
        <v>3</v>
      </c>
      <c r="EG354" s="81" t="n">
        <v>20</v>
      </c>
    </row>
    <row r="355">
      <c r="A355" s="81" t="inlineStr">
        <is>
          <t>Raptor Pen</t>
        </is>
      </c>
      <c r="B355" s="81" t="inlineStr">
        <is>
          <t>Trainer</t>
        </is>
      </c>
      <c r="C355" s="81" t="inlineStr">
        <is>
          <t>support</t>
        </is>
      </c>
      <c r="D355" s="81" t="n">
        <v>5</v>
      </c>
      <c r="E355" s="81">
        <f>E343</f>
        <v/>
      </c>
      <c r="F355" s="81">
        <f>F343</f>
        <v/>
      </c>
      <c r="G355" s="110" t="n">
        <v>1.5</v>
      </c>
      <c r="H355" s="110" t="n">
        <v>1</v>
      </c>
      <c r="I355" s="110" t="n">
        <v>1</v>
      </c>
      <c r="L355" s="110" t="n">
        <v>1</v>
      </c>
      <c r="M355" s="81" t="inlineStr">
        <is>
          <t>Raider Hounds</t>
        </is>
      </c>
      <c r="BJ355" s="81" t="n">
        <v>2</v>
      </c>
      <c r="CI355" s="81" t="inlineStr">
        <is>
          <t>C</t>
        </is>
      </c>
      <c r="CJ355" s="81" t="inlineStr">
        <is>
          <t>Raptors chase raiders (or the dino that hurt a tower)</t>
        </is>
      </c>
      <c r="CK355" s="81" t="inlineStr">
        <is>
          <t>yes</t>
        </is>
      </c>
      <c r="CL355" s="81" t="n">
        <v>20</v>
      </c>
      <c r="CM355" s="81" t="n">
        <v>1</v>
      </c>
      <c r="CN355" s="81" t="n">
        <v>10</v>
      </c>
      <c r="EF355" s="81" t="n">
        <v>2</v>
      </c>
    </row>
    <row r="356">
      <c r="A356" s="81" t="inlineStr">
        <is>
          <t>Bone Totem</t>
        </is>
      </c>
      <c r="B356" s="81" t="inlineStr">
        <is>
          <t>Roar</t>
        </is>
      </c>
      <c r="C356" s="81" t="inlineStr">
        <is>
          <t>damage</t>
        </is>
      </c>
      <c r="D356" s="81" t="n">
        <v>1</v>
      </c>
      <c r="E356" s="81">
        <f>ROUND('Towers'!$C$21*POWER('Tuning'!$B$12,D356),0)</f>
        <v/>
      </c>
      <c r="F356" s="81">
        <f>'Towers'!$C$21+E356</f>
        <v/>
      </c>
      <c r="G356" s="110" t="n">
        <v>1.6</v>
      </c>
      <c r="H356" s="110" t="n">
        <v>1</v>
      </c>
      <c r="I356" s="110" t="n">
        <v>1</v>
      </c>
      <c r="J356" s="81">
        <f>'Towers'!$G$21*G356*H356*I356</f>
        <v/>
      </c>
      <c r="K356" s="81">
        <f>IF(J356=0,0,F356/J356)</f>
        <v/>
      </c>
      <c r="L356" s="110" t="n">
        <v>1</v>
      </c>
      <c r="M356" s="81" t="inlineStr">
        <is>
          <t>Louder Roar</t>
        </is>
      </c>
      <c r="DN356" s="81" t="n"/>
    </row>
    <row r="357">
      <c r="A357" s="81" t="inlineStr">
        <is>
          <t>Bone Totem</t>
        </is>
      </c>
      <c r="B357" s="81" t="inlineStr">
        <is>
          <t>Roar</t>
        </is>
      </c>
      <c r="C357" s="81" t="inlineStr">
        <is>
          <t>damage</t>
        </is>
      </c>
      <c r="D357" s="81" t="n">
        <v>2</v>
      </c>
      <c r="E357" s="81">
        <f>ROUND('Towers'!$C$21*POWER('Tuning'!$B$12,D357),0)</f>
        <v/>
      </c>
      <c r="F357" s="81">
        <f>F356+E357</f>
        <v/>
      </c>
      <c r="G357" s="110" t="n">
        <v>2.2</v>
      </c>
      <c r="H357" s="110" t="n">
        <v>1</v>
      </c>
      <c r="I357" s="110" t="n">
        <v>1</v>
      </c>
      <c r="J357" s="81">
        <f>'Towers'!$G$21*G357*H357*I357</f>
        <v/>
      </c>
      <c r="K357" s="81">
        <f>IF(J357=0,0,F357/J357)</f>
        <v/>
      </c>
      <c r="L357" s="110" t="n">
        <v>1</v>
      </c>
      <c r="M357" s="81" t="inlineStr">
        <is>
          <t>Quick Charge</t>
        </is>
      </c>
      <c r="DN357" s="81" t="n"/>
      <c r="DP357" s="81" t="n"/>
      <c r="DR357" s="81" t="n"/>
      <c r="EL357" s="81" t="n">
        <v>0.8</v>
      </c>
    </row>
    <row r="358">
      <c r="A358" s="81" t="inlineStr">
        <is>
          <t>Bone Totem</t>
        </is>
      </c>
      <c r="B358" s="81" t="inlineStr">
        <is>
          <t>Roar</t>
        </is>
      </c>
      <c r="C358" s="81" t="inlineStr">
        <is>
          <t>damage</t>
        </is>
      </c>
      <c r="D358" s="81" t="n">
        <v>3</v>
      </c>
      <c r="E358" s="81">
        <f>ROUND('Towers'!$C$21*POWER('Tuning'!$B$12,D358),0)</f>
        <v/>
      </c>
      <c r="F358" s="81">
        <f>F357+E358</f>
        <v/>
      </c>
      <c r="G358" s="110" t="n">
        <v>4.2</v>
      </c>
      <c r="H358" s="110" t="n">
        <v>1</v>
      </c>
      <c r="I358" s="110" t="n">
        <v>1</v>
      </c>
      <c r="J358" s="81">
        <f>'Towers'!$G$21*G358*H358*I358</f>
        <v/>
      </c>
      <c r="K358" s="81">
        <f>IF(J358=0,0,F358/J358)</f>
        <v/>
      </c>
      <c r="L358" s="110" t="n">
        <v>1</v>
      </c>
      <c r="M358" s="81" t="inlineStr">
        <is>
          <t>Thunder Roar</t>
        </is>
      </c>
      <c r="N358" s="81" t="inlineStr">
        <is>
          <t>Yes</t>
        </is>
      </c>
      <c r="BJ358" s="81" t="n">
        <v>3</v>
      </c>
      <c r="DN358" s="81" t="n"/>
      <c r="DP358" s="81" t="n"/>
      <c r="DR358" s="81" t="n"/>
      <c r="EL358" s="81" t="n">
        <v>0.8</v>
      </c>
    </row>
    <row r="359">
      <c r="A359" s="81" t="inlineStr">
        <is>
          <t>Bone Totem</t>
        </is>
      </c>
      <c r="B359" s="81" t="inlineStr">
        <is>
          <t>Roar</t>
        </is>
      </c>
      <c r="C359" s="81" t="inlineStr">
        <is>
          <t>damage</t>
        </is>
      </c>
      <c r="D359" s="81" t="n">
        <v>4</v>
      </c>
      <c r="E359" s="81">
        <f>ROUND('Towers'!$C$21*POWER('Tuning'!$B$12,D359),0)</f>
        <v/>
      </c>
      <c r="F359" s="81">
        <f>F358+E359</f>
        <v/>
      </c>
      <c r="G359" s="110" t="n">
        <v>0.9</v>
      </c>
      <c r="H359" s="110" t="n">
        <v>1</v>
      </c>
      <c r="I359" s="110" t="n">
        <v>1</v>
      </c>
      <c r="J359" s="81">
        <f>J358*G359*H359*I359</f>
        <v/>
      </c>
      <c r="K359" s="81">
        <f>IF(J359=0,0,F359/J359)</f>
        <v/>
      </c>
      <c r="L359" s="110" t="n">
        <v>1</v>
      </c>
      <c r="M359" s="81" t="inlineStr">
        <is>
          <t>Echo Roar</t>
        </is>
      </c>
      <c r="N359" s="81" t="n"/>
      <c r="CI359" s="81" t="inlineStr">
        <is>
          <t>A</t>
        </is>
      </c>
      <c r="CJ359" s="81" t="inlineStr">
        <is>
          <t>The roar hits twice</t>
        </is>
      </c>
      <c r="EM359" s="81" t="n">
        <v>1</v>
      </c>
    </row>
    <row r="360">
      <c r="A360" s="81" t="inlineStr">
        <is>
          <t>Bone Totem</t>
        </is>
      </c>
      <c r="B360" s="81" t="inlineStr">
        <is>
          <t>Roar</t>
        </is>
      </c>
      <c r="C360" s="81" t="inlineStr">
        <is>
          <t>damage</t>
        </is>
      </c>
      <c r="D360" s="81" t="n">
        <v>5</v>
      </c>
      <c r="E360" s="81">
        <f>ROUND('Towers'!$C$21*POWER('Tuning'!$B$12,D360),0)</f>
        <v/>
      </c>
      <c r="F360" s="81">
        <f>F359+E360</f>
        <v/>
      </c>
      <c r="G360" s="110" t="n">
        <v>0.8</v>
      </c>
      <c r="H360" s="110" t="n">
        <v>1</v>
      </c>
      <c r="I360" s="110" t="n">
        <v>1</v>
      </c>
      <c r="J360" s="81">
        <f>J359*G360*H360*I360</f>
        <v/>
      </c>
      <c r="K360" s="81">
        <f>IF(J360=0,0,F360/J360)</f>
        <v/>
      </c>
      <c r="L360" s="110" t="n">
        <v>1</v>
      </c>
      <c r="M360" s="81" t="inlineStr">
        <is>
          <t>Ancient Roar</t>
        </is>
      </c>
      <c r="CI360" s="81" t="inlineStr">
        <is>
          <t>A</t>
        </is>
      </c>
      <c r="CJ360" s="81" t="inlineStr">
        <is>
          <t>The roar reaches your whole track</t>
        </is>
      </c>
      <c r="EA360" s="81" t="n"/>
      <c r="EN360" s="81" t="inlineStr">
        <is>
          <t>Yes</t>
        </is>
      </c>
    </row>
    <row r="361">
      <c r="A361" s="81" t="inlineStr">
        <is>
          <t>Bone Totem</t>
        </is>
      </c>
      <c r="B361" s="81" t="inlineStr">
        <is>
          <t>Ancestors</t>
        </is>
      </c>
      <c r="C361" s="81" t="inlineStr">
        <is>
          <t>buffs</t>
        </is>
      </c>
      <c r="D361" s="81" t="n">
        <v>1</v>
      </c>
      <c r="E361" s="81">
        <f>ROUND('Towers'!$C$21*POWER('Tuning'!$B$12,D361),0)</f>
        <v/>
      </c>
      <c r="F361" s="81">
        <f>'Towers'!$C$21+E361</f>
        <v/>
      </c>
      <c r="G361" s="110" t="n">
        <v>1</v>
      </c>
      <c r="H361" s="110" t="n">
        <v>1</v>
      </c>
      <c r="I361" s="110" t="n">
        <v>1</v>
      </c>
      <c r="J361" s="81">
        <f>'Towers'!$G$21*G361*H361*I361</f>
        <v/>
      </c>
      <c r="K361" s="81">
        <f>IF(J361=0,0,F361/J361)</f>
        <v/>
      </c>
      <c r="L361" s="110" t="n">
        <v>1</v>
      </c>
      <c r="M361" s="81" t="inlineStr">
        <is>
          <t>Old Bones</t>
        </is>
      </c>
      <c r="EU361" s="81" t="n">
        <v>20</v>
      </c>
    </row>
    <row r="362">
      <c r="A362" s="81" t="inlineStr">
        <is>
          <t>Bone Totem</t>
        </is>
      </c>
      <c r="B362" s="81" t="inlineStr">
        <is>
          <t>Ancestors</t>
        </is>
      </c>
      <c r="C362" s="81" t="inlineStr">
        <is>
          <t>buffs</t>
        </is>
      </c>
      <c r="D362" s="81" t="n">
        <v>2</v>
      </c>
      <c r="E362" s="81">
        <f>ROUND('Towers'!$C$21*POWER('Tuning'!$B$12,D362),0)</f>
        <v/>
      </c>
      <c r="F362" s="81">
        <f>F361+E362</f>
        <v/>
      </c>
      <c r="G362" s="110" t="n">
        <v>1</v>
      </c>
      <c r="H362" s="110" t="n">
        <v>1</v>
      </c>
      <c r="I362" s="110" t="n">
        <v>1</v>
      </c>
      <c r="J362" s="81">
        <f>'Towers'!$G$21*G362*H362*I362</f>
        <v/>
      </c>
      <c r="K362" s="81">
        <f>IF(J362=0,0,F362/J362)</f>
        <v/>
      </c>
      <c r="L362" s="110" t="n">
        <v>1</v>
      </c>
      <c r="M362" s="81" t="inlineStr">
        <is>
          <t>Shared Charge</t>
        </is>
      </c>
      <c r="DO362" s="81" t="n"/>
      <c r="DQ362" s="81" t="n"/>
      <c r="EI362" s="81" t="n">
        <v>2</v>
      </c>
      <c r="EU362" s="81" t="n">
        <v>20</v>
      </c>
    </row>
    <row r="363">
      <c r="A363" s="81" t="inlineStr">
        <is>
          <t>Bone Totem</t>
        </is>
      </c>
      <c r="B363" s="81" t="inlineStr">
        <is>
          <t>Ancestors</t>
        </is>
      </c>
      <c r="C363" s="81" t="inlineStr">
        <is>
          <t>buffs</t>
        </is>
      </c>
      <c r="D363" s="81" t="n">
        <v>3</v>
      </c>
      <c r="E363" s="81">
        <f>ROUND('Towers'!$C$21*POWER('Tuning'!$B$12,D363),0)</f>
        <v/>
      </c>
      <c r="F363" s="81">
        <f>F362+E363</f>
        <v/>
      </c>
      <c r="G363" s="110" t="n">
        <v>1</v>
      </c>
      <c r="H363" s="110" t="n">
        <v>1</v>
      </c>
      <c r="I363" s="110" t="n">
        <v>1</v>
      </c>
      <c r="J363" s="81">
        <f>'Towers'!$G$21*G363*H363*I363</f>
        <v/>
      </c>
      <c r="K363" s="81">
        <f>IF(J363=0,0,F363/J363)</f>
        <v/>
      </c>
      <c r="L363" s="110" t="n">
        <v>1</v>
      </c>
      <c r="M363" s="81" t="inlineStr">
        <is>
          <t>Spirit Guard</t>
        </is>
      </c>
      <c r="BJ363" s="81" t="n"/>
      <c r="DO363" s="81" t="n"/>
      <c r="DQ363" s="81" t="n"/>
      <c r="DS363" s="81" t="n"/>
      <c r="DZ363" s="81" t="n"/>
      <c r="EI363" s="81" t="n">
        <v>2</v>
      </c>
      <c r="EP363" s="81" t="n">
        <v>4</v>
      </c>
      <c r="EU363" s="81" t="n">
        <v>20</v>
      </c>
    </row>
    <row r="364">
      <c r="A364" s="81" t="inlineStr">
        <is>
          <t>Bone Totem</t>
        </is>
      </c>
      <c r="B364" s="81" t="inlineStr">
        <is>
          <t>Ancestors</t>
        </is>
      </c>
      <c r="C364" s="81" t="inlineStr">
        <is>
          <t>buffs</t>
        </is>
      </c>
      <c r="D364" s="81" t="n">
        <v>4</v>
      </c>
      <c r="E364" s="81">
        <f>ROUND('Towers'!$C$21*POWER('Tuning'!$B$12,D364),0)</f>
        <v/>
      </c>
      <c r="F364" s="81">
        <f>F363+E364</f>
        <v/>
      </c>
      <c r="G364" s="110" t="n">
        <v>1</v>
      </c>
      <c r="H364" s="110" t="n">
        <v>1</v>
      </c>
      <c r="I364" s="110" t="n">
        <v>1</v>
      </c>
      <c r="J364" s="81">
        <f>J363*G364*H364*I364</f>
        <v/>
      </c>
      <c r="K364" s="81">
        <f>IF(J364=0,0,F364/J364)</f>
        <v/>
      </c>
      <c r="L364" s="110" t="n">
        <v>1</v>
      </c>
      <c r="M364" s="81" t="inlineStr">
        <is>
          <t>War Paint</t>
        </is>
      </c>
      <c r="BJ364" s="81" t="n"/>
      <c r="CI364" s="81" t="inlineStr">
        <is>
          <t>A</t>
        </is>
      </c>
      <c r="CJ364" s="81" t="inlineStr">
        <is>
          <t>Hunters nearby +15% for 6 s when full</t>
        </is>
      </c>
      <c r="EG364" s="81" t="n">
        <v>15</v>
      </c>
    </row>
    <row r="365">
      <c r="A365" s="81" t="inlineStr">
        <is>
          <t>Bone Totem</t>
        </is>
      </c>
      <c r="B365" s="81" t="inlineStr">
        <is>
          <t>Ancestors</t>
        </is>
      </c>
      <c r="C365" s="81" t="inlineStr">
        <is>
          <t>buffs</t>
        </is>
      </c>
      <c r="D365" s="81" t="n">
        <v>5</v>
      </c>
      <c r="E365" s="81">
        <f>ROUND('Towers'!$C$21*POWER('Tuning'!$B$12,D365),0)</f>
        <v/>
      </c>
      <c r="F365" s="81">
        <f>F364+E365</f>
        <v/>
      </c>
      <c r="G365" s="110" t="n">
        <v>1</v>
      </c>
      <c r="H365" s="110" t="n">
        <v>1</v>
      </c>
      <c r="I365" s="110" t="n">
        <v>1</v>
      </c>
      <c r="J365" s="81">
        <f>J364*G365*H365*I365</f>
        <v/>
      </c>
      <c r="K365" s="81">
        <f>IF(J365=0,0,F365/J365)</f>
        <v/>
      </c>
      <c r="L365" s="110" t="n">
        <v>1</v>
      </c>
      <c r="M365" s="81" t="inlineStr">
        <is>
          <t>Spirit Hunters</t>
        </is>
      </c>
      <c r="BJ365" s="81" t="n"/>
      <c r="CI365" s="81" t="inlineStr">
        <is>
          <t>A</t>
        </is>
      </c>
      <c r="CJ365" s="81" t="inlineStr">
        <is>
          <t>3 ghost hunters fire for 6 s when full</t>
        </is>
      </c>
      <c r="DO365" s="81" t="n"/>
      <c r="DQ365" s="81" t="n"/>
      <c r="EQ365" s="81" t="inlineStr">
        <is>
          <t>Yes</t>
        </is>
      </c>
    </row>
    <row r="366">
      <c r="A366" s="81" t="inlineStr">
        <is>
          <t>Bone Totem</t>
        </is>
      </c>
      <c r="B366" s="81" t="inlineStr">
        <is>
          <t>Bone Pile</t>
        </is>
      </c>
      <c r="C366" s="81" t="inlineStr">
        <is>
          <t>cash</t>
        </is>
      </c>
      <c r="D366" s="81" t="n">
        <v>1</v>
      </c>
      <c r="E366" s="81">
        <f>ROUND('Towers'!$C$21*POWER('Tuning'!$B$12,D366),0)</f>
        <v/>
      </c>
      <c r="F366" s="81">
        <f>'Towers'!$C$21+E366</f>
        <v/>
      </c>
      <c r="G366" s="110" t="n">
        <v>1</v>
      </c>
      <c r="H366" s="110" t="n">
        <v>1</v>
      </c>
      <c r="I366" s="110" t="n">
        <v>1</v>
      </c>
      <c r="J366" s="81">
        <f>'Towers'!$G$21*G366*H366*I366</f>
        <v/>
      </c>
      <c r="K366" s="81">
        <f>IF(J366=0,0,F366/J366)</f>
        <v/>
      </c>
      <c r="L366" s="110" t="n">
        <v>1</v>
      </c>
      <c r="M366" s="81" t="inlineStr">
        <is>
          <t>Bone Collector</t>
        </is>
      </c>
      <c r="DV366" s="81" t="n"/>
      <c r="EX366" s="81" t="n">
        <v>8</v>
      </c>
    </row>
    <row r="367">
      <c r="A367" s="81" t="inlineStr">
        <is>
          <t>Bone Totem</t>
        </is>
      </c>
      <c r="B367" s="81" t="inlineStr">
        <is>
          <t>Bone Pile</t>
        </is>
      </c>
      <c r="C367" s="81" t="inlineStr">
        <is>
          <t>cash</t>
        </is>
      </c>
      <c r="D367" s="81" t="n">
        <v>2</v>
      </c>
      <c r="E367" s="81">
        <f>ROUND('Towers'!$C$21*POWER('Tuning'!$B$12,D367),0)</f>
        <v/>
      </c>
      <c r="F367" s="81">
        <f>F366+E367</f>
        <v/>
      </c>
      <c r="G367" s="110" t="n">
        <v>1</v>
      </c>
      <c r="H367" s="110" t="n">
        <v>1</v>
      </c>
      <c r="I367" s="110" t="n">
        <v>1</v>
      </c>
      <c r="J367" s="81">
        <f>'Towers'!$G$21*G367*H367*I367</f>
        <v/>
      </c>
      <c r="K367" s="81">
        <f>IF(J367=0,0,F367/J367)</f>
        <v/>
      </c>
      <c r="L367" s="110" t="n">
        <v>1</v>
      </c>
      <c r="M367" s="81" t="inlineStr">
        <is>
          <t>Trade Post</t>
        </is>
      </c>
      <c r="AE367" s="81" t="n"/>
      <c r="AF367" s="81" t="n"/>
      <c r="DV367" s="81" t="n"/>
      <c r="EX367" s="81" t="n">
        <v>26</v>
      </c>
    </row>
    <row r="368">
      <c r="A368" s="81" t="inlineStr">
        <is>
          <t>Bone Totem</t>
        </is>
      </c>
      <c r="B368" s="81" t="inlineStr">
        <is>
          <t>Bone Pile</t>
        </is>
      </c>
      <c r="C368" s="81" t="inlineStr">
        <is>
          <t>cash</t>
        </is>
      </c>
      <c r="D368" s="81" t="n">
        <v>3</v>
      </c>
      <c r="E368" s="81">
        <f>ROUND('Towers'!$C$21*POWER('Tuning'!$B$12,D368),0)</f>
        <v/>
      </c>
      <c r="F368" s="81">
        <f>F367+E368</f>
        <v/>
      </c>
      <c r="G368" s="110" t="n">
        <v>1</v>
      </c>
      <c r="H368" s="110" t="n">
        <v>1</v>
      </c>
      <c r="I368" s="110" t="n">
        <v>1</v>
      </c>
      <c r="J368" s="81">
        <f>'Towers'!$G$21*G368*H368*I368</f>
        <v/>
      </c>
      <c r="K368" s="81">
        <f>IF(J368=0,0,F368/J368)</f>
        <v/>
      </c>
      <c r="L368" s="110" t="n">
        <v>1</v>
      </c>
      <c r="M368" s="81" t="inlineStr">
        <is>
          <t>Bone Market</t>
        </is>
      </c>
      <c r="AE368" s="81" t="n"/>
      <c r="AF368" s="81" t="n"/>
      <c r="BY368" s="81" t="n"/>
      <c r="DN368" s="81" t="n"/>
      <c r="DV368" s="81" t="n"/>
      <c r="ER368" s="81" t="n">
        <v>120</v>
      </c>
      <c r="EX368" s="81" t="n">
        <v>26</v>
      </c>
    </row>
    <row r="369">
      <c r="A369" s="81" t="inlineStr">
        <is>
          <t>Bone Totem</t>
        </is>
      </c>
      <c r="B369" s="81" t="inlineStr">
        <is>
          <t>Bone Pile</t>
        </is>
      </c>
      <c r="C369" s="81" t="inlineStr">
        <is>
          <t>cash</t>
        </is>
      </c>
      <c r="D369" s="81" t="n">
        <v>4</v>
      </c>
      <c r="E369" s="81">
        <f>ROUND('Towers'!$C$21*POWER('Tuning'!$B$12,D369),0)</f>
        <v/>
      </c>
      <c r="F369" s="81">
        <f>F368+E369</f>
        <v/>
      </c>
      <c r="G369" s="110" t="n">
        <v>1</v>
      </c>
      <c r="H369" s="110" t="n">
        <v>1</v>
      </c>
      <c r="I369" s="110" t="n">
        <v>1</v>
      </c>
      <c r="J369" s="81">
        <f>J368*G369*H369*I369</f>
        <v/>
      </c>
      <c r="K369" s="81">
        <f>IF(J369=0,0,F369/J369)</f>
        <v/>
      </c>
      <c r="L369" s="110" t="n">
        <v>1</v>
      </c>
      <c r="M369" s="81" t="inlineStr">
        <is>
          <t>Rare Bones</t>
        </is>
      </c>
      <c r="CI369" s="81" t="inlineStr">
        <is>
          <t>A</t>
        </is>
      </c>
      <c r="CJ369" s="81" t="inlineStr">
        <is>
          <t>Bosses fill half the charge</t>
        </is>
      </c>
      <c r="DR369" s="81" t="n"/>
      <c r="DX369" s="81" t="n"/>
      <c r="EJ369" s="81" t="n">
        <v>50</v>
      </c>
    </row>
    <row r="370">
      <c r="A370" s="81" t="inlineStr">
        <is>
          <t>Bone Totem</t>
        </is>
      </c>
      <c r="B370" s="81" t="inlineStr">
        <is>
          <t>Bone Pile</t>
        </is>
      </c>
      <c r="C370" s="81" t="inlineStr">
        <is>
          <t>cash</t>
        </is>
      </c>
      <c r="D370" s="81" t="n">
        <v>5</v>
      </c>
      <c r="E370" s="81">
        <f>ROUND('Towers'!$C$21*POWER('Tuning'!$B$12,D370),0)</f>
        <v/>
      </c>
      <c r="F370" s="81">
        <f>F369+E370</f>
        <v/>
      </c>
      <c r="G370" s="110" t="n">
        <v>1</v>
      </c>
      <c r="H370" s="110" t="n">
        <v>1</v>
      </c>
      <c r="I370" s="110" t="n">
        <v>1</v>
      </c>
      <c r="J370" s="81">
        <f>J369*G370*H370*I370</f>
        <v/>
      </c>
      <c r="K370" s="81">
        <f>IF(J370=0,0,F370/J370)</f>
        <v/>
      </c>
      <c r="L370" s="110" t="n">
        <v>1</v>
      </c>
      <c r="M370" s="81" t="inlineStr">
        <is>
          <t>Camp Payday</t>
        </is>
      </c>
      <c r="CI370" s="81" t="inlineStr">
        <is>
          <t>A</t>
        </is>
      </c>
      <c r="CJ370" s="81" t="inlineStr">
        <is>
          <t>Every hunter in your camp gets paid</t>
        </is>
      </c>
      <c r="EB370" s="81" t="n"/>
      <c r="ES370" s="81" t="n">
        <v>30</v>
      </c>
    </row>
    <row r="371">
      <c r="A371" s="81" t="inlineStr">
        <is>
          <t>Bone Totem</t>
        </is>
      </c>
      <c r="B371" s="81" t="inlineStr">
        <is>
          <t>Roar</t>
        </is>
      </c>
      <c r="C371" s="81" t="inlineStr">
        <is>
          <t>damage</t>
        </is>
      </c>
      <c r="D371" s="81" t="n">
        <v>4</v>
      </c>
      <c r="E371" s="81">
        <f>E359</f>
        <v/>
      </c>
      <c r="F371" s="81">
        <f>F359</f>
        <v/>
      </c>
      <c r="G371" s="110" t="n">
        <v>1.85</v>
      </c>
      <c r="H371" s="110" t="n">
        <v>1</v>
      </c>
      <c r="I371" s="110" t="n">
        <v>1</v>
      </c>
      <c r="L371" s="110" t="n">
        <v>1</v>
      </c>
      <c r="M371" s="81" t="inlineStr">
        <is>
          <t>Fear</t>
        </is>
      </c>
      <c r="W371" s="81" t="n">
        <v>8</v>
      </c>
      <c r="CI371" s="81" t="inlineStr">
        <is>
          <t>B</t>
        </is>
      </c>
      <c r="CJ371" s="81" t="inlineStr">
        <is>
          <t>The roar scares small dinos 8 studs back</t>
        </is>
      </c>
      <c r="DU371" s="81" t="n"/>
    </row>
    <row r="372">
      <c r="A372" s="81" t="inlineStr">
        <is>
          <t>Bone Totem</t>
        </is>
      </c>
      <c r="B372" s="81" t="inlineStr">
        <is>
          <t>Roar</t>
        </is>
      </c>
      <c r="C372" s="81" t="inlineStr">
        <is>
          <t>damage</t>
        </is>
      </c>
      <c r="D372" s="81" t="n">
        <v>4</v>
      </c>
      <c r="E372" s="81">
        <f>E359</f>
        <v/>
      </c>
      <c r="F372" s="81">
        <f>F359</f>
        <v/>
      </c>
      <c r="G372" s="110" t="n">
        <v>1.8</v>
      </c>
      <c r="H372" s="110" t="n">
        <v>1</v>
      </c>
      <c r="I372" s="110" t="n">
        <v>1</v>
      </c>
      <c r="L372" s="110" t="n">
        <v>1</v>
      </c>
      <c r="M372" s="81" t="inlineStr">
        <is>
          <t>Shatter Roar</t>
        </is>
      </c>
      <c r="AM372" s="81" t="inlineStr">
        <is>
          <t>Yes</t>
        </is>
      </c>
      <c r="BU372" s="81" t="n"/>
      <c r="CI372" s="81" t="inlineStr">
        <is>
          <t>C</t>
        </is>
      </c>
      <c r="CJ372" s="81" t="inlineStr">
        <is>
          <t>The roar strips armour for 4 s</t>
        </is>
      </c>
    </row>
    <row r="373">
      <c r="A373" s="81" t="inlineStr">
        <is>
          <t>Bone Totem</t>
        </is>
      </c>
      <c r="B373" s="81" t="inlineStr">
        <is>
          <t>Roar</t>
        </is>
      </c>
      <c r="C373" s="81" t="inlineStr">
        <is>
          <t>damage</t>
        </is>
      </c>
      <c r="D373" s="81" t="n">
        <v>5</v>
      </c>
      <c r="E373" s="81">
        <f>E360</f>
        <v/>
      </c>
      <c r="F373" s="81">
        <f>F360</f>
        <v/>
      </c>
      <c r="G373" s="110" t="n">
        <v>1.76</v>
      </c>
      <c r="H373" s="110" t="n">
        <v>1</v>
      </c>
      <c r="I373" s="110" t="n">
        <v>1</v>
      </c>
      <c r="L373" s="110" t="n">
        <v>1</v>
      </c>
      <c r="M373" s="81" t="inlineStr">
        <is>
          <t>Skull Storm</t>
        </is>
      </c>
      <c r="CI373" s="81" t="inlineStr">
        <is>
          <t>B</t>
        </is>
      </c>
      <c r="CJ373" s="81" t="inlineStr">
        <is>
          <t>8 flying skulls hunt dinos</t>
        </is>
      </c>
      <c r="DY373" s="81" t="n"/>
      <c r="EO373" s="81" t="n">
        <v>8</v>
      </c>
    </row>
    <row r="374">
      <c r="A374" s="81" t="inlineStr">
        <is>
          <t>Bone Totem</t>
        </is>
      </c>
      <c r="B374" s="81" t="inlineStr">
        <is>
          <t>Roar</t>
        </is>
      </c>
      <c r="C374" s="81" t="inlineStr">
        <is>
          <t>damage</t>
        </is>
      </c>
      <c r="D374" s="81" t="n">
        <v>5</v>
      </c>
      <c r="E374" s="81">
        <f>E360</f>
        <v/>
      </c>
      <c r="F374" s="81">
        <f>F360</f>
        <v/>
      </c>
      <c r="G374" s="110" t="n">
        <v>1.8</v>
      </c>
      <c r="H374" s="110" t="n">
        <v>1</v>
      </c>
      <c r="I374" s="110" t="n">
        <v>1</v>
      </c>
      <c r="L374" s="110" t="n">
        <v>1</v>
      </c>
      <c r="M374" s="81" t="inlineStr">
        <is>
          <t>Finishing Roar</t>
        </is>
      </c>
      <c r="CI374" s="81" t="inlineStr">
        <is>
          <t>C</t>
        </is>
      </c>
      <c r="CJ374" s="81" t="inlineStr">
        <is>
          <t>A free roar at a weak boss</t>
        </is>
      </c>
      <c r="DW374" s="81" t="n"/>
      <c r="EZ374" s="81" t="inlineStr">
        <is>
          <t>Yes</t>
        </is>
      </c>
    </row>
    <row r="375">
      <c r="A375" s="81" t="inlineStr">
        <is>
          <t>Bone Totem</t>
        </is>
      </c>
      <c r="B375" s="81" t="inlineStr">
        <is>
          <t>Ancestors</t>
        </is>
      </c>
      <c r="C375" s="81" t="inlineStr">
        <is>
          <t>buffs</t>
        </is>
      </c>
      <c r="D375" s="81" t="n">
        <v>4</v>
      </c>
      <c r="E375" s="81">
        <f>E364</f>
        <v/>
      </c>
      <c r="F375" s="81">
        <f>F364</f>
        <v/>
      </c>
      <c r="G375" s="110" t="n">
        <v>1</v>
      </c>
      <c r="H375" s="110" t="n">
        <v>1</v>
      </c>
      <c r="I375" s="110" t="n">
        <v>1</v>
      </c>
      <c r="L375" s="110" t="n">
        <v>1</v>
      </c>
      <c r="M375" s="81" t="inlineStr">
        <is>
          <t>Bone Armour</t>
        </is>
      </c>
      <c r="P375" s="81" t="n"/>
      <c r="BH375" s="81" t="n">
        <v>20</v>
      </c>
      <c r="CI375" s="81" t="inlineStr">
        <is>
          <t>B</t>
        </is>
      </c>
      <c r="CJ375" s="81" t="inlineStr">
        <is>
          <t>Nearby towers get 20% more HP</t>
        </is>
      </c>
      <c r="DT375" s="81" t="n"/>
    </row>
    <row r="376">
      <c r="A376" s="81" t="inlineStr">
        <is>
          <t>Bone Totem</t>
        </is>
      </c>
      <c r="B376" s="81" t="inlineStr">
        <is>
          <t>Ancestors</t>
        </is>
      </c>
      <c r="C376" s="81" t="inlineStr">
        <is>
          <t>buffs</t>
        </is>
      </c>
      <c r="D376" s="81" t="n">
        <v>4</v>
      </c>
      <c r="E376" s="81">
        <f>E364</f>
        <v/>
      </c>
      <c r="F376" s="81">
        <f>F364</f>
        <v/>
      </c>
      <c r="G376" s="110" t="n">
        <v>1</v>
      </c>
      <c r="H376" s="110" t="n">
        <v>1</v>
      </c>
      <c r="I376" s="110" t="n">
        <v>1</v>
      </c>
      <c r="L376" s="110" t="n">
        <v>1</v>
      </c>
      <c r="M376" s="81" t="inlineStr">
        <is>
          <t>Ancestor's Eye</t>
        </is>
      </c>
      <c r="T376" s="81" t="n"/>
      <c r="CI376" s="81" t="inlineStr">
        <is>
          <t>C</t>
        </is>
      </c>
      <c r="CJ376" s="81" t="inlineStr">
        <is>
          <t>Nearby towers see 10% further</t>
        </is>
      </c>
      <c r="FA376" s="81" t="n">
        <v>10</v>
      </c>
    </row>
    <row r="377">
      <c r="A377" s="81" t="inlineStr">
        <is>
          <t>Bone Totem</t>
        </is>
      </c>
      <c r="B377" s="81" t="inlineStr">
        <is>
          <t>Ancestors</t>
        </is>
      </c>
      <c r="C377" s="81" t="inlineStr">
        <is>
          <t>buffs</t>
        </is>
      </c>
      <c r="D377" s="81" t="n">
        <v>5</v>
      </c>
      <c r="E377" s="81">
        <f>E365</f>
        <v/>
      </c>
      <c r="F377" s="81">
        <f>F365</f>
        <v/>
      </c>
      <c r="G377" s="110" t="n">
        <v>1</v>
      </c>
      <c r="H377" s="110" t="n">
        <v>1</v>
      </c>
      <c r="I377" s="110" t="n">
        <v>1</v>
      </c>
      <c r="L377" s="110" t="n">
        <v>1</v>
      </c>
      <c r="M377" s="81" t="inlineStr">
        <is>
          <t>Totem Pole</t>
        </is>
      </c>
      <c r="U377" s="81" t="n"/>
      <c r="CI377" s="81" t="inlineStr">
        <is>
          <t>B</t>
        </is>
      </c>
      <c r="CJ377" s="81" t="inlineStr">
        <is>
          <t>Buffs reach every tower, half strength</t>
        </is>
      </c>
      <c r="DO377" s="81" t="n"/>
      <c r="ED377" s="81" t="n"/>
      <c r="EU377" s="81" t="n">
        <v>30</v>
      </c>
      <c r="EW377" s="81" t="inlineStr">
        <is>
          <t>Yes</t>
        </is>
      </c>
    </row>
    <row r="378">
      <c r="A378" s="81" t="inlineStr">
        <is>
          <t>Bone Totem</t>
        </is>
      </c>
      <c r="B378" s="81" t="inlineStr">
        <is>
          <t>Ancestors</t>
        </is>
      </c>
      <c r="C378" s="81" t="inlineStr">
        <is>
          <t>buffs</t>
        </is>
      </c>
      <c r="D378" s="81" t="n">
        <v>5</v>
      </c>
      <c r="E378" s="81">
        <f>E365</f>
        <v/>
      </c>
      <c r="F378" s="81">
        <f>F365</f>
        <v/>
      </c>
      <c r="G378" s="110" t="n">
        <v>1</v>
      </c>
      <c r="H378" s="110" t="n">
        <v>1</v>
      </c>
      <c r="I378" s="110" t="n">
        <v>1</v>
      </c>
      <c r="L378" s="110" t="n">
        <v>1</v>
      </c>
      <c r="M378" s="81" t="inlineStr">
        <is>
          <t>Elder Wisdom</t>
        </is>
      </c>
      <c r="CI378" s="81" t="inlineStr">
        <is>
          <t>C</t>
        </is>
      </c>
      <c r="CJ378" s="81" t="inlineStr">
        <is>
          <t>Hero abilities nearby recharge 25% faster</t>
        </is>
      </c>
      <c r="EE378" s="81" t="n"/>
      <c r="EV378" s="81" t="n">
        <v>0.75</v>
      </c>
    </row>
    <row r="379">
      <c r="A379" s="81" t="inlineStr">
        <is>
          <t>Bone Totem</t>
        </is>
      </c>
      <c r="B379" s="81" t="inlineStr">
        <is>
          <t>Bone Pile</t>
        </is>
      </c>
      <c r="C379" s="81" t="inlineStr">
        <is>
          <t>cash</t>
        </is>
      </c>
      <c r="D379" s="81" t="n">
        <v>4</v>
      </c>
      <c r="E379" s="81">
        <f>E369</f>
        <v/>
      </c>
      <c r="F379" s="81">
        <f>F369</f>
        <v/>
      </c>
      <c r="G379" s="110" t="n">
        <v>1</v>
      </c>
      <c r="H379" s="110" t="n">
        <v>1</v>
      </c>
      <c r="I379" s="110" t="n">
        <v>1</v>
      </c>
      <c r="L379" s="110" t="n">
        <v>1</v>
      </c>
      <c r="M379" s="81" t="inlineStr">
        <is>
          <t>Bone Bank</t>
        </is>
      </c>
      <c r="CI379" s="81" t="inlineStr">
        <is>
          <t>B</t>
        </is>
      </c>
      <c r="CJ379" s="81" t="inlineStr">
        <is>
          <t>Leftover charge pays at round end</t>
        </is>
      </c>
      <c r="EC379" s="81" t="n"/>
      <c r="EY379" s="81" t="n">
        <v>25</v>
      </c>
    </row>
    <row r="380">
      <c r="A380" s="81" t="inlineStr">
        <is>
          <t>Bone Totem</t>
        </is>
      </c>
      <c r="B380" s="81" t="inlineStr">
        <is>
          <t>Bone Pile</t>
        </is>
      </c>
      <c r="C380" s="81" t="inlineStr">
        <is>
          <t>cash</t>
        </is>
      </c>
      <c r="D380" s="81" t="n">
        <v>4</v>
      </c>
      <c r="E380" s="81">
        <f>E369</f>
        <v/>
      </c>
      <c r="F380" s="81">
        <f>F369</f>
        <v/>
      </c>
      <c r="G380" s="110" t="n">
        <v>1</v>
      </c>
      <c r="H380" s="110" t="n">
        <v>1</v>
      </c>
      <c r="I380" s="110" t="n">
        <v>1</v>
      </c>
      <c r="L380" s="110" t="n">
        <v>1</v>
      </c>
      <c r="M380" s="81" t="inlineStr">
        <is>
          <t>Bone Bonus</t>
        </is>
      </c>
      <c r="BY380" s="81" t="n"/>
      <c r="CI380" s="81" t="inlineStr">
        <is>
          <t>C</t>
        </is>
      </c>
      <c r="CJ380" s="81" t="inlineStr">
        <is>
          <t>Each full charge pays 40% more</t>
        </is>
      </c>
      <c r="DP380" s="81" t="n"/>
      <c r="ER380" s="81" t="n">
        <v>168</v>
      </c>
    </row>
    <row r="381">
      <c r="A381" s="81" t="inlineStr">
        <is>
          <t>Bone Totem</t>
        </is>
      </c>
      <c r="B381" s="81" t="inlineStr">
        <is>
          <t>Bone Pile</t>
        </is>
      </c>
      <c r="C381" s="81" t="inlineStr">
        <is>
          <t>cash</t>
        </is>
      </c>
      <c r="D381" s="81" t="n">
        <v>5</v>
      </c>
      <c r="E381" s="81">
        <f>E370</f>
        <v/>
      </c>
      <c r="F381" s="81">
        <f>F370</f>
        <v/>
      </c>
      <c r="G381" s="110" t="n">
        <v>1</v>
      </c>
      <c r="H381" s="110" t="n">
        <v>1</v>
      </c>
      <c r="I381" s="110" t="n">
        <v>1</v>
      </c>
      <c r="L381" s="110" t="n">
        <v>1</v>
      </c>
      <c r="M381" s="81" t="inlineStr">
        <is>
          <t>Bounty Wall</t>
        </is>
      </c>
      <c r="CI381" s="81" t="inlineStr">
        <is>
          <t>B</t>
        </is>
      </c>
      <c r="CJ381" s="81" t="inlineStr">
        <is>
          <t>Bones nearby charge 25% faster and count +25% for bounties</t>
        </is>
      </c>
      <c r="DN381" s="81" t="n"/>
      <c r="EG381" s="81" t="n"/>
      <c r="EH381" s="81" t="n">
        <v>1.25</v>
      </c>
      <c r="EK381" s="81" t="n">
        <v>1.25</v>
      </c>
    </row>
    <row r="382">
      <c r="A382" s="81" t="inlineStr">
        <is>
          <t>Bone Totem</t>
        </is>
      </c>
      <c r="B382" s="81" t="inlineStr">
        <is>
          <t>Bone Pile</t>
        </is>
      </c>
      <c r="C382" s="81" t="inlineStr">
        <is>
          <t>cash</t>
        </is>
      </c>
      <c r="D382" s="81" t="n">
        <v>5</v>
      </c>
      <c r="E382" s="81">
        <f>E370</f>
        <v/>
      </c>
      <c r="F382" s="81">
        <f>F370</f>
        <v/>
      </c>
      <c r="G382" s="110" t="n">
        <v>1</v>
      </c>
      <c r="H382" s="110" t="n">
        <v>1</v>
      </c>
      <c r="I382" s="110" t="n">
        <v>1</v>
      </c>
      <c r="L382" s="110" t="n">
        <v>1</v>
      </c>
      <c r="M382" s="81" t="inlineStr">
        <is>
          <t>Ancient Treasure</t>
        </is>
      </c>
      <c r="BJ382" s="81" t="n"/>
      <c r="CI382" s="81" t="inlineStr">
        <is>
          <t>C</t>
        </is>
      </c>
      <c r="CJ382" s="81" t="inlineStr">
        <is>
          <t>One big treasure chest a match</t>
        </is>
      </c>
      <c r="CK382" s="81" t="n"/>
      <c r="CL382" s="81" t="n"/>
      <c r="CM382" s="81" t="n"/>
      <c r="CN382" s="81" t="n"/>
      <c r="EF382" s="81" t="n"/>
      <c r="ET382" s="81" t="inlineStr">
        <is>
          <t>Yes</t>
        </is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2" customWidth="1" style="90" min="1" max="1"/>
    <col width="12" customWidth="1" style="90" min="2" max="2"/>
    <col width="12" customWidth="1" style="90" min="3" max="3"/>
    <col width="12" customWidth="1" style="90" min="4" max="4"/>
    <col width="12" customWidth="1" style="90" min="5" max="5"/>
    <col width="12" customWidth="1" style="90" min="6" max="6"/>
    <col width="12" customWidth="1" style="90" min="7" max="7"/>
    <col width="12" customWidth="1" style="90" min="8" max="8"/>
    <col width="12" customWidth="1" style="90" min="9" max="9"/>
    <col width="12" customWidth="1" style="90" min="10" max="10"/>
    <col width="12" customWidth="1" style="90" min="11" max="11"/>
    <col width="12" customWidth="1" style="90" min="12" max="12"/>
    <col width="12" customWidth="1" style="90" min="13" max="13"/>
    <col width="12" customWidth="1" style="90" min="14" max="14"/>
    <col width="12" customWidth="1" style="90" min="15" max="15"/>
    <col width="12" customWidth="1" style="90" min="16" max="16"/>
    <col width="12" customWidth="1" style="90" min="17" max="17"/>
    <col width="12" customWidth="1" style="90" min="18" max="18"/>
    <col width="12" customWidth="1" style="90" min="19" max="19"/>
    <col width="12" customWidth="1" style="90" min="20" max="20"/>
    <col width="12" customWidth="1" style="90" min="21" max="21"/>
    <col width="12" customWidth="1" style="90" min="22" max="22"/>
    <col width="60" customWidth="1" style="90" min="23" max="23"/>
  </cols>
  <sheetData>
    <row r="1">
      <c r="A1" s="2" t="inlineStr">
        <is>
          <t>HEROES — hunter classes, free to pick once owned; each is a weapon plus an ability (HEROES.md)</t>
        </is>
      </c>
    </row>
    <row r="2">
      <c r="A2" s="5" t="inlineStr">
        <is>
          <t>Base gun before any upgrade. Hero Upgrades multiplies or overrides these. More heroes = more rows.</t>
        </is>
      </c>
    </row>
    <row r="4">
      <c r="A4" s="21" t="inlineStr">
        <is>
          <t>Key</t>
        </is>
      </c>
      <c r="B4" s="21" t="inlineStr">
        <is>
          <t>Hero</t>
        </is>
      </c>
      <c r="C4" s="21" t="inlineStr">
        <is>
          <t>Role</t>
        </is>
      </c>
      <c r="D4" s="21" t="inlineStr">
        <is>
          <t>Ability</t>
        </is>
      </c>
      <c r="E4" s="21" t="inlineStr">
        <is>
          <t>Damage</t>
        </is>
      </c>
      <c r="F4" s="21" t="inlineStr">
        <is>
          <t>Fire rate /s</t>
        </is>
      </c>
      <c r="G4" s="21" t="inlineStr">
        <is>
          <t>Fire mode</t>
        </is>
      </c>
      <c r="H4" s="21" t="inlineStr">
        <is>
          <t>Magazine</t>
        </is>
      </c>
      <c r="I4" s="21" t="inlineStr">
        <is>
          <t>Reload (s)</t>
        </is>
      </c>
      <c r="J4" s="21" t="inlineStr">
        <is>
          <t>Pellets</t>
        </is>
      </c>
      <c r="K4" s="21" t="inlineStr">
        <is>
          <t>Spread (deg)</t>
        </is>
      </c>
      <c r="L4" s="21" t="inlineStr">
        <is>
          <t>Recoil per shot (deg)</t>
        </is>
      </c>
      <c r="M4" s="21" t="inlineStr">
        <is>
          <t>Recoil max (deg)</t>
        </is>
      </c>
      <c r="N4" s="21" t="inlineStr">
        <is>
          <t>Recoil recovery (deg/s)</t>
        </is>
      </c>
      <c r="O4" s="21" t="inlineStr">
        <is>
          <t>Range (m)</t>
        </is>
      </c>
      <c r="P4" s="21" t="inlineStr">
        <is>
          <t>Pierces armour</t>
        </is>
      </c>
      <c r="Q4" s="21" t="inlineStr">
        <is>
          <t>Hits air</t>
        </is>
      </c>
      <c r="R4" s="21" t="inlineStr">
        <is>
          <t>Splash radius (m)</t>
        </is>
      </c>
      <c r="S4" s="21" t="inlineStr">
        <is>
          <t>Ability power</t>
        </is>
      </c>
      <c r="T4" s="21" t="inlineStr">
        <is>
          <t>Ability (s)</t>
        </is>
      </c>
      <c r="U4" s="21" t="inlineStr">
        <is>
          <t>Ability radius (m)</t>
        </is>
      </c>
      <c r="V4" s="21" t="inlineStr">
        <is>
          <t>Ability cooldown (s)</t>
        </is>
      </c>
      <c r="W4" s="21" t="inlineStr">
        <is>
          <t>Note</t>
        </is>
      </c>
      <c r="X4" s="21" t="inlineStr">
        <is>
          <t>Unlock cost (amber)</t>
        </is>
      </c>
      <c r="Y4" s="21" t="inlineStr">
        <is>
          <t>Weapon</t>
        </is>
      </c>
      <c r="Z4" s="21" t="inlineStr">
        <is>
          <t>Ability kind</t>
        </is>
      </c>
    </row>
    <row r="5">
      <c r="A5" s="43" t="inlineStr">
        <is>
          <t>PISTOL</t>
        </is>
      </c>
      <c r="B5" s="43" t="inlineStr">
        <is>
          <t>Tracker</t>
        </is>
      </c>
      <c r="C5" s="43" t="inlineStr">
        <is>
          <t>Precision</t>
        </is>
      </c>
      <c r="D5" s="43" t="inlineStr">
        <is>
          <t>Tracking Dart</t>
        </is>
      </c>
      <c r="E5" s="57" t="n">
        <v>1.5</v>
      </c>
      <c r="F5" s="57" t="n">
        <v>4</v>
      </c>
      <c r="G5" s="43" t="inlineStr">
        <is>
          <t>semi</t>
        </is>
      </c>
      <c r="H5" s="57" t="n">
        <v>12</v>
      </c>
      <c r="I5" s="57" t="n">
        <v>1.2</v>
      </c>
      <c r="J5" s="57" t="n">
        <v>1</v>
      </c>
      <c r="K5" s="57" t="n">
        <v>0.5</v>
      </c>
      <c r="L5" s="57" t="n">
        <v>1.2</v>
      </c>
      <c r="M5" s="57" t="n">
        <v>6</v>
      </c>
      <c r="N5" s="57" t="n">
        <v>12</v>
      </c>
      <c r="O5" s="57" t="n">
        <v>55</v>
      </c>
      <c r="P5" s="43" t="inlineStr">
        <is>
          <t>No</t>
        </is>
      </c>
      <c r="Q5" s="43" t="inlineStr">
        <is>
          <t>Yes</t>
        </is>
      </c>
      <c r="R5" s="57" t="n">
        <v>0</v>
      </c>
      <c r="S5" s="57" t="n">
        <v>50</v>
      </c>
      <c r="T5" s="57" t="n">
        <v>8</v>
      </c>
      <c r="U5" s="57" t="n">
        <v>0</v>
      </c>
      <c r="V5" s="57" t="n">
        <v>45</v>
      </c>
      <c r="W5" s="43" t="inlineStr">
        <is>
          <t>Mark: power = +% damage taken, (s) = length. Passes to splits.</t>
        </is>
      </c>
      <c r="X5" s="57" t="n">
        <v>0</v>
      </c>
      <c r="Y5" s="43" t="inlineStr">
        <is>
          <t>Revolver</t>
        </is>
      </c>
      <c r="Z5" s="43" t="inlineStr">
        <is>
          <t>MARK</t>
        </is>
      </c>
    </row>
    <row r="6">
      <c r="A6" s="43" t="inlineStr">
        <is>
          <t>RIFLE</t>
        </is>
      </c>
      <c r="B6" s="43" t="inlineStr">
        <is>
          <t>Big Game Hunter</t>
        </is>
      </c>
      <c r="C6" s="43" t="inlineStr">
        <is>
          <t>Sustained</t>
        </is>
      </c>
      <c r="D6" s="43" t="inlineStr">
        <is>
          <t>Rally Cry</t>
        </is>
      </c>
      <c r="E6" s="57" t="n">
        <v>0.8</v>
      </c>
      <c r="F6" s="57" t="n">
        <v>8</v>
      </c>
      <c r="G6" s="43" t="inlineStr">
        <is>
          <t>auto</t>
        </is>
      </c>
      <c r="H6" s="57" t="n">
        <v>30</v>
      </c>
      <c r="I6" s="57" t="n">
        <v>2</v>
      </c>
      <c r="J6" s="57" t="n">
        <v>1</v>
      </c>
      <c r="K6" s="57" t="n">
        <v>1</v>
      </c>
      <c r="L6" s="57" t="n">
        <v>0.6</v>
      </c>
      <c r="M6" s="57" t="n">
        <v>8</v>
      </c>
      <c r="N6" s="57" t="n">
        <v>10</v>
      </c>
      <c r="O6" s="57" t="n">
        <v>40</v>
      </c>
      <c r="P6" s="43" t="inlineStr">
        <is>
          <t>No</t>
        </is>
      </c>
      <c r="Q6" s="43" t="inlineStr">
        <is>
          <t>Yes</t>
        </is>
      </c>
      <c r="R6" s="57" t="n">
        <v>0</v>
      </c>
      <c r="S6" s="57" t="n">
        <v>40</v>
      </c>
      <c r="T6" s="57" t="n">
        <v>10</v>
      </c>
      <c r="U6" s="57" t="n">
        <v>25</v>
      </c>
      <c r="V6" s="57" t="n">
        <v>45</v>
      </c>
      <c r="W6" s="43" t="inlineStr">
        <is>
          <t>Overdrive: your fire rate x Tuning, towers in radius +power% fire rate.</t>
        </is>
      </c>
      <c r="X6" s="57" t="n">
        <v>75</v>
      </c>
      <c r="Y6" s="43" t="inlineStr">
        <is>
          <t>Hunting Rifle</t>
        </is>
      </c>
      <c r="Z6" s="43" t="inlineStr">
        <is>
          <t>OVERDRIVE</t>
        </is>
      </c>
    </row>
    <row r="7">
      <c r="A7" s="43" t="inlineStr">
        <is>
          <t>SHOTGUN</t>
        </is>
      </c>
      <c r="B7" s="43" t="inlineStr">
        <is>
          <t>Brush Beater</t>
        </is>
      </c>
      <c r="C7" s="43" t="inlineStr">
        <is>
          <t>Close range</t>
        </is>
      </c>
      <c r="D7" s="43" t="inlineStr">
        <is>
          <t>Flare Strike</t>
        </is>
      </c>
      <c r="E7" s="57" t="n">
        <v>0.8</v>
      </c>
      <c r="F7" s="57" t="n">
        <v>1.2</v>
      </c>
      <c r="G7" s="43" t="inlineStr">
        <is>
          <t>semi</t>
        </is>
      </c>
      <c r="H7" s="57" t="n">
        <v>6</v>
      </c>
      <c r="I7" s="57" t="n">
        <v>2.2</v>
      </c>
      <c r="J7" s="57" t="n">
        <v>6</v>
      </c>
      <c r="K7" s="57" t="n">
        <v>7</v>
      </c>
      <c r="L7" s="57" t="n">
        <v>3</v>
      </c>
      <c r="M7" s="57" t="n">
        <v>8</v>
      </c>
      <c r="N7" s="57" t="n">
        <v>8</v>
      </c>
      <c r="O7" s="57" t="n">
        <v>25</v>
      </c>
      <c r="P7" s="43" t="inlineStr">
        <is>
          <t>No</t>
        </is>
      </c>
      <c r="Q7" s="43" t="inlineStr">
        <is>
          <t>No</t>
        </is>
      </c>
      <c r="R7" s="57" t="n">
        <v>0</v>
      </c>
      <c r="S7" s="57" t="n">
        <v>30</v>
      </c>
      <c r="T7" s="57" t="n">
        <v>2</v>
      </c>
      <c r="U7" s="57" t="n">
        <v>10</v>
      </c>
      <c r="V7" s="57" t="n">
        <v>45</v>
      </c>
      <c r="W7" s="43" t="inlineStr">
        <is>
          <t>Airburst: power = damage, (s) = stun, radius on the track.</t>
        </is>
      </c>
      <c r="X7" s="57" t="n">
        <v>75</v>
      </c>
      <c r="Y7" s="43" t="inlineStr">
        <is>
          <t>Shotgun</t>
        </is>
      </c>
      <c r="Z7" s="43" t="inlineStr">
        <is>
          <t>AIRBURST</t>
        </is>
      </c>
    </row>
    <row r="8">
      <c r="A8" s="43" t="inlineStr">
        <is>
          <t>MEDIC</t>
        </is>
      </c>
      <c r="B8" s="43" t="inlineStr">
        <is>
          <t>Field Medic</t>
        </is>
      </c>
      <c r="C8" s="43" t="inlineStr">
        <is>
          <t>Support</t>
        </is>
      </c>
      <c r="D8" s="43" t="inlineStr">
        <is>
          <t>Triage Kit</t>
        </is>
      </c>
      <c r="E8" s="57" t="n">
        <v>1</v>
      </c>
      <c r="F8" s="57" t="n">
        <v>3</v>
      </c>
      <c r="G8" s="43" t="inlineStr">
        <is>
          <t>semi</t>
        </is>
      </c>
      <c r="H8" s="57" t="n">
        <v>10</v>
      </c>
      <c r="I8" s="57" t="n">
        <v>1.8</v>
      </c>
      <c r="J8" s="57" t="n">
        <v>1</v>
      </c>
      <c r="K8" s="57" t="n">
        <v>0.8</v>
      </c>
      <c r="L8" s="57" t="n">
        <v>1</v>
      </c>
      <c r="M8" s="57" t="n">
        <v>6</v>
      </c>
      <c r="N8" s="57" t="n">
        <v>12</v>
      </c>
      <c r="O8" s="57" t="n">
        <v>45</v>
      </c>
      <c r="P8" s="43" t="inlineStr">
        <is>
          <t>No</t>
        </is>
      </c>
      <c r="Q8" s="43" t="inlineStr">
        <is>
          <t>Yes</t>
        </is>
      </c>
      <c r="R8" s="57" t="n">
        <v>0</v>
      </c>
      <c r="S8" s="57" t="n">
        <v>40</v>
      </c>
      <c r="T8" s="57" t="n">
        <v>0</v>
      </c>
      <c r="U8" s="57" t="n">
        <v>20</v>
      </c>
      <c r="V8" s="57" t="n">
        <v>35</v>
      </c>
      <c r="W8" s="43" t="inlineStr">
        <is>
          <t>Heal: power = HP healed (flat, not scaled by hero levels) to you and every hunter within radius. Triage adds tower repair (Patch Up) and Second Wind guard.</t>
        </is>
      </c>
      <c r="X8" s="57" t="n">
        <v>75</v>
      </c>
      <c r="Y8" s="43" t="inlineStr">
        <is>
          <t>Lever-Action Carbine</t>
        </is>
      </c>
      <c r="Z8" s="43" t="inlineStr">
        <is>
          <t>HEAL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cols>
    <col width="11" customWidth="1" style="90" min="1" max="1"/>
    <col width="11" customWidth="1" style="90" min="2" max="2"/>
    <col width="11" customWidth="1" style="90" min="3" max="3"/>
    <col width="11" customWidth="1" style="90" min="4" max="4"/>
    <col width="18" customWidth="1" style="90" min="5" max="5"/>
    <col width="11" customWidth="1" style="90" min="6" max="6"/>
    <col width="11" customWidth="1" style="90" min="7" max="7"/>
    <col width="11" customWidth="1" style="90" min="8" max="8"/>
    <col width="11" customWidth="1" style="90" min="9" max="9"/>
    <col width="11" customWidth="1" style="90" min="10" max="10"/>
    <col width="11" customWidth="1" style="90" min="11" max="11"/>
    <col width="11" customWidth="1" style="90" min="12" max="12"/>
    <col width="11" customWidth="1" style="90" min="13" max="13"/>
    <col width="11" customWidth="1" style="90" min="14" max="14"/>
    <col width="11" customWidth="1" style="90" min="15" max="15"/>
    <col width="11" customWidth="1" style="90" min="16" max="16"/>
    <col width="11" customWidth="1" style="90" min="17" max="17"/>
    <col width="11" customWidth="1" style="90" min="18" max="18"/>
    <col width="11" customWidth="1" style="90" min="19" max="19"/>
    <col width="11" customWidth="1" style="90" min="20" max="20"/>
    <col width="11" customWidth="1" style="90" min="21" max="21"/>
    <col width="11" customWidth="1" style="90" min="22" max="22"/>
    <col width="11" customWidth="1" style="90" min="23" max="23"/>
    <col width="11" customWidth="1" style="90" min="24" max="24"/>
    <col width="11" customWidth="1" style="90" min="25" max="25"/>
    <col width="11" customWidth="1" style="90" min="26" max="26"/>
    <col width="11" customWidth="1" style="90" min="27" max="27"/>
    <col width="11" customWidth="1" style="90" min="28" max="28"/>
    <col width="11" customWidth="1" style="90" min="29" max="29"/>
    <col width="11" customWidth="1" style="90" min="30" max="30"/>
    <col width="11" customWidth="1" style="90" min="31" max="31"/>
    <col width="11" customWidth="1" style="90" min="32" max="32"/>
    <col width="11" customWidth="1" style="90" min="33" max="33"/>
    <col width="13" customWidth="1" style="90" min="53" max="53"/>
    <col width="13" customWidth="1" style="90" min="56" max="56"/>
    <col width="13" customWidth="1" style="90" min="57" max="57"/>
  </cols>
  <sheetData>
    <row r="1">
      <c r="A1" s="2" t="inlineStr">
        <is>
          <t>HERO UPGRADES — 4 heroes x 3 paths x 6 tiers (HEROES.md)</t>
        </is>
      </c>
    </row>
    <row r="2">
      <c r="A2" s="5" t="inlineStr">
        <is>
          <t>Effect columns are cumulative per tier (like Tower Upgrades); blank = no change. x columns multiply the hero's base; Fire mode / Guns / Pellets / Pierce / Bounces override it. Crossover rule as towers: two paths, one past tier 2. Damage is per shot: pellets share the hero's base damage x its base pellet count, so more pellets spread the same damage wider and a slug concentrates it. Ignite: an enemy hit burns for Ignite (s), then takes one tick of Ignite tick x the whole shot's damage. The fire passes to the enemy's split children, so a Brute shot down to Husks sees them burn out together. A/B/C (PLAN Phase 9, DECISIONS #275): tiers 1-3 rows are cumulative; a tier-4 or tier-5 row is one option (Option A/B/C, Blurb = its card line, max 60 chars) and holds ONLY ITS OWN STEP over the tier below; so does tier 6 (no option) (x columns multiply, amounts take the higher, flags add, overrides replace; blank = no change). The exporter composes every build. New options are appended at the bottom.</t>
        </is>
      </c>
    </row>
    <row r="4">
      <c r="A4" s="21" t="inlineStr">
        <is>
          <t>Hero</t>
        </is>
      </c>
      <c r="B4" s="21" t="inlineStr">
        <is>
          <t>Path</t>
        </is>
      </c>
      <c r="C4" s="21" t="inlineStr">
        <is>
          <t>Focus</t>
        </is>
      </c>
      <c r="D4" s="21" t="inlineStr">
        <is>
          <t>Tier</t>
        </is>
      </c>
      <c r="E4" s="21" t="inlineStr">
        <is>
          <t>Name</t>
        </is>
      </c>
      <c r="F4" s="21" t="inlineStr">
        <is>
          <t>Cost</t>
        </is>
      </c>
      <c r="G4" s="21" t="inlineStr">
        <is>
          <t>Fire rate x</t>
        </is>
      </c>
      <c r="H4" s="21" t="inlineStr">
        <is>
          <t>Magazine x</t>
        </is>
      </c>
      <c r="I4" s="21" t="inlineStr">
        <is>
          <t>Reload x</t>
        </is>
      </c>
      <c r="J4" s="21" t="inlineStr">
        <is>
          <t>Spread x</t>
        </is>
      </c>
      <c r="K4" s="21" t="inlineStr">
        <is>
          <t>Recoil x</t>
        </is>
      </c>
      <c r="L4" s="21" t="inlineStr">
        <is>
          <t>Range x</t>
        </is>
      </c>
      <c r="M4" s="21" t="inlineStr">
        <is>
          <t>Damage x</t>
        </is>
      </c>
      <c r="N4" s="21" t="inlineStr">
        <is>
          <t>Fire mode</t>
        </is>
      </c>
      <c r="O4" s="21" t="inlineStr">
        <is>
          <t>Burst count</t>
        </is>
      </c>
      <c r="P4" s="21" t="inlineStr">
        <is>
          <t>Guns</t>
        </is>
      </c>
      <c r="Q4" s="21" t="inlineStr">
        <is>
          <t>Pellets</t>
        </is>
      </c>
      <c r="R4" s="21" t="inlineStr">
        <is>
          <t>Shots per trigger</t>
        </is>
      </c>
      <c r="S4" s="21" t="inlineStr">
        <is>
          <t>Pierce</t>
        </is>
      </c>
      <c r="T4" s="21" t="inlineStr">
        <is>
          <t>Bounces</t>
        </is>
      </c>
      <c r="U4" s="21" t="inlineStr">
        <is>
          <t>Pierces armour</t>
        </is>
      </c>
      <c r="V4" s="21" t="inlineStr">
        <is>
          <t>Hits air</t>
        </is>
      </c>
      <c r="W4" s="21" t="inlineStr">
        <is>
          <t>Burn DPS</t>
        </is>
      </c>
      <c r="X4" s="21" t="inlineStr">
        <is>
          <t>Burn (s)</t>
        </is>
      </c>
      <c r="Y4" s="21" t="inlineStr">
        <is>
          <t>Splash radius (m)</t>
        </is>
      </c>
      <c r="Z4" s="21" t="inlineStr">
        <is>
          <t>Knockback (studs)</t>
        </is>
      </c>
      <c r="AA4" s="21" t="inlineStr">
        <is>
          <t>Mark %</t>
        </is>
      </c>
      <c r="AB4" s="21" t="inlineStr">
        <is>
          <t>Marked damage x</t>
        </is>
      </c>
      <c r="AC4" s="21" t="inlineStr">
        <is>
          <t>Ability cooldown x</t>
        </is>
      </c>
      <c r="AD4" s="21" t="inlineStr">
        <is>
          <t>Belt fed</t>
        </is>
      </c>
      <c r="AE4" s="21" t="inlineStr">
        <is>
          <t>Still recoil x</t>
        </is>
      </c>
      <c r="AF4" s="21" t="inlineStr">
        <is>
          <t>Spin-up x</t>
        </is>
      </c>
      <c r="AG4" s="21" t="inlineStr">
        <is>
          <t>Scope</t>
        </is>
      </c>
      <c r="AH4" s="21" t="inlineStr">
        <is>
          <t>Ignite (s)</t>
        </is>
      </c>
      <c r="AI4" s="21" t="inlineStr">
        <is>
          <t>Ignite tick (x shot)</t>
        </is>
      </c>
      <c r="AJ4" s="21" t="inlineStr">
        <is>
          <t>Heal x</t>
        </is>
      </c>
      <c r="AK4" s="21" t="inlineStr">
        <is>
          <t>Heal radius x</t>
        </is>
      </c>
      <c r="AL4" s="21" t="inlineStr">
        <is>
          <t>Heal repairs towers</t>
        </is>
      </c>
      <c r="AM4" s="21" t="inlineStr">
        <is>
          <t>Guard %</t>
        </is>
      </c>
      <c r="AN4" s="21" t="inlineStr">
        <is>
          <t>Guard (s)</t>
        </is>
      </c>
      <c r="AO4" s="21" t="inlineStr">
        <is>
          <t>Slow on hit %</t>
        </is>
      </c>
      <c r="AP4" s="21" t="inlineStr">
        <is>
          <t>Slow on hit (s)</t>
        </is>
      </c>
      <c r="AQ4" s="21" t="inlineStr">
        <is>
          <t>Jaw lock (s)</t>
        </is>
      </c>
      <c r="AR4" s="21" t="inlineStr">
        <is>
          <t>Jaw lock spread (studs)</t>
        </is>
      </c>
      <c r="AS4" s="104" t="inlineStr">
        <is>
          <t>Size breaks</t>
        </is>
      </c>
      <c r="AT4" s="104" t="inlineStr">
        <is>
          <t>Burn patch reach (studs)</t>
        </is>
      </c>
      <c r="AU4" s="104" t="inlineStr">
        <is>
          <t>Staggered reload</t>
        </is>
      </c>
      <c r="AV4" s="104" t="inlineStr">
        <is>
          <t>Ricochet reload (rounds)</t>
        </is>
      </c>
      <c r="AW4" s="104" t="inlineStr">
        <is>
          <t>Burst recoil reset</t>
        </is>
      </c>
      <c r="AX4" s="104" t="inlineStr">
        <is>
          <t>Spun-up belt</t>
        </is>
      </c>
      <c r="AY4" s="104" t="inlineStr">
        <is>
          <t>Still spread x</t>
        </is>
      </c>
      <c r="AZ4" s="104" t="inlineStr">
        <is>
          <t>Scoped spread x</t>
        </is>
      </c>
      <c r="BA4" s="104" t="inlineStr">
        <is>
          <t>Ability charges</t>
        </is>
      </c>
      <c r="BB4" s="81" t="inlineStr">
        <is>
          <t>Option</t>
        </is>
      </c>
      <c r="BC4" s="81" t="inlineStr">
        <is>
          <t>Blurb</t>
        </is>
      </c>
      <c r="BD4" s="104" t="inlineStr">
        <is>
          <t>Heal regen HP/s</t>
        </is>
      </c>
      <c r="BE4" s="104" t="inlineStr">
        <is>
          <t>Heal regen (s)</t>
        </is>
      </c>
      <c r="BF4" s="81" t="inlineStr">
        <is>
          <t>One round per trigger</t>
        </is>
      </c>
    </row>
    <row r="5">
      <c r="A5" s="43" t="inlineStr">
        <is>
          <t>Tracker</t>
        </is>
      </c>
      <c r="B5" s="43" t="inlineStr">
        <is>
          <t>Gunslinger</t>
        </is>
      </c>
      <c r="C5" s="43" t="inlineStr">
        <is>
          <t>handling</t>
        </is>
      </c>
      <c r="D5" s="43" t="n">
        <v>1</v>
      </c>
      <c r="E5" s="43" t="inlineStr">
        <is>
          <t>Quick Draw</t>
        </is>
      </c>
      <c r="F5" s="56">
        <f>ROUND(Tuning!$B$21*POWER(Tuning!$B$22,D5-1),0)</f>
        <v/>
      </c>
      <c r="G5" s="57" t="n">
        <v>1.15</v>
      </c>
      <c r="H5" s="57" t="n"/>
      <c r="I5" s="57" t="n">
        <v>0.9</v>
      </c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</row>
    <row r="6">
      <c r="A6" s="43" t="inlineStr">
        <is>
          <t>Tracker</t>
        </is>
      </c>
      <c r="B6" s="43" t="inlineStr">
        <is>
          <t>Gunslinger</t>
        </is>
      </c>
      <c r="C6" s="43" t="inlineStr">
        <is>
          <t>handling</t>
        </is>
      </c>
      <c r="D6" s="43" t="n">
        <v>2</v>
      </c>
      <c r="E6" s="43" t="inlineStr">
        <is>
          <t>Hair Trigger</t>
        </is>
      </c>
      <c r="F6" s="56">
        <f>ROUND(Tuning!$B$21*POWER(Tuning!$B$22,D6-1),0)</f>
        <v/>
      </c>
      <c r="G6" s="57" t="n">
        <v>1.3</v>
      </c>
      <c r="H6" s="57" t="n"/>
      <c r="I6" s="57" t="n">
        <v>0.85</v>
      </c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</row>
    <row r="7">
      <c r="A7" s="43" t="inlineStr">
        <is>
          <t>Tracker</t>
        </is>
      </c>
      <c r="B7" s="43" t="inlineStr">
        <is>
          <t>Gunslinger</t>
        </is>
      </c>
      <c r="C7" s="43" t="inlineStr">
        <is>
          <t>handling</t>
        </is>
      </c>
      <c r="D7" s="43" t="n">
        <v>3</v>
      </c>
      <c r="E7" s="43" t="inlineStr">
        <is>
          <t>Dual Pistols</t>
        </is>
      </c>
      <c r="F7" s="56">
        <f>ROUND(Tuning!$B$21*POWER(Tuning!$B$22,D7-1),0)</f>
        <v/>
      </c>
      <c r="G7" s="57" t="n">
        <v>1.3</v>
      </c>
      <c r="H7" s="57" t="n"/>
      <c r="I7" s="57" t="n">
        <v>0.85</v>
      </c>
      <c r="J7" s="57" t="n"/>
      <c r="K7" s="57" t="n"/>
      <c r="L7" s="57" t="n"/>
      <c r="M7" s="57" t="n"/>
      <c r="N7" s="57" t="n"/>
      <c r="O7" s="57" t="n"/>
      <c r="P7" s="57" t="n">
        <v>2</v>
      </c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</row>
    <row r="8">
      <c r="A8" s="43" t="inlineStr">
        <is>
          <t>Tracker</t>
        </is>
      </c>
      <c r="B8" s="43" t="inlineStr">
        <is>
          <t>Gunslinger</t>
        </is>
      </c>
      <c r="C8" s="43" t="inlineStr">
        <is>
          <t>handling</t>
        </is>
      </c>
      <c r="D8" s="43" t="n">
        <v>4</v>
      </c>
      <c r="E8" s="43" t="inlineStr">
        <is>
          <t>Fan the Hammer</t>
        </is>
      </c>
      <c r="F8" s="56">
        <f>ROUND(Tuning!$B$21*POWER(Tuning!$B$22,D8-1),0)</f>
        <v/>
      </c>
      <c r="G8" s="57" t="n">
        <v>1.230769230769</v>
      </c>
      <c r="H8" s="57" t="n"/>
      <c r="I8" s="57" t="n">
        <v>0.941176470588</v>
      </c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BB8" s="81" t="inlineStr">
        <is>
          <t>A</t>
        </is>
      </c>
      <c r="BC8" s="81" t="inlineStr">
        <is>
          <t>Fires faster and reloads quicker</t>
        </is>
      </c>
    </row>
    <row r="9">
      <c r="A9" s="43" t="inlineStr">
        <is>
          <t>Tracker</t>
        </is>
      </c>
      <c r="B9" s="43" t="inlineStr">
        <is>
          <t>Gunslinger</t>
        </is>
      </c>
      <c r="C9" s="43" t="inlineStr">
        <is>
          <t>handling</t>
        </is>
      </c>
      <c r="D9" s="43" t="n">
        <v>5</v>
      </c>
      <c r="E9" s="43" t="inlineStr">
        <is>
          <t>Akimbo Frenzy</t>
        </is>
      </c>
      <c r="F9" s="56">
        <f>ROUND(Tuning!$B$21*POWER(Tuning!$B$22,D9-1),0)</f>
        <v/>
      </c>
      <c r="G9" s="57" t="n">
        <v>1.25</v>
      </c>
      <c r="H9" s="57" t="n">
        <v>1.5</v>
      </c>
      <c r="I9" s="57" t="n">
        <v>0.875</v>
      </c>
      <c r="J9" s="57" t="n"/>
      <c r="K9" s="57" t="n"/>
      <c r="L9" s="57" t="n"/>
      <c r="M9" s="57" t="n"/>
      <c r="N9" s="57" t="inlineStr">
        <is>
          <t>auto</t>
        </is>
      </c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BB9" s="81" t="inlineStr">
        <is>
          <t>A</t>
        </is>
      </c>
      <c r="BC9" s="81" t="inlineStr">
        <is>
          <t>Both guns go full-auto</t>
        </is>
      </c>
    </row>
    <row r="10">
      <c r="A10" s="43" t="inlineStr">
        <is>
          <t>Tracker</t>
        </is>
      </c>
      <c r="B10" s="43" t="inlineStr">
        <is>
          <t>Marksman</t>
        </is>
      </c>
      <c r="C10" s="43" t="inlineStr">
        <is>
          <t>accuracy</t>
        </is>
      </c>
      <c r="D10" s="43" t="n">
        <v>1</v>
      </c>
      <c r="E10" s="43" t="inlineStr">
        <is>
          <t>Match Barrel</t>
        </is>
      </c>
      <c r="F10" s="56">
        <f>ROUND(Tuning!$B$21*POWER(Tuning!$B$22,D10-1),0)</f>
        <v/>
      </c>
      <c r="G10" s="57" t="n"/>
      <c r="H10" s="57" t="n"/>
      <c r="I10" s="57" t="n"/>
      <c r="J10" s="57" t="n">
        <v>0.6</v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  <c r="AG10" s="57" t="n"/>
      <c r="AH10" s="57" t="n"/>
      <c r="AI10" s="57" t="n"/>
    </row>
    <row r="11">
      <c r="A11" s="43" t="inlineStr">
        <is>
          <t>Tracker</t>
        </is>
      </c>
      <c r="B11" s="43" t="inlineStr">
        <is>
          <t>Marksman</t>
        </is>
      </c>
      <c r="C11" s="43" t="inlineStr">
        <is>
          <t>accuracy</t>
        </is>
      </c>
      <c r="D11" s="43" t="n">
        <v>2</v>
      </c>
      <c r="E11" s="43" t="inlineStr">
        <is>
          <t>Steady Hands</t>
        </is>
      </c>
      <c r="F11" s="56">
        <f>ROUND(Tuning!$B$21*POWER(Tuning!$B$22,D11-1),0)</f>
        <v/>
      </c>
      <c r="G11" s="57" t="n"/>
      <c r="H11" s="57" t="n"/>
      <c r="I11" s="57" t="n"/>
      <c r="J11" s="57" t="n">
        <v>0.5</v>
      </c>
      <c r="K11" s="57" t="n">
        <v>0.6</v>
      </c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</row>
    <row r="12">
      <c r="A12" s="43" t="inlineStr">
        <is>
          <t>Tracker</t>
        </is>
      </c>
      <c r="B12" s="43" t="inlineStr">
        <is>
          <t>Marksman</t>
        </is>
      </c>
      <c r="C12" s="43" t="inlineStr">
        <is>
          <t>accuracy</t>
        </is>
      </c>
      <c r="D12" s="43" t="n">
        <v>3</v>
      </c>
      <c r="E12" s="43" t="inlineStr">
        <is>
          <t>Scope</t>
        </is>
      </c>
      <c r="F12" s="56">
        <f>ROUND(Tuning!$B$21*POWER(Tuning!$B$22,D12-1),0)</f>
        <v/>
      </c>
      <c r="G12" s="57" t="n"/>
      <c r="H12" s="57" t="n"/>
      <c r="I12" s="57" t="n"/>
      <c r="J12" s="57" t="n">
        <v>0.3</v>
      </c>
      <c r="K12" s="57" t="n">
        <v>0.5</v>
      </c>
      <c r="L12" s="57" t="n">
        <v>1.6</v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  <c r="AG12" s="57" t="inlineStr">
        <is>
          <t>Yes</t>
        </is>
      </c>
      <c r="AH12" s="57" t="n"/>
      <c r="AI12" s="57" t="n"/>
    </row>
    <row r="13">
      <c r="A13" s="43" t="inlineStr">
        <is>
          <t>Tracker</t>
        </is>
      </c>
      <c r="B13" s="43" t="inlineStr">
        <is>
          <t>Marksman</t>
        </is>
      </c>
      <c r="C13" s="43" t="inlineStr">
        <is>
          <t>accuracy</t>
        </is>
      </c>
      <c r="D13" s="43" t="n">
        <v>4</v>
      </c>
      <c r="E13" s="43" t="inlineStr">
        <is>
          <t>Hollow Tips</t>
        </is>
      </c>
      <c r="F13" s="56">
        <f>ROUND(Tuning!$B$21*POWER(Tuning!$B$22,D13-1),0)</f>
        <v/>
      </c>
      <c r="G13" s="57" t="n"/>
      <c r="H13" s="57" t="n"/>
      <c r="I13" s="57" t="n"/>
      <c r="J13" s="57" t="n">
        <v>1</v>
      </c>
      <c r="K13" s="57" t="n">
        <v>1</v>
      </c>
      <c r="L13" s="57" t="n">
        <v>1</v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inlineStr">
        <is>
          <t>Yes</t>
        </is>
      </c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BB13" s="81" t="inlineStr">
        <is>
          <t>A</t>
        </is>
      </c>
      <c r="BC13" s="81" t="inlineStr">
        <is>
          <t>Shots pierce armour</t>
        </is>
      </c>
    </row>
    <row r="14">
      <c r="A14" s="43" t="inlineStr">
        <is>
          <t>Tracker</t>
        </is>
      </c>
      <c r="B14" s="43" t="inlineStr">
        <is>
          <t>Marksman</t>
        </is>
      </c>
      <c r="C14" s="43" t="inlineStr">
        <is>
          <t>accuracy</t>
        </is>
      </c>
      <c r="D14" s="43" t="n">
        <v>5</v>
      </c>
      <c r="E14" s="43" t="inlineStr">
        <is>
          <t>Deadshot</t>
        </is>
      </c>
      <c r="F14" s="56">
        <f>ROUND(Tuning!$B$21*POWER(Tuning!$B$22,D14-1),0)</f>
        <v/>
      </c>
      <c r="G14" s="57" t="n"/>
      <c r="H14" s="57" t="n"/>
      <c r="I14" s="57" t="n"/>
      <c r="J14" s="57" t="n">
        <v>0.833333333333</v>
      </c>
      <c r="K14" s="57" t="n">
        <v>0.8</v>
      </c>
      <c r="L14" s="57" t="n">
        <v>1.125</v>
      </c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>
        <v>3</v>
      </c>
      <c r="AC14" s="57" t="n"/>
      <c r="AD14" s="57" t="n"/>
      <c r="AE14" s="57" t="n"/>
      <c r="AF14" s="57" t="n"/>
      <c r="AG14" s="57" t="n"/>
      <c r="AH14" s="57" t="n"/>
      <c r="AI14" s="57" t="n"/>
      <c r="BB14" s="81" t="inlineStr">
        <is>
          <t>A</t>
        </is>
      </c>
      <c r="BC14" s="81" t="inlineStr">
        <is>
          <t>Triple damage to marked dinos</t>
        </is>
      </c>
    </row>
    <row r="15">
      <c r="A15" s="43" t="inlineStr">
        <is>
          <t>Tracker</t>
        </is>
      </c>
      <c r="B15" s="43" t="inlineStr">
        <is>
          <t>Trick Shot</t>
        </is>
      </c>
      <c r="C15" s="43" t="inlineStr">
        <is>
          <t>utility</t>
        </is>
      </c>
      <c r="D15" s="43" t="n">
        <v>1</v>
      </c>
      <c r="E15" s="43" t="inlineStr">
        <is>
          <t>Speed Loader</t>
        </is>
      </c>
      <c r="F15" s="56">
        <f>ROUND(Tuning!$B$21*POWER(Tuning!$B$22,D15-1),0)</f>
        <v/>
      </c>
      <c r="G15" s="57" t="n"/>
      <c r="H15" s="57" t="n"/>
      <c r="I15" s="57" t="n">
        <v>0.6</v>
      </c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</row>
    <row r="16">
      <c r="A16" s="43" t="inlineStr">
        <is>
          <t>Tracker</t>
        </is>
      </c>
      <c r="B16" s="43" t="inlineStr">
        <is>
          <t>Trick Shot</t>
        </is>
      </c>
      <c r="C16" s="43" t="inlineStr">
        <is>
          <t>utility</t>
        </is>
      </c>
      <c r="D16" s="43" t="n">
        <v>2</v>
      </c>
      <c r="E16" s="43" t="inlineStr">
        <is>
          <t>Extended Mag</t>
        </is>
      </c>
      <c r="F16" s="56">
        <f>ROUND(Tuning!$B$21*POWER(Tuning!$B$22,D16-1),0)</f>
        <v/>
      </c>
      <c r="G16" s="57" t="n"/>
      <c r="H16" s="57" t="n">
        <v>1.6</v>
      </c>
      <c r="I16" s="57" t="n">
        <v>0.6</v>
      </c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  <c r="AI16" s="57" t="n"/>
    </row>
    <row r="17">
      <c r="A17" s="43" t="inlineStr">
        <is>
          <t>Tracker</t>
        </is>
      </c>
      <c r="B17" s="43" t="inlineStr">
        <is>
          <t>Trick Shot</t>
        </is>
      </c>
      <c r="C17" s="43" t="inlineStr">
        <is>
          <t>utility</t>
        </is>
      </c>
      <c r="D17" s="43" t="n">
        <v>3</v>
      </c>
      <c r="E17" s="43" t="inlineStr">
        <is>
          <t>Ricochet</t>
        </is>
      </c>
      <c r="F17" s="56">
        <f>ROUND(Tuning!$B$21*POWER(Tuning!$B$22,D17-1),0)</f>
        <v/>
      </c>
      <c r="G17" s="57" t="n"/>
      <c r="H17" s="57" t="n">
        <v>1.6</v>
      </c>
      <c r="I17" s="57" t="n">
        <v>0.6</v>
      </c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>
        <v>1</v>
      </c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</row>
    <row r="18">
      <c r="A18" s="43" t="inlineStr">
        <is>
          <t>Tracker</t>
        </is>
      </c>
      <c r="B18" s="43" t="inlineStr">
        <is>
          <t>Trick Shot</t>
        </is>
      </c>
      <c r="C18" s="43" t="inlineStr">
        <is>
          <t>utility</t>
        </is>
      </c>
      <c r="D18" s="43" t="n">
        <v>4</v>
      </c>
      <c r="E18" s="43" t="inlineStr">
        <is>
          <t>Quick Dart</t>
        </is>
      </c>
      <c r="F18" s="56">
        <f>ROUND(Tuning!$B$21*POWER(Tuning!$B$22,D18-1),0)</f>
        <v/>
      </c>
      <c r="G18" s="57" t="n"/>
      <c r="H18" s="57" t="n">
        <v>1</v>
      </c>
      <c r="I18" s="57" t="n">
        <v>1</v>
      </c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>
        <v>0.6</v>
      </c>
      <c r="AD18" s="57" t="n"/>
      <c r="AE18" s="57" t="n"/>
      <c r="AF18" s="57" t="n"/>
      <c r="AG18" s="57" t="n"/>
      <c r="AH18" s="57" t="n"/>
      <c r="AI18" s="57" t="n"/>
      <c r="BB18" s="81" t="inlineStr">
        <is>
          <t>A</t>
        </is>
      </c>
      <c r="BC18" s="81" t="inlineStr">
        <is>
          <t>Your Tracking Dart is ready again sooner</t>
        </is>
      </c>
    </row>
    <row r="19">
      <c r="A19" s="43" t="inlineStr">
        <is>
          <t>Tracker</t>
        </is>
      </c>
      <c r="B19" s="43" t="inlineStr">
        <is>
          <t>Trick Shot</t>
        </is>
      </c>
      <c r="C19" s="43" t="inlineStr">
        <is>
          <t>utility</t>
        </is>
      </c>
      <c r="D19" s="43" t="n">
        <v>5</v>
      </c>
      <c r="E19" s="43" t="inlineStr">
        <is>
          <t>Chain Shot</t>
        </is>
      </c>
      <c r="F19" s="56">
        <f>ROUND(Tuning!$B$21*POWER(Tuning!$B$22,D19-1),0)</f>
        <v/>
      </c>
      <c r="G19" s="57" t="n"/>
      <c r="H19" s="57" t="n">
        <v>1</v>
      </c>
      <c r="I19" s="57" t="n">
        <v>1</v>
      </c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>
        <v>4</v>
      </c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>
        <v>1</v>
      </c>
      <c r="AD19" s="57" t="n"/>
      <c r="AE19" s="57" t="n"/>
      <c r="AF19" s="57" t="n"/>
      <c r="AG19" s="57" t="n"/>
      <c r="AH19" s="57" t="n"/>
      <c r="AI19" s="57" t="n"/>
      <c r="BB19" s="81" t="inlineStr">
        <is>
          <t>A</t>
        </is>
      </c>
      <c r="BC19" s="81" t="inlineStr">
        <is>
          <t>Shots bounce 4 times</t>
        </is>
      </c>
    </row>
    <row r="20">
      <c r="A20" s="43" t="inlineStr">
        <is>
          <t>Big Game Hunter</t>
        </is>
      </c>
      <c r="B20" s="43" t="inlineStr">
        <is>
          <t>Stalker</t>
        </is>
      </c>
      <c r="C20" s="43" t="inlineStr">
        <is>
          <t>control</t>
        </is>
      </c>
      <c r="D20" s="43" t="n">
        <v>1</v>
      </c>
      <c r="E20" s="43" t="inlineStr">
        <is>
          <t>Foregrip</t>
        </is>
      </c>
      <c r="F20" s="56">
        <f>ROUND(Tuning!$B$21*POWER(Tuning!$B$22,D20-1),0)</f>
        <v/>
      </c>
      <c r="G20" s="57" t="n"/>
      <c r="H20" s="57" t="n"/>
      <c r="I20" s="57" t="n"/>
      <c r="J20" s="57" t="n"/>
      <c r="K20" s="57" t="n">
        <v>0.75</v>
      </c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  <c r="AG20" s="57" t="n"/>
      <c r="AH20" s="57" t="n"/>
      <c r="AI20" s="57" t="n"/>
    </row>
    <row r="21">
      <c r="A21" s="43" t="inlineStr">
        <is>
          <t>Big Game Hunter</t>
        </is>
      </c>
      <c r="B21" s="43" t="inlineStr">
        <is>
          <t>Stalker</t>
        </is>
      </c>
      <c r="C21" s="43" t="inlineStr">
        <is>
          <t>control</t>
        </is>
      </c>
      <c r="D21" s="43" t="n">
        <v>2</v>
      </c>
      <c r="E21" s="43" t="inlineStr">
        <is>
          <t>Compensator</t>
        </is>
      </c>
      <c r="F21" s="56">
        <f>ROUND(Tuning!$B$21*POWER(Tuning!$B$22,D21-1),0)</f>
        <v/>
      </c>
      <c r="G21" s="57" t="n"/>
      <c r="H21" s="57" t="n"/>
      <c r="I21" s="57" t="n"/>
      <c r="J21" s="57" t="n">
        <v>0.8</v>
      </c>
      <c r="K21" s="57" t="n">
        <v>0.55</v>
      </c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</row>
    <row r="22">
      <c r="A22" s="43" t="inlineStr">
        <is>
          <t>Big Game Hunter</t>
        </is>
      </c>
      <c r="B22" s="43" t="inlineStr">
        <is>
          <t>Stalker</t>
        </is>
      </c>
      <c r="C22" s="43" t="inlineStr">
        <is>
          <t>control</t>
        </is>
      </c>
      <c r="D22" s="43" t="n">
        <v>3</v>
      </c>
      <c r="E22" s="43" t="inlineStr">
        <is>
          <t>Burst Fire</t>
        </is>
      </c>
      <c r="F22" s="56">
        <f>ROUND(Tuning!$B$21*POWER(Tuning!$B$22,D22-1),0)</f>
        <v/>
      </c>
      <c r="G22" s="57" t="n">
        <v>1.4</v>
      </c>
      <c r="H22" s="57" t="n"/>
      <c r="I22" s="57" t="n"/>
      <c r="J22" s="57" t="n">
        <v>0.6</v>
      </c>
      <c r="K22" s="57" t="n">
        <v>0.4</v>
      </c>
      <c r="L22" s="57" t="n"/>
      <c r="M22" s="57" t="n"/>
      <c r="N22" s="57" t="inlineStr">
        <is>
          <t>burst</t>
        </is>
      </c>
      <c r="O22" s="57" t="n">
        <v>3</v>
      </c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  <c r="AG22" s="57" t="n"/>
      <c r="AH22" s="57" t="n"/>
      <c r="AI22" s="57" t="n"/>
    </row>
    <row r="23">
      <c r="A23" s="43" t="inlineStr">
        <is>
          <t>Big Game Hunter</t>
        </is>
      </c>
      <c r="B23" s="43" t="inlineStr">
        <is>
          <t>Stalker</t>
        </is>
      </c>
      <c r="C23" s="43" t="inlineStr">
        <is>
          <t>control</t>
        </is>
      </c>
      <c r="D23" s="43" t="n">
        <v>4</v>
      </c>
      <c r="E23" s="43" t="inlineStr">
        <is>
          <t>Trigger Discipline</t>
        </is>
      </c>
      <c r="F23" s="56">
        <f>ROUND(Tuning!$B$21*POWER(Tuning!$B$22,D23-1),0)</f>
        <v/>
      </c>
      <c r="G23" s="57" t="n">
        <v>1</v>
      </c>
      <c r="H23" s="57" t="n"/>
      <c r="I23" s="57" t="n"/>
      <c r="J23" s="57" t="n">
        <v>1</v>
      </c>
      <c r="K23" s="57" t="n">
        <v>0.75</v>
      </c>
      <c r="L23" s="57" t="n">
        <v>1.3</v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BB23" s="81" t="inlineStr">
        <is>
          <t>A</t>
        </is>
      </c>
      <c r="BC23" s="81" t="inlineStr">
        <is>
          <t>Less kick and longer reach</t>
        </is>
      </c>
    </row>
    <row r="24">
      <c r="A24" s="43" t="inlineStr">
        <is>
          <t>Big Game Hunter</t>
        </is>
      </c>
      <c r="B24" s="43" t="inlineStr">
        <is>
          <t>Stalker</t>
        </is>
      </c>
      <c r="C24" s="43" t="inlineStr">
        <is>
          <t>control</t>
        </is>
      </c>
      <c r="D24" s="43" t="n">
        <v>5</v>
      </c>
      <c r="E24" s="43" t="inlineStr">
        <is>
          <t>Precision Burst</t>
        </is>
      </c>
      <c r="F24" s="56">
        <f>ROUND(Tuning!$B$21*POWER(Tuning!$B$22,D24-1),0)</f>
        <v/>
      </c>
      <c r="G24" s="57" t="n">
        <v>1.071428571429</v>
      </c>
      <c r="H24" s="57" t="n"/>
      <c r="I24" s="57" t="n"/>
      <c r="J24" s="57" t="n">
        <v>0.5</v>
      </c>
      <c r="K24" s="57" t="n">
        <v>0.833333333333</v>
      </c>
      <c r="L24" s="57" t="n">
        <v>1.153846153846</v>
      </c>
      <c r="M24" s="57" t="n">
        <v>1.3</v>
      </c>
      <c r="N24" s="57" t="n"/>
      <c r="O24" s="57" t="n">
        <v>4</v>
      </c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  <c r="AG24" s="57" t="n"/>
      <c r="AH24" s="57" t="n"/>
      <c r="AI24" s="57" t="n"/>
      <c r="BB24" s="81" t="inlineStr">
        <is>
          <t>A</t>
        </is>
      </c>
      <c r="BC24" s="81" t="inlineStr">
        <is>
          <t>4-round bursts with a much tighter grouping</t>
        </is>
      </c>
    </row>
    <row r="25">
      <c r="A25" s="43" t="inlineStr">
        <is>
          <t>Big Game Hunter</t>
        </is>
      </c>
      <c r="B25" s="43" t="inlineStr">
        <is>
          <t>Heavy</t>
        </is>
      </c>
      <c r="C25" s="43" t="inlineStr">
        <is>
          <t>sustain</t>
        </is>
      </c>
      <c r="D25" s="43" t="n">
        <v>1</v>
      </c>
      <c r="E25" s="43" t="inlineStr">
        <is>
          <t>Drum Mag</t>
        </is>
      </c>
      <c r="F25" s="56">
        <f>ROUND(Tuning!$B$21*POWER(Tuning!$B$22,D25-1),0)</f>
        <v/>
      </c>
      <c r="G25" s="57" t="n"/>
      <c r="H25" s="57" t="n">
        <v>1.7</v>
      </c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</row>
    <row r="26">
      <c r="A26" s="43" t="inlineStr">
        <is>
          <t>Big Game Hunter</t>
        </is>
      </c>
      <c r="B26" s="43" t="inlineStr">
        <is>
          <t>Heavy</t>
        </is>
      </c>
      <c r="C26" s="43" t="inlineStr">
        <is>
          <t>sustain</t>
        </is>
      </c>
      <c r="D26" s="43" t="n">
        <v>2</v>
      </c>
      <c r="E26" s="43" t="inlineStr">
        <is>
          <t>Fast Hands</t>
        </is>
      </c>
      <c r="F26" s="56">
        <f>ROUND(Tuning!$B$21*POWER(Tuning!$B$22,D26-1),0)</f>
        <v/>
      </c>
      <c r="G26" s="57" t="n"/>
      <c r="H26" s="57" t="n">
        <v>1.7</v>
      </c>
      <c r="I26" s="57" t="n">
        <v>0.65</v>
      </c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  <c r="AG26" s="57" t="n"/>
      <c r="AH26" s="57" t="n"/>
      <c r="AI26" s="57" t="n"/>
    </row>
    <row r="27">
      <c r="A27" s="43" t="inlineStr">
        <is>
          <t>Big Game Hunter</t>
        </is>
      </c>
      <c r="B27" s="43" t="inlineStr">
        <is>
          <t>Heavy</t>
        </is>
      </c>
      <c r="C27" s="43" t="inlineStr">
        <is>
          <t>sustain</t>
        </is>
      </c>
      <c r="D27" s="43" t="n">
        <v>3</v>
      </c>
      <c r="E27" s="43" t="inlineStr">
        <is>
          <t>Belt Fed</t>
        </is>
      </c>
      <c r="F27" s="56">
        <f>ROUND(Tuning!$B$21*POWER(Tuning!$B$22,D27-1),0)</f>
        <v/>
      </c>
      <c r="G27" s="57" t="n"/>
      <c r="H27" s="57" t="n">
        <v>1.7</v>
      </c>
      <c r="I27" s="57" t="n">
        <v>0.65</v>
      </c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inlineStr">
        <is>
          <t>Yes</t>
        </is>
      </c>
      <c r="AE27" s="57" t="n"/>
      <c r="AF27" s="57" t="n"/>
      <c r="AG27" s="57" t="n"/>
      <c r="AH27" s="57" t="n"/>
      <c r="AI27" s="57" t="n"/>
    </row>
    <row r="28">
      <c r="A28" s="43" t="inlineStr">
        <is>
          <t>Big Game Hunter</t>
        </is>
      </c>
      <c r="B28" s="43" t="inlineStr">
        <is>
          <t>Heavy</t>
        </is>
      </c>
      <c r="C28" s="43" t="inlineStr">
        <is>
          <t>sustain</t>
        </is>
      </c>
      <c r="D28" s="43" t="n">
        <v>4</v>
      </c>
      <c r="E28" s="43" t="inlineStr">
        <is>
          <t>Bipod</t>
        </is>
      </c>
      <c r="F28" s="56">
        <f>ROUND(Tuning!$B$21*POWER(Tuning!$B$22,D28-1),0)</f>
        <v/>
      </c>
      <c r="G28" s="57" t="n"/>
      <c r="H28" s="57" t="n">
        <v>1</v>
      </c>
      <c r="I28" s="57" t="n">
        <v>1</v>
      </c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>
        <v>0.3</v>
      </c>
      <c r="AF28" s="57" t="n"/>
      <c r="AG28" s="57" t="n"/>
      <c r="AH28" s="57" t="n"/>
      <c r="AI28" s="57" t="n"/>
      <c r="BB28" s="81" t="inlineStr">
        <is>
          <t>A</t>
        </is>
      </c>
      <c r="BC28" s="81" t="inlineStr">
        <is>
          <t>Much less kick while you stand still</t>
        </is>
      </c>
    </row>
    <row r="29">
      <c r="A29" s="43" t="inlineStr">
        <is>
          <t>Big Game Hunter</t>
        </is>
      </c>
      <c r="B29" s="43" t="inlineStr">
        <is>
          <t>Heavy</t>
        </is>
      </c>
      <c r="C29" s="43" t="inlineStr">
        <is>
          <t>sustain</t>
        </is>
      </c>
      <c r="D29" s="43" t="n">
        <v>5</v>
      </c>
      <c r="E29" s="43" t="inlineStr">
        <is>
          <t>Spin-Up</t>
        </is>
      </c>
      <c r="F29" s="56">
        <f>ROUND(Tuning!$B$21*POWER(Tuning!$B$22,D29-1),0)</f>
        <v/>
      </c>
      <c r="G29" s="57" t="n"/>
      <c r="H29" s="57" t="n">
        <v>1.294117647059</v>
      </c>
      <c r="I29" s="57" t="n">
        <v>1</v>
      </c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>
        <v>1</v>
      </c>
      <c r="AF29" s="57" t="n">
        <v>2.5</v>
      </c>
      <c r="AG29" s="57" t="n"/>
      <c r="AH29" s="57" t="n"/>
      <c r="AI29" s="57" t="n"/>
      <c r="BB29" s="81" t="inlineStr">
        <is>
          <t>A</t>
        </is>
      </c>
      <c r="BC29" s="81" t="inlineStr">
        <is>
          <t>Fire rate climbs while you hold the trigger</t>
        </is>
      </c>
    </row>
    <row r="30">
      <c r="A30" s="43" t="inlineStr">
        <is>
          <t>Big Game Hunter</t>
        </is>
      </c>
      <c r="B30" s="43" t="inlineStr">
        <is>
          <t>Special Ammo</t>
        </is>
      </c>
      <c r="C30" s="43" t="inlineStr">
        <is>
          <t>rounds</t>
        </is>
      </c>
      <c r="D30" s="43" t="n">
        <v>1</v>
      </c>
      <c r="E30" s="43" t="inlineStr">
        <is>
          <t>Tracer Rounds</t>
        </is>
      </c>
      <c r="F30" s="56">
        <f>ROUND(Tuning!$B$21*POWER(Tuning!$B$22,D30-1),0)</f>
        <v/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>
        <v>10</v>
      </c>
      <c r="AB30" s="57" t="n"/>
      <c r="AC30" s="57" t="n"/>
      <c r="AD30" s="57" t="n"/>
      <c r="AE30" s="57" t="n"/>
      <c r="AF30" s="57" t="n"/>
      <c r="AG30" s="57" t="n"/>
      <c r="AH30" s="57" t="n"/>
      <c r="AI30" s="57" t="n"/>
    </row>
    <row r="31">
      <c r="A31" s="43" t="inlineStr">
        <is>
          <t>Big Game Hunter</t>
        </is>
      </c>
      <c r="B31" s="43" t="inlineStr">
        <is>
          <t>Special Ammo</t>
        </is>
      </c>
      <c r="C31" s="43" t="inlineStr">
        <is>
          <t>rounds</t>
        </is>
      </c>
      <c r="D31" s="43" t="n">
        <v>2</v>
      </c>
      <c r="E31" s="43" t="inlineStr">
        <is>
          <t>Incendiary</t>
        </is>
      </c>
      <c r="F31" s="56">
        <f>ROUND(Tuning!$B$21*POWER(Tuning!$B$22,D31-1),0)</f>
        <v/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>
        <v>1</v>
      </c>
      <c r="X31" s="57" t="n">
        <v>2</v>
      </c>
      <c r="Y31" s="57" t="n"/>
      <c r="Z31" s="57" t="n"/>
      <c r="AA31" s="57" t="n">
        <v>10</v>
      </c>
      <c r="AB31" s="57" t="n"/>
      <c r="AC31" s="57" t="n"/>
      <c r="AD31" s="57" t="n"/>
      <c r="AE31" s="57" t="n"/>
      <c r="AF31" s="57" t="n"/>
      <c r="AG31" s="57" t="n"/>
      <c r="AH31" s="57" t="n"/>
      <c r="AI31" s="57" t="n"/>
    </row>
    <row r="32">
      <c r="A32" s="43" t="inlineStr">
        <is>
          <t>Big Game Hunter</t>
        </is>
      </c>
      <c r="B32" s="43" t="inlineStr">
        <is>
          <t>Special Ammo</t>
        </is>
      </c>
      <c r="C32" s="43" t="inlineStr">
        <is>
          <t>rounds</t>
        </is>
      </c>
      <c r="D32" s="43" t="n">
        <v>3</v>
      </c>
      <c r="E32" s="43" t="inlineStr">
        <is>
          <t>AP Rounds</t>
        </is>
      </c>
      <c r="F32" s="56">
        <f>ROUND(Tuning!$B$21*POWER(Tuning!$B$22,D32-1),0)</f>
        <v/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inlineStr">
        <is>
          <t>Yes</t>
        </is>
      </c>
      <c r="V32" s="57" t="n"/>
      <c r="W32" s="57" t="n">
        <v>1</v>
      </c>
      <c r="X32" s="57" t="n">
        <v>2</v>
      </c>
      <c r="Y32" s="57" t="n"/>
      <c r="Z32" s="57" t="n"/>
      <c r="AA32" s="57" t="n">
        <v>10</v>
      </c>
      <c r="AB32" s="57" t="n"/>
      <c r="AC32" s="57" t="n"/>
      <c r="AD32" s="57" t="n"/>
      <c r="AE32" s="57" t="n"/>
      <c r="AF32" s="57" t="n"/>
      <c r="AG32" s="57" t="n"/>
      <c r="AH32" s="57" t="n"/>
      <c r="AI32" s="57" t="n"/>
    </row>
    <row r="33">
      <c r="A33" s="43" t="inlineStr">
        <is>
          <t>Big Game Hunter</t>
        </is>
      </c>
      <c r="B33" s="43" t="inlineStr">
        <is>
          <t>Special Ammo</t>
        </is>
      </c>
      <c r="C33" s="43" t="inlineStr">
        <is>
          <t>rounds</t>
        </is>
      </c>
      <c r="D33" s="43" t="n">
        <v>4</v>
      </c>
      <c r="E33" s="43" t="inlineStr">
        <is>
          <t>Hot Load</t>
        </is>
      </c>
      <c r="F33" s="56">
        <f>ROUND(Tuning!$B$21*POWER(Tuning!$B$22,D33-1),0)</f>
        <v/>
      </c>
      <c r="G33" s="57" t="n"/>
      <c r="H33" s="57" t="n"/>
      <c r="I33" s="57" t="n"/>
      <c r="J33" s="57" t="n"/>
      <c r="K33" s="57" t="n"/>
      <c r="L33" s="57" t="n">
        <v>1.2</v>
      </c>
      <c r="M33" s="57" t="n">
        <v>1.25</v>
      </c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  <c r="AG33" s="57" t="n"/>
      <c r="AH33" s="57" t="n"/>
      <c r="AI33" s="57" t="n"/>
      <c r="BB33" s="81" t="inlineStr">
        <is>
          <t>A</t>
        </is>
      </c>
      <c r="BC33" s="81" t="inlineStr">
        <is>
          <t>Hits harder and reaches further</t>
        </is>
      </c>
    </row>
    <row r="34">
      <c r="A34" s="43" t="inlineStr">
        <is>
          <t>Big Game Hunter</t>
        </is>
      </c>
      <c r="B34" s="43" t="inlineStr">
        <is>
          <t>Special Ammo</t>
        </is>
      </c>
      <c r="C34" s="43" t="inlineStr">
        <is>
          <t>rounds</t>
        </is>
      </c>
      <c r="D34" s="43" t="n">
        <v>5</v>
      </c>
      <c r="E34" s="43" t="inlineStr">
        <is>
          <t>Explosive Tips</t>
        </is>
      </c>
      <c r="F34" s="56">
        <f>ROUND(Tuning!$B$21*POWER(Tuning!$B$22,D34-1),0)</f>
        <v/>
      </c>
      <c r="G34" s="57" t="n"/>
      <c r="H34" s="57" t="n"/>
      <c r="I34" s="57" t="n"/>
      <c r="J34" s="57" t="n"/>
      <c r="K34" s="57" t="n"/>
      <c r="L34" s="57" t="n">
        <v>1</v>
      </c>
      <c r="M34" s="57" t="n">
        <v>1</v>
      </c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>
        <v>4</v>
      </c>
      <c r="Z34" s="57" t="n"/>
      <c r="AA34" s="57" t="n"/>
      <c r="AB34" s="57" t="n"/>
      <c r="AC34" s="57" t="n"/>
      <c r="AD34" s="57" t="n"/>
      <c r="AE34" s="57" t="n"/>
      <c r="AF34" s="57" t="n"/>
      <c r="AG34" s="57" t="n"/>
      <c r="AH34" s="57" t="n"/>
      <c r="AI34" s="57" t="n"/>
      <c r="BB34" s="81" t="inlineStr">
        <is>
          <t>A</t>
        </is>
      </c>
      <c r="BC34" s="81" t="inlineStr">
        <is>
          <t>Shots burst with a small splash</t>
        </is>
      </c>
    </row>
    <row r="35">
      <c r="A35" s="43" t="inlineStr">
        <is>
          <t>Brush Beater</t>
        </is>
      </c>
      <c r="B35" s="43" t="inlineStr">
        <is>
          <t>Slug</t>
        </is>
      </c>
      <c r="C35" s="43" t="inlineStr">
        <is>
          <t>reach</t>
        </is>
      </c>
      <c r="D35" s="43" t="n">
        <v>1</v>
      </c>
      <c r="E35" s="43" t="inlineStr">
        <is>
          <t>Slug Rounds</t>
        </is>
      </c>
      <c r="F35" s="56">
        <f>ROUND(Tuning!$B$21*POWER(Tuning!$B$22,D35-1),0)</f>
        <v/>
      </c>
      <c r="G35" s="57" t="n"/>
      <c r="H35" s="57" t="n"/>
      <c r="I35" s="57" t="n"/>
      <c r="J35" s="57" t="n">
        <v>0.1</v>
      </c>
      <c r="K35" s="57" t="n"/>
      <c r="L35" s="57" t="n">
        <v>1.8</v>
      </c>
      <c r="M35" s="57" t="n">
        <v>0.67</v>
      </c>
      <c r="N35" s="57" t="n"/>
      <c r="O35" s="57" t="n"/>
      <c r="P35" s="57" t="n"/>
      <c r="Q35" s="57" t="n">
        <v>1</v>
      </c>
      <c r="R35" s="57" t="n"/>
      <c r="S35" s="57" t="n">
        <v>2</v>
      </c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</row>
    <row r="36">
      <c r="A36" s="43" t="inlineStr">
        <is>
          <t>Brush Beater</t>
        </is>
      </c>
      <c r="B36" s="43" t="inlineStr">
        <is>
          <t>Slug</t>
        </is>
      </c>
      <c r="C36" s="43" t="inlineStr">
        <is>
          <t>reach</t>
        </is>
      </c>
      <c r="D36" s="43" t="n">
        <v>2</v>
      </c>
      <c r="E36" s="43" t="inlineStr">
        <is>
          <t>Rifled Barrel</t>
        </is>
      </c>
      <c r="F36" s="56">
        <f>ROUND(Tuning!$B$21*POWER(Tuning!$B$22,D36-1),0)</f>
        <v/>
      </c>
      <c r="G36" s="57" t="n"/>
      <c r="H36" s="57" t="n"/>
      <c r="I36" s="57" t="n"/>
      <c r="J36" s="57" t="n">
        <v>0.1</v>
      </c>
      <c r="K36" s="57" t="n"/>
      <c r="L36" s="57" t="n">
        <v>2.2</v>
      </c>
      <c r="M36" s="57" t="n">
        <v>0.67</v>
      </c>
      <c r="N36" s="57" t="n"/>
      <c r="O36" s="57" t="n"/>
      <c r="P36" s="57" t="n"/>
      <c r="Q36" s="57" t="n">
        <v>1</v>
      </c>
      <c r="R36" s="57" t="n"/>
      <c r="S36" s="57" t="n">
        <v>2</v>
      </c>
      <c r="T36" s="57" t="n"/>
      <c r="U36" s="57" t="n"/>
      <c r="V36" s="57" t="inlineStr">
        <is>
          <t>Yes</t>
        </is>
      </c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</row>
    <row r="37">
      <c r="A37" s="43" t="inlineStr">
        <is>
          <t>Brush Beater</t>
        </is>
      </c>
      <c r="B37" s="43" t="inlineStr">
        <is>
          <t>Slug</t>
        </is>
      </c>
      <c r="C37" s="43" t="inlineStr">
        <is>
          <t>reach</t>
        </is>
      </c>
      <c r="D37" s="43" t="n">
        <v>3</v>
      </c>
      <c r="E37" s="43" t="inlineStr">
        <is>
          <t>Sabot</t>
        </is>
      </c>
      <c r="F37" s="56">
        <f>ROUND(Tuning!$B$21*POWER(Tuning!$B$22,D37-1),0)</f>
        <v/>
      </c>
      <c r="G37" s="57" t="n"/>
      <c r="H37" s="57" t="n"/>
      <c r="I37" s="57" t="n"/>
      <c r="J37" s="57" t="n">
        <v>0.1</v>
      </c>
      <c r="K37" s="57" t="n"/>
      <c r="L37" s="57" t="n">
        <v>2.2</v>
      </c>
      <c r="M37" s="57" t="n">
        <v>0.67</v>
      </c>
      <c r="N37" s="57" t="n"/>
      <c r="O37" s="57" t="n"/>
      <c r="P37" s="57" t="n"/>
      <c r="Q37" s="57" t="n">
        <v>1</v>
      </c>
      <c r="R37" s="57" t="n"/>
      <c r="S37" s="57" t="n">
        <v>2</v>
      </c>
      <c r="T37" s="57" t="n"/>
      <c r="U37" s="57" t="inlineStr">
        <is>
          <t>Yes</t>
        </is>
      </c>
      <c r="V37" s="57" t="inlineStr">
        <is>
          <t>Yes</t>
        </is>
      </c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</row>
    <row r="38">
      <c r="A38" s="43" t="inlineStr">
        <is>
          <t>Brush Beater</t>
        </is>
      </c>
      <c r="B38" s="43" t="inlineStr">
        <is>
          <t>Slug</t>
        </is>
      </c>
      <c r="C38" s="43" t="inlineStr">
        <is>
          <t>reach</t>
        </is>
      </c>
      <c r="D38" s="43" t="n">
        <v>4</v>
      </c>
      <c r="E38" s="43" t="inlineStr">
        <is>
          <t>Long Barrel</t>
        </is>
      </c>
      <c r="F38" s="56">
        <f>ROUND(Tuning!$B$21*POWER(Tuning!$B$22,D38-1),0)</f>
        <v/>
      </c>
      <c r="G38" s="57" t="n"/>
      <c r="H38" s="57" t="n"/>
      <c r="I38" s="57" t="n"/>
      <c r="J38" s="57" t="n">
        <v>0.8</v>
      </c>
      <c r="K38" s="57" t="n"/>
      <c r="L38" s="57" t="n">
        <v>1.181818181818</v>
      </c>
      <c r="M38" s="57" t="n">
        <v>1</v>
      </c>
      <c r="N38" s="57" t="n"/>
      <c r="O38" s="57" t="n"/>
      <c r="P38" s="57" t="n"/>
      <c r="Q38" s="57" t="n"/>
      <c r="R38" s="57" t="n"/>
      <c r="S38" s="57" t="n">
        <v>3</v>
      </c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BB38" s="81" t="inlineStr">
        <is>
          <t>A</t>
        </is>
      </c>
      <c r="BC38" s="81" t="inlineStr">
        <is>
          <t>Tighter, longer slugs that go through 3 dinos</t>
        </is>
      </c>
    </row>
    <row r="39">
      <c r="A39" s="43" t="inlineStr">
        <is>
          <t>Brush Beater</t>
        </is>
      </c>
      <c r="B39" s="43" t="inlineStr">
        <is>
          <t>Slug</t>
        </is>
      </c>
      <c r="C39" s="43" t="inlineStr">
        <is>
          <t>reach</t>
        </is>
      </c>
      <c r="D39" s="43" t="n">
        <v>5</v>
      </c>
      <c r="E39" s="43" t="inlineStr">
        <is>
          <t>Railslug</t>
        </is>
      </c>
      <c r="F39" s="56">
        <f>ROUND(Tuning!$B$21*POWER(Tuning!$B$22,D39-1),0)</f>
        <v/>
      </c>
      <c r="G39" s="57" t="n"/>
      <c r="H39" s="57" t="n"/>
      <c r="I39" s="57" t="n"/>
      <c r="J39" s="57" t="n">
        <v>0.625</v>
      </c>
      <c r="K39" s="57" t="n"/>
      <c r="L39" s="57" t="n">
        <v>1.153846153846</v>
      </c>
      <c r="M39" s="57" t="n">
        <v>1.492537313433</v>
      </c>
      <c r="N39" s="57" t="n"/>
      <c r="O39" s="57" t="n"/>
      <c r="P39" s="57" t="n"/>
      <c r="Q39" s="57" t="n"/>
      <c r="R39" s="57" t="n"/>
      <c r="S39" s="57" t="n">
        <v>6</v>
      </c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  <c r="AG39" s="57" t="n"/>
      <c r="AH39" s="57" t="n"/>
      <c r="AI39" s="57" t="n"/>
      <c r="BB39" s="81" t="inlineStr">
        <is>
          <t>A</t>
        </is>
      </c>
      <c r="BC39" s="81" t="inlineStr">
        <is>
          <t>Slugs go through 6 dinos</t>
        </is>
      </c>
    </row>
    <row r="40">
      <c r="A40" s="43" t="inlineStr">
        <is>
          <t>Brush Beater</t>
        </is>
      </c>
      <c r="B40" s="43" t="inlineStr">
        <is>
          <t>Buckshot</t>
        </is>
      </c>
      <c r="C40" s="43" t="inlineStr">
        <is>
          <t>crowds</t>
        </is>
      </c>
      <c r="D40" s="43" t="n">
        <v>1</v>
      </c>
      <c r="E40" s="43" t="inlineStr">
        <is>
          <t>Tight Choke</t>
        </is>
      </c>
      <c r="F40" s="56">
        <f>ROUND(Tuning!$B$21*POWER(Tuning!$B$22,D40-1),0)</f>
        <v/>
      </c>
      <c r="G40" s="57" t="n"/>
      <c r="H40" s="57" t="n"/>
      <c r="I40" s="57" t="n"/>
      <c r="J40" s="57" t="n">
        <v>0.7</v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7" t="n"/>
      <c r="AH40" s="57" t="n"/>
      <c r="AI40" s="57" t="n"/>
    </row>
    <row r="41">
      <c r="A41" s="43" t="inlineStr">
        <is>
          <t>Brush Beater</t>
        </is>
      </c>
      <c r="B41" s="43" t="inlineStr">
        <is>
          <t>Buckshot</t>
        </is>
      </c>
      <c r="C41" s="43" t="inlineStr">
        <is>
          <t>crowds</t>
        </is>
      </c>
      <c r="D41" s="43" t="n">
        <v>2</v>
      </c>
      <c r="E41" s="43" t="inlineStr">
        <is>
          <t>Extra Pellets</t>
        </is>
      </c>
      <c r="F41" s="56">
        <f>ROUND(Tuning!$B$21*POWER(Tuning!$B$22,D41-1),0)</f>
        <v/>
      </c>
      <c r="G41" s="57" t="n"/>
      <c r="H41" s="57" t="n"/>
      <c r="I41" s="57" t="n"/>
      <c r="J41" s="57" t="n">
        <v>0.7</v>
      </c>
      <c r="K41" s="57" t="n"/>
      <c r="L41" s="57" t="n"/>
      <c r="M41" s="57" t="n"/>
      <c r="N41" s="57" t="n"/>
      <c r="O41" s="57" t="n"/>
      <c r="P41" s="57" t="n"/>
      <c r="Q41" s="57" t="n">
        <v>9</v>
      </c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  <c r="AG41" s="57" t="n"/>
      <c r="AH41" s="57" t="n"/>
      <c r="AI41" s="57" t="n"/>
    </row>
    <row r="42">
      <c r="A42" s="43" t="inlineStr">
        <is>
          <t>Brush Beater</t>
        </is>
      </c>
      <c r="B42" s="43" t="inlineStr">
        <is>
          <t>Buckshot</t>
        </is>
      </c>
      <c r="C42" s="43" t="inlineStr">
        <is>
          <t>crowds</t>
        </is>
      </c>
      <c r="D42" s="43" t="n">
        <v>3</v>
      </c>
      <c r="E42" s="43" t="inlineStr">
        <is>
          <t>Dragon's Breath</t>
        </is>
      </c>
      <c r="F42" s="56">
        <f>ROUND(Tuning!$B$21*POWER(Tuning!$B$22,D42-1),0)</f>
        <v/>
      </c>
      <c r="G42" s="57" t="n"/>
      <c r="H42" s="57" t="n"/>
      <c r="I42" s="57" t="n"/>
      <c r="J42" s="57" t="n">
        <v>0.7</v>
      </c>
      <c r="K42" s="57" t="n"/>
      <c r="L42" s="57" t="n"/>
      <c r="M42" s="57" t="n"/>
      <c r="N42" s="57" t="n"/>
      <c r="O42" s="57" t="n"/>
      <c r="P42" s="57" t="n"/>
      <c r="Q42" s="57" t="n">
        <v>9</v>
      </c>
      <c r="R42" s="57" t="n"/>
      <c r="S42" s="57" t="n"/>
      <c r="T42" s="57" t="n"/>
      <c r="U42" s="57" t="n"/>
      <c r="V42" s="57" t="n"/>
      <c r="W42" s="57" t="n">
        <v>1.5</v>
      </c>
      <c r="X42" s="57" t="n">
        <v>3</v>
      </c>
      <c r="Y42" s="57" t="n"/>
      <c r="Z42" s="57" t="n"/>
      <c r="AA42" s="57" t="n"/>
      <c r="AB42" s="57" t="n"/>
      <c r="AC42" s="57" t="n"/>
      <c r="AD42" s="57" t="n"/>
      <c r="AE42" s="57" t="n"/>
      <c r="AF42" s="57" t="n"/>
      <c r="AG42" s="57" t="n"/>
      <c r="AH42" s="57" t="n">
        <v>1.5</v>
      </c>
      <c r="AI42" s="57" t="n">
        <v>0.35</v>
      </c>
    </row>
    <row r="43">
      <c r="A43" s="43" t="inlineStr">
        <is>
          <t>Brush Beater</t>
        </is>
      </c>
      <c r="B43" s="43" t="inlineStr">
        <is>
          <t>Buckshot</t>
        </is>
      </c>
      <c r="C43" s="43" t="inlineStr">
        <is>
          <t>crowds</t>
        </is>
      </c>
      <c r="D43" s="43" t="n">
        <v>4</v>
      </c>
      <c r="E43" s="43" t="inlineStr">
        <is>
          <t>Auto-Loader</t>
        </is>
      </c>
      <c r="F43" s="56">
        <f>ROUND(Tuning!$B$21*POWER(Tuning!$B$22,D43-1),0)</f>
        <v/>
      </c>
      <c r="G43" s="57" t="n">
        <v>1.6</v>
      </c>
      <c r="H43" s="57" t="n"/>
      <c r="I43" s="57" t="n">
        <v>0.8</v>
      </c>
      <c r="J43" s="57" t="n">
        <v>1</v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  <c r="AG43" s="57" t="n"/>
      <c r="AH43" s="57" t="n"/>
      <c r="AI43" s="57" t="n"/>
      <c r="BB43" s="81" t="inlineStr">
        <is>
          <t>A</t>
        </is>
      </c>
      <c r="BC43" s="81" t="inlineStr">
        <is>
          <t>Fires faster and reloads quicker</t>
        </is>
      </c>
    </row>
    <row r="44">
      <c r="A44" s="43" t="inlineStr">
        <is>
          <t>Brush Beater</t>
        </is>
      </c>
      <c r="B44" s="43" t="inlineStr">
        <is>
          <t>Buckshot</t>
        </is>
      </c>
      <c r="C44" s="43" t="inlineStr">
        <is>
          <t>crowds</t>
        </is>
      </c>
      <c r="D44" s="43" t="n">
        <v>5</v>
      </c>
      <c r="E44" s="43" t="inlineStr">
        <is>
          <t>Thicket Sweeper</t>
        </is>
      </c>
      <c r="F44" s="56">
        <f>ROUND(Tuning!$B$21*POWER(Tuning!$B$22,D44-1),0)</f>
        <v/>
      </c>
      <c r="G44" s="57" t="n">
        <v>1.375</v>
      </c>
      <c r="H44" s="57" t="n">
        <v>2</v>
      </c>
      <c r="I44" s="57" t="n">
        <v>1</v>
      </c>
      <c r="J44" s="57" t="n">
        <v>1</v>
      </c>
      <c r="K44" s="57" t="n"/>
      <c r="L44" s="57" t="n"/>
      <c r="M44" s="57" t="n"/>
      <c r="N44" s="57" t="inlineStr">
        <is>
          <t>auto</t>
        </is>
      </c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  <c r="AG44" s="57" t="n"/>
      <c r="AH44" s="57" t="n"/>
      <c r="AI44" s="57" t="n"/>
      <c r="BB44" s="81" t="inlineStr">
        <is>
          <t>A</t>
        </is>
      </c>
      <c r="BC44" s="81" t="inlineStr">
        <is>
          <t>A full-auto drum</t>
        </is>
      </c>
    </row>
    <row r="45">
      <c r="A45" s="43" t="inlineStr">
        <is>
          <t>Brush Beater</t>
        </is>
      </c>
      <c r="B45" s="43" t="inlineStr">
        <is>
          <t>Point Blank</t>
        </is>
      </c>
      <c r="C45" s="43" t="inlineStr">
        <is>
          <t>burst</t>
        </is>
      </c>
      <c r="D45" s="43" t="n">
        <v>1</v>
      </c>
      <c r="E45" s="43" t="inlineStr">
        <is>
          <t>Speed Shells</t>
        </is>
      </c>
      <c r="F45" s="56">
        <f>ROUND(Tuning!$B$21*POWER(Tuning!$B$22,D45-1),0)</f>
        <v/>
      </c>
      <c r="G45" s="57" t="n"/>
      <c r="H45" s="57" t="n"/>
      <c r="I45" s="57" t="n">
        <v>0.6</v>
      </c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  <c r="AG45" s="57" t="n"/>
      <c r="AH45" s="57" t="n"/>
      <c r="AI45" s="57" t="n"/>
    </row>
    <row r="46">
      <c r="A46" s="43" t="inlineStr">
        <is>
          <t>Brush Beater</t>
        </is>
      </c>
      <c r="B46" s="43" t="inlineStr">
        <is>
          <t>Point Blank</t>
        </is>
      </c>
      <c r="C46" s="43" t="inlineStr">
        <is>
          <t>burst</t>
        </is>
      </c>
      <c r="D46" s="43" t="n">
        <v>2</v>
      </c>
      <c r="E46" s="43" t="inlineStr">
        <is>
          <t>Extended Tube</t>
        </is>
      </c>
      <c r="F46" s="56">
        <f>ROUND(Tuning!$B$21*POWER(Tuning!$B$22,D46-1),0)</f>
        <v/>
      </c>
      <c r="G46" s="57" t="n"/>
      <c r="H46" s="57" t="n">
        <v>1.5</v>
      </c>
      <c r="I46" s="57" t="n">
        <v>0.6</v>
      </c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  <c r="AG46" s="57" t="n"/>
      <c r="AH46" s="57" t="n"/>
      <c r="AI46" s="57" t="n"/>
    </row>
    <row r="47">
      <c r="A47" s="43" t="inlineStr">
        <is>
          <t>Brush Beater</t>
        </is>
      </c>
      <c r="B47" s="43" t="inlineStr">
        <is>
          <t>Point Blank</t>
        </is>
      </c>
      <c r="C47" s="43" t="inlineStr">
        <is>
          <t>burst</t>
        </is>
      </c>
      <c r="D47" s="43" t="n">
        <v>3</v>
      </c>
      <c r="E47" s="43" t="inlineStr">
        <is>
          <t>Double Barrel</t>
        </is>
      </c>
      <c r="F47" s="56">
        <f>ROUND(Tuning!$B$21*POWER(Tuning!$B$22,D47-1),0)</f>
        <v/>
      </c>
      <c r="G47" s="57" t="n"/>
      <c r="H47" s="57" t="n">
        <v>1.5</v>
      </c>
      <c r="I47" s="57" t="n">
        <v>0.6</v>
      </c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>
        <v>2</v>
      </c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  <c r="AG47" s="57" t="n"/>
      <c r="AH47" s="57" t="n"/>
      <c r="AI47" s="57" t="n"/>
    </row>
    <row r="48">
      <c r="A48" s="43" t="inlineStr">
        <is>
          <t>Brush Beater</t>
        </is>
      </c>
      <c r="B48" s="43" t="inlineStr">
        <is>
          <t>Point Blank</t>
        </is>
      </c>
      <c r="C48" s="43" t="inlineStr">
        <is>
          <t>burst</t>
        </is>
      </c>
      <c r="D48" s="43" t="n">
        <v>4</v>
      </c>
      <c r="E48" s="43" t="inlineStr">
        <is>
          <t>Kickback</t>
        </is>
      </c>
      <c r="F48" s="56">
        <f>ROUND(Tuning!$B$21*POWER(Tuning!$B$22,D48-1),0)</f>
        <v/>
      </c>
      <c r="G48" s="57" t="n"/>
      <c r="H48" s="57" t="n">
        <v>1</v>
      </c>
      <c r="I48" s="57" t="n">
        <v>1</v>
      </c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>
        <v>4</v>
      </c>
      <c r="AA48" s="57" t="n"/>
      <c r="AB48" s="57" t="n"/>
      <c r="AC48" s="57" t="n"/>
      <c r="AD48" s="57" t="n"/>
      <c r="AE48" s="57" t="n"/>
      <c r="AF48" s="57" t="n"/>
      <c r="AG48" s="57" t="n"/>
      <c r="AH48" s="57" t="n"/>
      <c r="AI48" s="57" t="n"/>
      <c r="BB48" s="81" t="inlineStr">
        <is>
          <t>A</t>
        </is>
      </c>
      <c r="BC48" s="81" t="inlineStr">
        <is>
          <t>Blasts knock dinos back</t>
        </is>
      </c>
    </row>
    <row r="49">
      <c r="A49" s="43" t="inlineStr">
        <is>
          <t>Brush Beater</t>
        </is>
      </c>
      <c r="B49" s="43" t="inlineStr">
        <is>
          <t>Point Blank</t>
        </is>
      </c>
      <c r="C49" s="43" t="inlineStr">
        <is>
          <t>burst</t>
        </is>
      </c>
      <c r="D49" s="43" t="n">
        <v>5</v>
      </c>
      <c r="E49" s="43" t="inlineStr">
        <is>
          <t>Frag Shells</t>
        </is>
      </c>
      <c r="F49" s="56">
        <f>ROUND(Tuning!$B$21*POWER(Tuning!$B$22,D49-1),0)</f>
        <v/>
      </c>
      <c r="G49" s="57" t="n"/>
      <c r="H49" s="57" t="n">
        <v>1</v>
      </c>
      <c r="I49" s="57" t="n">
        <v>1</v>
      </c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>
        <v>5</v>
      </c>
      <c r="Z49" s="57" t="n"/>
      <c r="AA49" s="57" t="n"/>
      <c r="AB49" s="57" t="n"/>
      <c r="AC49" s="57" t="n"/>
      <c r="AD49" s="57" t="n"/>
      <c r="AE49" s="57" t="n"/>
      <c r="AF49" s="57" t="n"/>
      <c r="AG49" s="57" t="n"/>
      <c r="AH49" s="57" t="n"/>
      <c r="AI49" s="57" t="n"/>
      <c r="BB49" s="81" t="inlineStr">
        <is>
          <t>A</t>
        </is>
      </c>
      <c r="BC49" s="81" t="inlineStr">
        <is>
          <t>Shells explode on impact</t>
        </is>
      </c>
    </row>
    <row r="50">
      <c r="A50" s="43" t="inlineStr">
        <is>
          <t>Field Medic</t>
        </is>
      </c>
      <c r="B50" s="43" t="inlineStr">
        <is>
          <t>Triage</t>
        </is>
      </c>
      <c r="C50" s="43" t="inlineStr">
        <is>
          <t>ability</t>
        </is>
      </c>
      <c r="D50" s="43" t="n">
        <v>1</v>
      </c>
      <c r="E50" s="43" t="inlineStr">
        <is>
          <t>Clean Bandages</t>
        </is>
      </c>
      <c r="F50" s="56">
        <f>ROUND(Tuning!$B$21*POWER(Tuning!$B$22,D50-1),0)</f>
        <v/>
      </c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  <c r="AG50" s="57" t="n"/>
      <c r="AH50" s="57" t="n"/>
      <c r="AI50" s="57" t="n"/>
      <c r="AJ50" s="81" t="n">
        <v>1.25</v>
      </c>
    </row>
    <row r="51">
      <c r="A51" s="43" t="inlineStr">
        <is>
          <t>Field Medic</t>
        </is>
      </c>
      <c r="B51" s="43" t="inlineStr">
        <is>
          <t>Triage</t>
        </is>
      </c>
      <c r="C51" s="43" t="inlineStr">
        <is>
          <t>ability</t>
        </is>
      </c>
      <c r="D51" s="43" t="n">
        <v>2</v>
      </c>
      <c r="E51" s="43" t="inlineStr">
        <is>
          <t>Belt Pouch</t>
        </is>
      </c>
      <c r="F51" s="56">
        <f>ROUND(Tuning!$B$21*POWER(Tuning!$B$22,D51-1),0)</f>
        <v/>
      </c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>
        <v>0.8</v>
      </c>
      <c r="AD51" s="57" t="n"/>
      <c r="AE51" s="57" t="n"/>
      <c r="AF51" s="57" t="n"/>
      <c r="AG51" s="57" t="n"/>
      <c r="AH51" s="57" t="n"/>
      <c r="AI51" s="57" t="n"/>
      <c r="AJ51" s="81" t="n">
        <v>1.25</v>
      </c>
    </row>
    <row r="52">
      <c r="A52" s="43" t="inlineStr">
        <is>
          <t>Field Medic</t>
        </is>
      </c>
      <c r="B52" s="43" t="inlineStr">
        <is>
          <t>Triage</t>
        </is>
      </c>
      <c r="C52" s="43" t="inlineStr">
        <is>
          <t>ability</t>
        </is>
      </c>
      <c r="D52" s="43" t="n">
        <v>3</v>
      </c>
      <c r="E52" s="43" t="inlineStr">
        <is>
          <t>Patch Up</t>
        </is>
      </c>
      <c r="F52" s="56">
        <f>ROUND(Tuning!$B$21*POWER(Tuning!$B$22,D52-1),0)</f>
        <v/>
      </c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>
        <v>0.8</v>
      </c>
      <c r="AD52" s="57" t="n"/>
      <c r="AE52" s="57" t="n"/>
      <c r="AF52" s="57" t="n"/>
      <c r="AG52" s="57" t="n"/>
      <c r="AH52" s="57" t="n"/>
      <c r="AI52" s="57" t="n"/>
      <c r="AJ52" s="81" t="n">
        <v>1.25</v>
      </c>
      <c r="AL52" s="81" t="inlineStr">
        <is>
          <t>Yes</t>
        </is>
      </c>
    </row>
    <row r="53">
      <c r="A53" s="43" t="inlineStr">
        <is>
          <t>Field Medic</t>
        </is>
      </c>
      <c r="B53" s="43" t="inlineStr">
        <is>
          <t>Triage</t>
        </is>
      </c>
      <c r="C53" s="43" t="inlineStr">
        <is>
          <t>ability</t>
        </is>
      </c>
      <c r="D53" s="43" t="n">
        <v>4</v>
      </c>
      <c r="E53" s="43" t="inlineStr">
        <is>
          <t>Triage Tent</t>
        </is>
      </c>
      <c r="F53" s="56">
        <f>ROUND(Tuning!$B$21*POWER(Tuning!$B$22,D53-1),0)</f>
        <v/>
      </c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>
        <v>1</v>
      </c>
      <c r="AD53" s="57" t="n"/>
      <c r="AE53" s="57" t="n"/>
      <c r="AF53" s="57" t="n"/>
      <c r="AG53" s="57" t="n"/>
      <c r="AH53" s="57" t="n"/>
      <c r="AI53" s="57" t="n"/>
      <c r="AJ53" s="81" t="n">
        <v>1</v>
      </c>
      <c r="AK53" s="81" t="n">
        <v>1.5</v>
      </c>
      <c r="AL53" s="81" t="n"/>
      <c r="BB53" s="81" t="inlineStr">
        <is>
          <t>A</t>
        </is>
      </c>
      <c r="BC53" s="81" t="inlineStr">
        <is>
          <t>Your Triage Kit heals a wider area</t>
        </is>
      </c>
    </row>
    <row r="54">
      <c r="A54" s="43" t="inlineStr">
        <is>
          <t>Field Medic</t>
        </is>
      </c>
      <c r="B54" s="43" t="inlineStr">
        <is>
          <t>Triage</t>
        </is>
      </c>
      <c r="C54" s="43" t="inlineStr">
        <is>
          <t>ability</t>
        </is>
      </c>
      <c r="D54" s="43" t="n">
        <v>5</v>
      </c>
      <c r="E54" s="43" t="inlineStr">
        <is>
          <t>Second Wind</t>
        </is>
      </c>
      <c r="F54" s="56">
        <f>ROUND(Tuning!$B$21*POWER(Tuning!$B$22,D54-1),0)</f>
        <v/>
      </c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>
        <v>1</v>
      </c>
      <c r="AD54" s="57" t="n"/>
      <c r="AE54" s="57" t="n"/>
      <c r="AF54" s="57" t="n"/>
      <c r="AG54" s="57" t="n"/>
      <c r="AH54" s="57" t="n"/>
      <c r="AI54" s="57" t="n"/>
      <c r="AJ54" s="81" t="n">
        <v>1</v>
      </c>
      <c r="AK54" s="81" t="n">
        <v>1</v>
      </c>
      <c r="AL54" s="81" t="n"/>
      <c r="AM54" s="81" t="n">
        <v>30</v>
      </c>
      <c r="AN54" s="81" t="n">
        <v>8</v>
      </c>
      <c r="BB54" s="81" t="inlineStr">
        <is>
          <t>A</t>
        </is>
      </c>
      <c r="BC54" s="81" t="inlineStr">
        <is>
          <t>Everyone you heal takes less damage for a while</t>
        </is>
      </c>
    </row>
    <row r="55">
      <c r="A55" s="43" t="inlineStr">
        <is>
          <t>Field Medic</t>
        </is>
      </c>
      <c r="B55" s="43" t="inlineStr">
        <is>
          <t>Lever Action</t>
        </is>
      </c>
      <c r="C55" s="43" t="inlineStr">
        <is>
          <t>handling</t>
        </is>
      </c>
      <c r="D55" s="43" t="n">
        <v>1</v>
      </c>
      <c r="E55" s="43" t="inlineStr">
        <is>
          <t>Oiled Lever</t>
        </is>
      </c>
      <c r="F55" s="56">
        <f>ROUND(Tuning!$B$21*POWER(Tuning!$B$22,D55-1),0)</f>
        <v/>
      </c>
      <c r="G55" s="57" t="n">
        <v>1.2</v>
      </c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  <c r="AG55" s="57" t="n"/>
      <c r="AH55" s="57" t="n"/>
      <c r="AI55" s="57" t="n"/>
    </row>
    <row r="56">
      <c r="A56" s="43" t="inlineStr">
        <is>
          <t>Field Medic</t>
        </is>
      </c>
      <c r="B56" s="43" t="inlineStr">
        <is>
          <t>Lever Action</t>
        </is>
      </c>
      <c r="C56" s="43" t="inlineStr">
        <is>
          <t>handling</t>
        </is>
      </c>
      <c r="D56" s="43" t="n">
        <v>2</v>
      </c>
      <c r="E56" s="43" t="inlineStr">
        <is>
          <t>Loading Gate</t>
        </is>
      </c>
      <c r="F56" s="56">
        <f>ROUND(Tuning!$B$21*POWER(Tuning!$B$22,D56-1),0)</f>
        <v/>
      </c>
      <c r="G56" s="57" t="n">
        <v>1.2</v>
      </c>
      <c r="H56" s="57" t="n">
        <v>1.5</v>
      </c>
      <c r="I56" s="57" t="n">
        <v>0.75</v>
      </c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  <c r="AG56" s="57" t="n"/>
      <c r="AH56" s="57" t="n"/>
      <c r="AI56" s="57" t="n"/>
    </row>
    <row r="57">
      <c r="A57" s="43" t="inlineStr">
        <is>
          <t>Field Medic</t>
        </is>
      </c>
      <c r="B57" s="43" t="inlineStr">
        <is>
          <t>Lever Action</t>
        </is>
      </c>
      <c r="C57" s="43" t="inlineStr">
        <is>
          <t>handling</t>
        </is>
      </c>
      <c r="D57" s="43" t="n">
        <v>3</v>
      </c>
      <c r="E57" s="43" t="inlineStr">
        <is>
          <t>Rapid Cycle</t>
        </is>
      </c>
      <c r="F57" s="56">
        <f>ROUND(Tuning!$B$21*POWER(Tuning!$B$22,D57-1),0)</f>
        <v/>
      </c>
      <c r="G57" s="57" t="n">
        <v>1.2</v>
      </c>
      <c r="H57" s="57" t="n">
        <v>1.5</v>
      </c>
      <c r="I57" s="57" t="n">
        <v>0.75</v>
      </c>
      <c r="J57" s="57" t="n"/>
      <c r="K57" s="57" t="n"/>
      <c r="L57" s="57" t="n"/>
      <c r="M57" s="57" t="n"/>
      <c r="N57" s="57" t="inlineStr">
        <is>
          <t>burst</t>
        </is>
      </c>
      <c r="O57" s="57" t="n">
        <v>2</v>
      </c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  <c r="AG57" s="57" t="n"/>
      <c r="AH57" s="57" t="n"/>
      <c r="AI57" s="57" t="n"/>
    </row>
    <row r="58">
      <c r="A58" s="43" t="inlineStr">
        <is>
          <t>Field Medic</t>
        </is>
      </c>
      <c r="B58" s="43" t="inlineStr">
        <is>
          <t>Lever Action</t>
        </is>
      </c>
      <c r="C58" s="43" t="inlineStr">
        <is>
          <t>handling</t>
        </is>
      </c>
      <c r="D58" s="43" t="n">
        <v>4</v>
      </c>
      <c r="E58" s="43" t="inlineStr">
        <is>
          <t>Smooth Action</t>
        </is>
      </c>
      <c r="F58" s="56">
        <f>ROUND(Tuning!$B$21*POWER(Tuning!$B$22,D58-1),0)</f>
        <v/>
      </c>
      <c r="G58" s="57" t="n">
        <v>1</v>
      </c>
      <c r="H58" s="57" t="n">
        <v>1</v>
      </c>
      <c r="I58" s="57" t="n">
        <v>1</v>
      </c>
      <c r="J58" s="57" t="n"/>
      <c r="K58" s="57" t="n">
        <v>0.5</v>
      </c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  <c r="AG58" s="57" t="n"/>
      <c r="AH58" s="57" t="n"/>
      <c r="AI58" s="57" t="n"/>
      <c r="BB58" s="81" t="inlineStr">
        <is>
          <t>A</t>
        </is>
      </c>
      <c r="BC58" s="81" t="inlineStr">
        <is>
          <t>Half the kick</t>
        </is>
      </c>
    </row>
    <row r="59">
      <c r="A59" s="43" t="inlineStr">
        <is>
          <t>Field Medic</t>
        </is>
      </c>
      <c r="B59" s="43" t="inlineStr">
        <is>
          <t>Lever Action</t>
        </is>
      </c>
      <c r="C59" s="43" t="inlineStr">
        <is>
          <t>handling</t>
        </is>
      </c>
      <c r="D59" s="43" t="n">
        <v>5</v>
      </c>
      <c r="E59" s="43" t="inlineStr">
        <is>
          <t>Runaway Lever</t>
        </is>
      </c>
      <c r="F59" s="56">
        <f>ROUND(Tuning!$B$21*POWER(Tuning!$B$22,D59-1),0)</f>
        <v/>
      </c>
      <c r="G59" s="57" t="n">
        <v>1.333333333333</v>
      </c>
      <c r="H59" s="57" t="n">
        <v>1</v>
      </c>
      <c r="I59" s="57" t="n">
        <v>1</v>
      </c>
      <c r="J59" s="57" t="n"/>
      <c r="K59" s="57" t="n">
        <v>1</v>
      </c>
      <c r="L59" s="57" t="n"/>
      <c r="M59" s="57" t="n"/>
      <c r="N59" s="57" t="inlineStr">
        <is>
          <t>auto</t>
        </is>
      </c>
      <c r="O59" s="57" t="n">
        <v>0</v>
      </c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  <c r="AG59" s="57" t="n"/>
      <c r="AH59" s="57" t="n"/>
      <c r="AI59" s="57" t="n"/>
      <c r="BB59" s="81" t="inlineStr">
        <is>
          <t>A</t>
        </is>
      </c>
      <c r="BC59" s="81" t="inlineStr">
        <is>
          <t>Goes full auto</t>
        </is>
      </c>
    </row>
    <row r="60">
      <c r="A60" s="43" t="inlineStr">
        <is>
          <t>Field Medic</t>
        </is>
      </c>
      <c r="B60" s="43" t="inlineStr">
        <is>
          <t>Muzzle</t>
        </is>
      </c>
      <c r="C60" s="43" t="inlineStr">
        <is>
          <t>protective rounds</t>
        </is>
      </c>
      <c r="D60" s="43" t="n">
        <v>1</v>
      </c>
      <c r="E60" s="43" t="inlineStr">
        <is>
          <t>Tranq Tips</t>
        </is>
      </c>
      <c r="F60" s="56">
        <f>ROUND(Tuning!$B$21*POWER(Tuning!$B$22,D60-1),0)</f>
        <v/>
      </c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  <c r="AG60" s="57" t="n"/>
      <c r="AH60" s="57" t="n"/>
      <c r="AI60" s="57" t="n"/>
      <c r="AO60" s="81" t="n">
        <v>20</v>
      </c>
      <c r="AP60" s="81" t="n">
        <v>1</v>
      </c>
    </row>
    <row r="61">
      <c r="A61" s="43" t="inlineStr">
        <is>
          <t>Field Medic</t>
        </is>
      </c>
      <c r="B61" s="43" t="inlineStr">
        <is>
          <t>Muzzle</t>
        </is>
      </c>
      <c r="C61" s="43" t="inlineStr">
        <is>
          <t>protective rounds</t>
        </is>
      </c>
      <c r="D61" s="43" t="n">
        <v>2</v>
      </c>
      <c r="E61" s="43" t="inlineStr">
        <is>
          <t>Double Dose</t>
        </is>
      </c>
      <c r="F61" s="56">
        <f>ROUND(Tuning!$B$21*POWER(Tuning!$B$22,D61-1),0)</f>
        <v/>
      </c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  <c r="AG61" s="57" t="n"/>
      <c r="AH61" s="57" t="n"/>
      <c r="AI61" s="57" t="n"/>
      <c r="AO61" s="81" t="n">
        <v>30</v>
      </c>
      <c r="AP61" s="81" t="n">
        <v>1.5</v>
      </c>
    </row>
    <row r="62">
      <c r="A62" s="43" t="inlineStr">
        <is>
          <t>Field Medic</t>
        </is>
      </c>
      <c r="B62" s="43" t="inlineStr">
        <is>
          <t>Muzzle</t>
        </is>
      </c>
      <c r="C62" s="43" t="inlineStr">
        <is>
          <t>protective rounds</t>
        </is>
      </c>
      <c r="D62" s="43" t="n">
        <v>3</v>
      </c>
      <c r="E62" s="43" t="inlineStr">
        <is>
          <t>Jaw Lock</t>
        </is>
      </c>
      <c r="F62" s="56">
        <f>ROUND(Tuning!$B$21*POWER(Tuning!$B$22,D62-1),0)</f>
        <v/>
      </c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57" t="n"/>
      <c r="AG62" s="57" t="n"/>
      <c r="AH62" s="57" t="n"/>
      <c r="AI62" s="57" t="n"/>
      <c r="AO62" s="81" t="n">
        <v>30</v>
      </c>
      <c r="AP62" s="81" t="n">
        <v>1.5</v>
      </c>
      <c r="AQ62" s="81" t="n">
        <v>2</v>
      </c>
    </row>
    <row r="63">
      <c r="A63" s="43" t="inlineStr">
        <is>
          <t>Field Medic</t>
        </is>
      </c>
      <c r="B63" s="43" t="inlineStr">
        <is>
          <t>Muzzle</t>
        </is>
      </c>
      <c r="C63" s="43" t="inlineStr">
        <is>
          <t>protective rounds</t>
        </is>
      </c>
      <c r="D63" s="43" t="n">
        <v>4</v>
      </c>
      <c r="E63" s="43" t="inlineStr">
        <is>
          <t>Long Dose</t>
        </is>
      </c>
      <c r="F63" s="56">
        <f>ROUND(Tuning!$B$21*POWER(Tuning!$B$22,D63-1),0)</f>
        <v/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  <c r="AG63" s="57" t="n"/>
      <c r="AH63" s="57" t="n"/>
      <c r="AI63" s="57" t="n"/>
      <c r="AO63" s="81" t="n"/>
      <c r="AP63" s="81" t="n"/>
      <c r="AQ63" s="81" t="n">
        <v>3</v>
      </c>
      <c r="BB63" s="81" t="inlineStr">
        <is>
          <t>A</t>
        </is>
      </c>
      <c r="BC63" s="81" t="inlineStr">
        <is>
          <t>Jaw Lock keeps a dino's jaws shut for longer</t>
        </is>
      </c>
    </row>
    <row r="64">
      <c r="A64" s="43" t="inlineStr">
        <is>
          <t>Field Medic</t>
        </is>
      </c>
      <c r="B64" s="43" t="inlineStr">
        <is>
          <t>Muzzle</t>
        </is>
      </c>
      <c r="C64" s="43" t="inlineStr">
        <is>
          <t>protective rounds</t>
        </is>
      </c>
      <c r="D64" s="43" t="n">
        <v>5</v>
      </c>
      <c r="E64" s="43" t="inlineStr">
        <is>
          <t>Lullaby Rounds</t>
        </is>
      </c>
      <c r="F64" s="56">
        <f>ROUND(Tuning!$B$21*POWER(Tuning!$B$22,D64-1),0)</f>
        <v/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  <c r="AE64" s="57" t="n"/>
      <c r="AF64" s="57" t="n"/>
      <c r="AG64" s="57" t="n"/>
      <c r="AH64" s="57" t="n"/>
      <c r="AI64" s="57" t="n"/>
      <c r="AO64" s="81" t="n"/>
      <c r="AP64" s="81" t="n"/>
      <c r="AQ64" s="81" t="n"/>
      <c r="AR64" s="81" t="n">
        <v>6</v>
      </c>
      <c r="BB64" s="81" t="inlineStr">
        <is>
          <t>A</t>
        </is>
      </c>
      <c r="BC64" s="81" t="inlineStr">
        <is>
          <t>Jaw Lock spreads to nearby dinos</t>
        </is>
      </c>
    </row>
    <row r="65">
      <c r="A65" s="43" t="inlineStr">
        <is>
          <t>Tracker</t>
        </is>
      </c>
      <c r="B65" s="43" t="inlineStr">
        <is>
          <t>Gunslinger</t>
        </is>
      </c>
      <c r="C65" s="43" t="inlineStr">
        <is>
          <t>handling</t>
        </is>
      </c>
      <c r="D65" s="43" t="n">
        <v>6</v>
      </c>
      <c r="E65" s="43" t="inlineStr">
        <is>
          <t>Hot Swap</t>
        </is>
      </c>
      <c r="F65" s="56">
        <f>ROUND(Tuning!$B$21*POWER(Tuning!$B$22,D65-1),0)</f>
        <v/>
      </c>
      <c r="G65" s="57" t="n">
        <v>1</v>
      </c>
      <c r="H65" s="57" t="n">
        <v>1</v>
      </c>
      <c r="I65" s="57" t="n">
        <v>0.8</v>
      </c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  <c r="AG65" s="57" t="n"/>
      <c r="AH65" s="57" t="n"/>
      <c r="AI65" s="57" t="n"/>
      <c r="AU65" s="81" t="inlineStr">
        <is>
          <t>Yes</t>
        </is>
      </c>
    </row>
    <row r="66">
      <c r="A66" s="43" t="inlineStr">
        <is>
          <t>Tracker</t>
        </is>
      </c>
      <c r="B66" s="43" t="inlineStr">
        <is>
          <t>Marksman</t>
        </is>
      </c>
      <c r="C66" s="43" t="inlineStr">
        <is>
          <t>accuracy</t>
        </is>
      </c>
      <c r="D66" s="43" t="n">
        <v>6</v>
      </c>
      <c r="E66" s="43" t="inlineStr">
        <is>
          <t>Heart Shot</t>
        </is>
      </c>
      <c r="F66" s="56">
        <f>ROUND(Tuning!$B$21*POWER(Tuning!$B$22,D66-1),0)</f>
        <v/>
      </c>
      <c r="G66" s="57" t="n"/>
      <c r="H66" s="57" t="n"/>
      <c r="I66" s="57" t="n"/>
      <c r="J66" s="57" t="n">
        <v>1</v>
      </c>
      <c r="K66" s="57" t="n">
        <v>1</v>
      </c>
      <c r="L66" s="57" t="n">
        <v>1</v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>
        <v>1</v>
      </c>
      <c r="AC66" s="57" t="n"/>
      <c r="AD66" s="57" t="n"/>
      <c r="AE66" s="57" t="n"/>
      <c r="AF66" s="57" t="n"/>
      <c r="AG66" s="57" t="n"/>
      <c r="AH66" s="57" t="n"/>
      <c r="AI66" s="57" t="n"/>
      <c r="AS66" s="81" t="n">
        <v>2</v>
      </c>
      <c r="AZ66" s="81" t="n">
        <v>0</v>
      </c>
    </row>
    <row r="67">
      <c r="A67" s="43" t="inlineStr">
        <is>
          <t>Tracker</t>
        </is>
      </c>
      <c r="B67" s="43" t="inlineStr">
        <is>
          <t>Trick Shot</t>
        </is>
      </c>
      <c r="C67" s="43" t="inlineStr">
        <is>
          <t>utility</t>
        </is>
      </c>
      <c r="D67" s="43" t="n">
        <v>6</v>
      </c>
      <c r="E67" s="43" t="inlineStr">
        <is>
          <t>Bounce Back</t>
        </is>
      </c>
      <c r="F67" s="56">
        <f>ROUND(Tuning!$B$21*POWER(Tuning!$B$22,D67-1),0)</f>
        <v/>
      </c>
      <c r="G67" s="57" t="n"/>
      <c r="H67" s="57" t="n">
        <v>1</v>
      </c>
      <c r="I67" s="57" t="n">
        <v>1</v>
      </c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>
        <v>1</v>
      </c>
      <c r="AD67" s="57" t="n"/>
      <c r="AE67" s="57" t="n"/>
      <c r="AF67" s="57" t="n"/>
      <c r="AG67" s="57" t="n"/>
      <c r="AH67" s="57" t="n"/>
      <c r="AI67" s="57" t="n"/>
      <c r="AV67" s="81" t="n">
        <v>1</v>
      </c>
    </row>
    <row r="68">
      <c r="A68" s="43" t="inlineStr">
        <is>
          <t>Big Game Hunter</t>
        </is>
      </c>
      <c r="B68" s="43" t="inlineStr">
        <is>
          <t>Stalker</t>
        </is>
      </c>
      <c r="C68" s="43" t="inlineStr">
        <is>
          <t>control</t>
        </is>
      </c>
      <c r="D68" s="43" t="n">
        <v>6</v>
      </c>
      <c r="E68" s="43" t="inlineStr">
        <is>
          <t>Big Five</t>
        </is>
      </c>
      <c r="F68" s="56">
        <f>ROUND(Tuning!$B$21*POWER(Tuning!$B$22,D68-1),0)</f>
        <v/>
      </c>
      <c r="G68" s="57" t="n">
        <v>1</v>
      </c>
      <c r="H68" s="57" t="n"/>
      <c r="I68" s="57" t="n"/>
      <c r="J68" s="57" t="n">
        <v>1</v>
      </c>
      <c r="K68" s="57" t="n">
        <v>1</v>
      </c>
      <c r="L68" s="57" t="n">
        <v>1</v>
      </c>
      <c r="M68" s="57" t="n">
        <v>1</v>
      </c>
      <c r="N68" s="57" t="n"/>
      <c r="O68" s="57" t="n">
        <v>5</v>
      </c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  <c r="AG68" s="57" t="n"/>
      <c r="AH68" s="57" t="n"/>
      <c r="AI68" s="57" t="n"/>
      <c r="AW68" s="81" t="inlineStr">
        <is>
          <t>Yes</t>
        </is>
      </c>
    </row>
    <row r="69">
      <c r="A69" s="43" t="inlineStr">
        <is>
          <t>Big Game Hunter</t>
        </is>
      </c>
      <c r="B69" s="43" t="inlineStr">
        <is>
          <t>Heavy</t>
        </is>
      </c>
      <c r="C69" s="43" t="inlineStr">
        <is>
          <t>sustain</t>
        </is>
      </c>
      <c r="D69" s="43" t="n">
        <v>6</v>
      </c>
      <c r="E69" s="43" t="inlineStr">
        <is>
          <t>Endless Belt</t>
        </is>
      </c>
      <c r="F69" s="56">
        <f>ROUND(Tuning!$B$21*POWER(Tuning!$B$22,D69-1),0)</f>
        <v/>
      </c>
      <c r="G69" s="57" t="n"/>
      <c r="H69" s="57" t="n">
        <v>1</v>
      </c>
      <c r="I69" s="57" t="n">
        <v>1</v>
      </c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>
        <v>1</v>
      </c>
      <c r="AF69" s="57" t="n">
        <v>1</v>
      </c>
      <c r="AG69" s="57" t="n"/>
      <c r="AH69" s="57" t="n"/>
      <c r="AI69" s="57" t="n"/>
      <c r="AX69" s="81" t="inlineStr">
        <is>
          <t>Yes</t>
        </is>
      </c>
    </row>
    <row r="70">
      <c r="A70" s="43" t="inlineStr">
        <is>
          <t>Big Game Hunter</t>
        </is>
      </c>
      <c r="B70" s="43" t="inlineStr">
        <is>
          <t>Special Ammo</t>
        </is>
      </c>
      <c r="C70" s="43" t="inlineStr">
        <is>
          <t>rounds</t>
        </is>
      </c>
      <c r="D70" s="43" t="n">
        <v>6</v>
      </c>
      <c r="E70" s="43" t="inlineStr">
        <is>
          <t>Dynamite Rounds</t>
        </is>
      </c>
      <c r="F70" s="56">
        <f>ROUND(Tuning!$B$21*POWER(Tuning!$B$22,D70-1),0)</f>
        <v/>
      </c>
      <c r="G70" s="57" t="n"/>
      <c r="H70" s="57" t="n"/>
      <c r="I70" s="57" t="n"/>
      <c r="J70" s="57" t="n"/>
      <c r="K70" s="57" t="n"/>
      <c r="L70" s="57" t="n">
        <v>1</v>
      </c>
      <c r="M70" s="57" t="n">
        <v>1</v>
      </c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>
        <v>6</v>
      </c>
      <c r="Z70" s="57" t="n"/>
      <c r="AA70" s="57" t="n"/>
      <c r="AB70" s="57" t="n"/>
      <c r="AC70" s="57" t="n"/>
      <c r="AD70" s="57" t="n"/>
      <c r="AE70" s="57" t="n"/>
      <c r="AF70" s="57" t="n"/>
      <c r="AG70" s="57" t="n"/>
      <c r="AH70" s="57" t="n"/>
      <c r="AI70" s="57" t="n"/>
    </row>
    <row r="71">
      <c r="A71" s="43" t="inlineStr">
        <is>
          <t>Brush Beater</t>
        </is>
      </c>
      <c r="B71" s="43" t="inlineStr">
        <is>
          <t>Slug</t>
        </is>
      </c>
      <c r="C71" s="43" t="inlineStr">
        <is>
          <t>reach</t>
        </is>
      </c>
      <c r="D71" s="43" t="n">
        <v>6</v>
      </c>
      <c r="E71" s="43" t="inlineStr">
        <is>
          <t>Thunder Slug</t>
        </is>
      </c>
      <c r="F71" s="56">
        <f>ROUND(Tuning!$B$21*POWER(Tuning!$B$22,D71-1),0)</f>
        <v/>
      </c>
      <c r="G71" s="57" t="n"/>
      <c r="H71" s="57" t="n"/>
      <c r="I71" s="57" t="n"/>
      <c r="J71" s="57" t="n">
        <v>1</v>
      </c>
      <c r="K71" s="57" t="n"/>
      <c r="L71" s="57" t="n">
        <v>1</v>
      </c>
      <c r="M71" s="57" t="n">
        <v>1</v>
      </c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  <c r="AG71" s="57" t="n"/>
      <c r="AH71" s="57" t="n"/>
      <c r="AI71" s="57" t="n"/>
      <c r="AS71" s="81" t="n">
        <v>2</v>
      </c>
      <c r="AY71" s="81" t="n">
        <v>0</v>
      </c>
    </row>
    <row r="72">
      <c r="A72" s="43" t="inlineStr">
        <is>
          <t>Brush Beater</t>
        </is>
      </c>
      <c r="B72" s="43" t="inlineStr">
        <is>
          <t>Buckshot</t>
        </is>
      </c>
      <c r="C72" s="43" t="inlineStr">
        <is>
          <t>crowds</t>
        </is>
      </c>
      <c r="D72" s="43" t="n">
        <v>6</v>
      </c>
      <c r="E72" s="43" t="inlineStr">
        <is>
          <t>Wildfire Drum</t>
        </is>
      </c>
      <c r="F72" s="56">
        <f>ROUND(Tuning!$B$21*POWER(Tuning!$B$22,D72-1),0)</f>
        <v/>
      </c>
      <c r="G72" s="57" t="n">
        <v>1</v>
      </c>
      <c r="H72" s="57" t="n">
        <v>1.5</v>
      </c>
      <c r="I72" s="57" t="n">
        <v>1</v>
      </c>
      <c r="J72" s="57" t="n">
        <v>1</v>
      </c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  <c r="AG72" s="57" t="n"/>
      <c r="AH72" s="57" t="n"/>
      <c r="AI72" s="57" t="n"/>
      <c r="AT72" s="81" t="n">
        <v>4</v>
      </c>
    </row>
    <row r="73">
      <c r="A73" s="43" t="inlineStr">
        <is>
          <t>Brush Beater</t>
        </is>
      </c>
      <c r="B73" s="43" t="inlineStr">
        <is>
          <t>Point Blank</t>
        </is>
      </c>
      <c r="C73" s="43" t="inlineStr">
        <is>
          <t>burst</t>
        </is>
      </c>
      <c r="D73" s="43" t="n">
        <v>6</v>
      </c>
      <c r="E73" s="43" t="inlineStr">
        <is>
          <t>Quad Barrel</t>
        </is>
      </c>
      <c r="F73" s="56">
        <f>ROUND(Tuning!$B$21*POWER(Tuning!$B$22,D73-1),0)</f>
        <v/>
      </c>
      <c r="G73" s="57" t="n"/>
      <c r="H73" s="57" t="n">
        <v>1</v>
      </c>
      <c r="I73" s="57" t="n">
        <v>1.25</v>
      </c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>
        <v>4</v>
      </c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  <c r="AG73" s="57" t="n"/>
      <c r="AH73" s="57" t="n"/>
      <c r="AI73" s="57" t="n"/>
    </row>
    <row r="74">
      <c r="A74" s="43" t="inlineStr">
        <is>
          <t>Field Medic</t>
        </is>
      </c>
      <c r="B74" s="43" t="inlineStr">
        <is>
          <t>Triage</t>
        </is>
      </c>
      <c r="C74" s="43" t="inlineStr">
        <is>
          <t>ability</t>
        </is>
      </c>
      <c r="D74" s="43" t="n">
        <v>6</v>
      </c>
      <c r="E74" s="43" t="inlineStr">
        <is>
          <t>Rapid Response</t>
        </is>
      </c>
      <c r="F74" s="56">
        <f>ROUND(Tuning!$B$21*POWER(Tuning!$B$22,D74-1),0)</f>
        <v/>
      </c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>
        <v>1</v>
      </c>
      <c r="AD74" s="57" t="n"/>
      <c r="AE74" s="57" t="n"/>
      <c r="AF74" s="57" t="n"/>
      <c r="AG74" s="57" t="n"/>
      <c r="AH74" s="57" t="n"/>
      <c r="AI74" s="57" t="n"/>
      <c r="AJ74" s="81" t="n">
        <v>1</v>
      </c>
      <c r="AK74" s="81" t="n">
        <v>1</v>
      </c>
      <c r="AL74" s="81" t="n"/>
      <c r="AM74" s="81" t="n"/>
      <c r="AN74" s="81" t="n"/>
      <c r="BA74" s="81" t="n">
        <v>2</v>
      </c>
    </row>
    <row r="75">
      <c r="A75" s="43" t="inlineStr">
        <is>
          <t>Field Medic</t>
        </is>
      </c>
      <c r="B75" s="43" t="inlineStr">
        <is>
          <t>Lever Action</t>
        </is>
      </c>
      <c r="C75" s="43" t="inlineStr">
        <is>
          <t>handling</t>
        </is>
      </c>
      <c r="D75" s="43" t="n">
        <v>6</v>
      </c>
      <c r="E75" s="43" t="inlineStr">
        <is>
          <t>Bottomless Tube</t>
        </is>
      </c>
      <c r="F75" s="56">
        <f>ROUND(Tuning!$B$21*POWER(Tuning!$B$22,D75-1),0)</f>
        <v/>
      </c>
      <c r="G75" s="57" t="n">
        <v>1</v>
      </c>
      <c r="H75" s="57" t="n">
        <v>1.5</v>
      </c>
      <c r="I75" s="57" t="n">
        <v>0.5</v>
      </c>
      <c r="J75" s="57" t="n"/>
      <c r="K75" s="57" t="n">
        <v>1</v>
      </c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  <c r="AG75" s="57" t="n"/>
      <c r="AH75" s="57" t="n"/>
      <c r="AI75" s="57" t="n"/>
    </row>
    <row r="76">
      <c r="A76" s="43" t="inlineStr">
        <is>
          <t>Field Medic</t>
        </is>
      </c>
      <c r="B76" s="43" t="inlineStr">
        <is>
          <t>Muzzle</t>
        </is>
      </c>
      <c r="C76" s="43" t="inlineStr">
        <is>
          <t>protective rounds</t>
        </is>
      </c>
      <c r="D76" s="43" t="n">
        <v>6</v>
      </c>
      <c r="E76" s="43" t="inlineStr">
        <is>
          <t>Lights Out</t>
        </is>
      </c>
      <c r="F76" s="56">
        <f>ROUND(Tuning!$B$21*POWER(Tuning!$B$22,D76-1),0)</f>
        <v/>
      </c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  <c r="AG76" s="57" t="n"/>
      <c r="AH76" s="57" t="n"/>
      <c r="AI76" s="57" t="n"/>
      <c r="AO76" s="81" t="n"/>
      <c r="AP76" s="81" t="n"/>
      <c r="AQ76" s="81" t="n">
        <v>4</v>
      </c>
      <c r="AR76" s="81" t="n">
        <v>9</v>
      </c>
    </row>
    <row r="77">
      <c r="A77" s="43" t="inlineStr">
        <is>
          <t>Tracker</t>
        </is>
      </c>
      <c r="B77" s="43" t="inlineStr">
        <is>
          <t>Gunslinger</t>
        </is>
      </c>
      <c r="C77" s="43" t="inlineStr">
        <is>
          <t>handling</t>
        </is>
      </c>
      <c r="D77" s="43" t="n">
        <v>4</v>
      </c>
      <c r="E77" s="43" t="inlineStr">
        <is>
          <t>Deep Cylinders</t>
        </is>
      </c>
      <c r="F77" s="56">
        <f>F8</f>
        <v/>
      </c>
      <c r="G77" s="57" t="n">
        <v>1.15</v>
      </c>
      <c r="H77" s="57" t="n">
        <v>1.5</v>
      </c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  <c r="AG77" s="57" t="n"/>
      <c r="AH77" s="57" t="n"/>
      <c r="AI77" s="57" t="n"/>
      <c r="BB77" s="81" t="inlineStr">
        <is>
          <t>B</t>
        </is>
      </c>
      <c r="BC77" s="81" t="inlineStr">
        <is>
          <t>Both guns hold 50% more and fire 15% faster</t>
        </is>
      </c>
    </row>
    <row r="78">
      <c r="A78" s="43" t="inlineStr">
        <is>
          <t>Tracker</t>
        </is>
      </c>
      <c r="B78" s="43" t="inlineStr">
        <is>
          <t>Gunslinger</t>
        </is>
      </c>
      <c r="C78" s="43" t="inlineStr">
        <is>
          <t>handling</t>
        </is>
      </c>
      <c r="D78" s="43" t="n">
        <v>4</v>
      </c>
      <c r="E78" s="43" t="inlineStr">
        <is>
          <t>Crossdraw</t>
        </is>
      </c>
      <c r="F78" s="56">
        <f>F8</f>
        <v/>
      </c>
      <c r="G78" s="57" t="n">
        <v>1.15</v>
      </c>
      <c r="H78" s="57" t="n"/>
      <c r="I78" s="57" t="n">
        <v>0.65</v>
      </c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  <c r="AA78" s="57" t="n"/>
      <c r="AB78" s="57" t="n"/>
      <c r="AC78" s="57" t="n"/>
      <c r="AD78" s="57" t="n"/>
      <c r="AE78" s="57" t="n"/>
      <c r="AF78" s="57" t="n"/>
      <c r="AG78" s="57" t="n"/>
      <c r="AH78" s="57" t="n"/>
      <c r="AI78" s="57" t="n"/>
      <c r="BB78" s="81" t="inlineStr">
        <is>
          <t>C</t>
        </is>
      </c>
      <c r="BC78" s="81" t="inlineStr">
        <is>
          <t>Reload 35% faster, fire 15% faster</t>
        </is>
      </c>
    </row>
    <row r="79">
      <c r="A79" s="43" t="inlineStr">
        <is>
          <t>Tracker</t>
        </is>
      </c>
      <c r="B79" s="43" t="inlineStr">
        <is>
          <t>Gunslinger</t>
        </is>
      </c>
      <c r="C79" s="43" t="inlineStr">
        <is>
          <t>handling</t>
        </is>
      </c>
      <c r="D79" s="43" t="n">
        <v>5</v>
      </c>
      <c r="E79" s="43" t="inlineStr">
        <is>
          <t>Twin Burst</t>
        </is>
      </c>
      <c r="F79" s="56">
        <f>F9</f>
        <v/>
      </c>
      <c r="G79" s="57" t="n">
        <v>1.3</v>
      </c>
      <c r="H79" s="57" t="n">
        <v>1.3</v>
      </c>
      <c r="I79" s="57" t="n"/>
      <c r="J79" s="57" t="n"/>
      <c r="K79" s="57" t="n"/>
      <c r="L79" s="57" t="n"/>
      <c r="M79" s="57" t="n"/>
      <c r="N79" s="57" t="inlineStr">
        <is>
          <t>burst</t>
        </is>
      </c>
      <c r="O79" s="57" t="n">
        <v>3</v>
      </c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  <c r="AG79" s="57" t="n"/>
      <c r="AH79" s="57" t="n"/>
      <c r="AI79" s="57" t="n"/>
      <c r="BB79" s="81" t="inlineStr">
        <is>
          <t>B</t>
        </is>
      </c>
      <c r="BC79" s="81" t="inlineStr">
        <is>
          <t>Each click fires a 3-round burst, 30% faster</t>
        </is>
      </c>
    </row>
    <row r="80">
      <c r="A80" s="43" t="inlineStr">
        <is>
          <t>Tracker</t>
        </is>
      </c>
      <c r="B80" s="43" t="inlineStr">
        <is>
          <t>Gunslinger</t>
        </is>
      </c>
      <c r="C80" s="43" t="inlineStr">
        <is>
          <t>handling</t>
        </is>
      </c>
      <c r="D80" s="43" t="n">
        <v>5</v>
      </c>
      <c r="E80" s="43" t="inlineStr">
        <is>
          <t>Steady Pair</t>
        </is>
      </c>
      <c r="F80" s="56">
        <f>F9</f>
        <v/>
      </c>
      <c r="G80" s="57" t="n">
        <v>1.1</v>
      </c>
      <c r="H80" s="57" t="n"/>
      <c r="I80" s="57" t="n"/>
      <c r="J80" s="57" t="n">
        <v>0.8</v>
      </c>
      <c r="K80" s="57" t="n">
        <v>0.5</v>
      </c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  <c r="AG80" s="57" t="n"/>
      <c r="AH80" s="57" t="n"/>
      <c r="AI80" s="57" t="n"/>
      <c r="BB80" s="81" t="inlineStr">
        <is>
          <t>C</t>
        </is>
      </c>
      <c r="BC80" s="81" t="inlineStr">
        <is>
          <t>Half the kick, tighter aim, 10% faster</t>
        </is>
      </c>
    </row>
    <row r="81">
      <c r="A81" s="43" t="inlineStr">
        <is>
          <t>Tracker</t>
        </is>
      </c>
      <c r="B81" s="43" t="inlineStr">
        <is>
          <t>Marksman</t>
        </is>
      </c>
      <c r="C81" s="43" t="inlineStr">
        <is>
          <t>accuracy</t>
        </is>
      </c>
      <c r="D81" s="43" t="n">
        <v>4</v>
      </c>
      <c r="E81" s="43" t="inlineStr">
        <is>
          <t>Quick Cock</t>
        </is>
      </c>
      <c r="F81" s="56">
        <f>F13</f>
        <v/>
      </c>
      <c r="G81" s="57" t="n">
        <v>1.2</v>
      </c>
      <c r="H81" s="57" t="n"/>
      <c r="I81" s="57" t="n"/>
      <c r="J81" s="57" t="n"/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  <c r="AG81" s="57" t="n"/>
      <c r="AH81" s="57" t="n"/>
      <c r="AI81" s="57" t="n"/>
      <c r="BB81" s="81" t="inlineStr">
        <is>
          <t>B</t>
        </is>
      </c>
      <c r="BC81" s="81" t="inlineStr">
        <is>
          <t>Fire 20% faster, scope and all</t>
        </is>
      </c>
    </row>
    <row r="82">
      <c r="A82" s="43" t="inlineStr">
        <is>
          <t>Tracker</t>
        </is>
      </c>
      <c r="B82" s="43" t="inlineStr">
        <is>
          <t>Marksman</t>
        </is>
      </c>
      <c r="C82" s="43" t="inlineStr">
        <is>
          <t>accuracy</t>
        </is>
      </c>
      <c r="D82" s="43" t="n">
        <v>4</v>
      </c>
      <c r="E82" s="43" t="inlineStr">
        <is>
          <t>Breath Control</t>
        </is>
      </c>
      <c r="F82" s="56">
        <f>F13</f>
        <v/>
      </c>
      <c r="G82" s="57" t="n"/>
      <c r="H82" s="57" t="n"/>
      <c r="I82" s="57" t="n"/>
      <c r="J82" s="57" t="n"/>
      <c r="K82" s="57" t="n">
        <v>0.5</v>
      </c>
      <c r="L82" s="57" t="n">
        <v>1.35</v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  <c r="AG82" s="57" t="n"/>
      <c r="AH82" s="57" t="n"/>
      <c r="AI82" s="57" t="n"/>
      <c r="BB82" s="81" t="inlineStr">
        <is>
          <t>C</t>
        </is>
      </c>
      <c r="BC82" s="81" t="inlineStr">
        <is>
          <t>Half the kick; the scope reaches 35% further</t>
        </is>
      </c>
    </row>
    <row r="83">
      <c r="A83" s="43" t="inlineStr">
        <is>
          <t>Tracker</t>
        </is>
      </c>
      <c r="B83" s="43" t="inlineStr">
        <is>
          <t>Marksman</t>
        </is>
      </c>
      <c r="C83" s="43" t="inlineStr">
        <is>
          <t>accuracy</t>
        </is>
      </c>
      <c r="D83" s="43" t="n">
        <v>5</v>
      </c>
      <c r="E83" s="43" t="inlineStr">
        <is>
          <t>Quick Scope</t>
        </is>
      </c>
      <c r="F83" s="56">
        <f>F14</f>
        <v/>
      </c>
      <c r="G83" s="57" t="n">
        <v>1.7</v>
      </c>
      <c r="H83" s="57" t="n"/>
      <c r="I83" s="57" t="n"/>
      <c r="J83" s="57" t="n"/>
      <c r="K83" s="57" t="n">
        <v>0.7</v>
      </c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  <c r="AG83" s="57" t="n"/>
      <c r="AH83" s="57" t="n"/>
      <c r="AI83" s="57" t="n"/>
      <c r="BB83" s="81" t="inlineStr">
        <is>
          <t>B</t>
        </is>
      </c>
      <c r="BC83" s="81" t="inlineStr">
        <is>
          <t>Fire 70% faster with 30% less kick</t>
        </is>
      </c>
    </row>
    <row r="84">
      <c r="A84" s="43" t="inlineStr">
        <is>
          <t>Tracker</t>
        </is>
      </c>
      <c r="B84" s="43" t="inlineStr">
        <is>
          <t>Marksman</t>
        </is>
      </c>
      <c r="C84" s="43" t="inlineStr">
        <is>
          <t>accuracy</t>
        </is>
      </c>
      <c r="D84" s="43" t="n">
        <v>5</v>
      </c>
      <c r="E84" s="43" t="inlineStr">
        <is>
          <t>Hunter's Mark</t>
        </is>
      </c>
      <c r="F84" s="56">
        <f>F14</f>
        <v/>
      </c>
      <c r="G84" s="57" t="n"/>
      <c r="H84" s="57" t="n"/>
      <c r="I84" s="57" t="n"/>
      <c r="J84" s="57" t="n">
        <v>0.8</v>
      </c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  <c r="AA84" s="57" t="n">
        <v>35</v>
      </c>
      <c r="AB84" s="57" t="n"/>
      <c r="AC84" s="57" t="n"/>
      <c r="AD84" s="57" t="n"/>
      <c r="AE84" s="57" t="n"/>
      <c r="AF84" s="57" t="n"/>
      <c r="AG84" s="57" t="n"/>
      <c r="AH84" s="57" t="n"/>
      <c r="AI84" s="57" t="n"/>
      <c r="BB84" s="81" t="inlineStr">
        <is>
          <t>C</t>
        </is>
      </c>
      <c r="BC84" s="81" t="inlineStr">
        <is>
          <t>Hits mark dinos: +35% from everything</t>
        </is>
      </c>
    </row>
    <row r="85">
      <c r="A85" s="43" t="inlineStr">
        <is>
          <t>Tracker</t>
        </is>
      </c>
      <c r="B85" s="43" t="inlineStr">
        <is>
          <t>Trick Shot</t>
        </is>
      </c>
      <c r="C85" s="43" t="inlineStr">
        <is>
          <t>utility</t>
        </is>
      </c>
      <c r="D85" s="43" t="n">
        <v>4</v>
      </c>
      <c r="E85" s="43" t="inlineStr">
        <is>
          <t>Bank Shot</t>
        </is>
      </c>
      <c r="F85" s="56">
        <f>F18</f>
        <v/>
      </c>
      <c r="G85" s="57" t="n"/>
      <c r="H85" s="57" t="n"/>
      <c r="I85" s="57" t="n"/>
      <c r="J85" s="57" t="n"/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>
        <v>2</v>
      </c>
      <c r="U85" s="57" t="n"/>
      <c r="V85" s="57" t="n"/>
      <c r="W85" s="57" t="n"/>
      <c r="X85" s="57" t="n"/>
      <c r="Y85" s="57" t="n"/>
      <c r="Z85" s="57" t="n"/>
      <c r="AA85" s="57" t="n"/>
      <c r="AB85" s="57" t="n"/>
      <c r="AC85" s="57" t="n"/>
      <c r="AD85" s="57" t="n"/>
      <c r="AE85" s="57" t="n"/>
      <c r="AF85" s="57" t="n"/>
      <c r="AG85" s="57" t="n"/>
      <c r="AH85" s="57" t="n"/>
      <c r="AI85" s="57" t="n"/>
      <c r="BB85" s="81" t="inlineStr">
        <is>
          <t>B</t>
        </is>
      </c>
      <c r="BC85" s="81" t="inlineStr">
        <is>
          <t>Ricochets bounce twice</t>
        </is>
      </c>
    </row>
    <row r="86">
      <c r="A86" s="43" t="inlineStr">
        <is>
          <t>Tracker</t>
        </is>
      </c>
      <c r="B86" s="43" t="inlineStr">
        <is>
          <t>Trick Shot</t>
        </is>
      </c>
      <c r="C86" s="43" t="inlineStr">
        <is>
          <t>utility</t>
        </is>
      </c>
      <c r="D86" s="43" t="n">
        <v>4</v>
      </c>
      <c r="E86" s="43" t="inlineStr">
        <is>
          <t>Quick Fingers</t>
        </is>
      </c>
      <c r="F86" s="56">
        <f>F18</f>
        <v/>
      </c>
      <c r="G86" s="57" t="n">
        <v>1.07</v>
      </c>
      <c r="H86" s="57" t="n"/>
      <c r="I86" s="57" t="n">
        <v>0.7</v>
      </c>
      <c r="J86" s="57" t="n"/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  <c r="AA86" s="57" t="n"/>
      <c r="AB86" s="57" t="n"/>
      <c r="AC86" s="57" t="n"/>
      <c r="AD86" s="57" t="n"/>
      <c r="AE86" s="57" t="n"/>
      <c r="AF86" s="57" t="n"/>
      <c r="AG86" s="57" t="n"/>
      <c r="AH86" s="57" t="n"/>
      <c r="AI86" s="57" t="n"/>
      <c r="BB86" s="81" t="inlineStr">
        <is>
          <t>C</t>
        </is>
      </c>
      <c r="BC86" s="81" t="inlineStr">
        <is>
          <t>Reload 30% faster, fire a bit faster</t>
        </is>
      </c>
    </row>
    <row r="87">
      <c r="A87" s="43" t="inlineStr">
        <is>
          <t>Tracker</t>
        </is>
      </c>
      <c r="B87" s="43" t="inlineStr">
        <is>
          <t>Trick Shot</t>
        </is>
      </c>
      <c r="C87" s="43" t="inlineStr">
        <is>
          <t>utility</t>
        </is>
      </c>
      <c r="D87" s="43" t="n">
        <v>5</v>
      </c>
      <c r="E87" s="43" t="inlineStr">
        <is>
          <t>Pinball</t>
        </is>
      </c>
      <c r="F87" s="56">
        <f>F19</f>
        <v/>
      </c>
      <c r="G87" s="57" t="n">
        <v>1.17</v>
      </c>
      <c r="H87" s="57" t="n">
        <v>1.5</v>
      </c>
      <c r="I87" s="57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>
        <v>3</v>
      </c>
      <c r="U87" s="57" t="n"/>
      <c r="V87" s="57" t="n"/>
      <c r="W87" s="57" t="n"/>
      <c r="X87" s="57" t="n"/>
      <c r="Y87" s="57" t="n"/>
      <c r="Z87" s="57" t="n"/>
      <c r="AA87" s="57" t="n"/>
      <c r="AB87" s="57" t="n"/>
      <c r="AC87" s="57" t="n"/>
      <c r="AD87" s="57" t="n"/>
      <c r="AE87" s="57" t="n"/>
      <c r="AF87" s="57" t="n"/>
      <c r="AG87" s="57" t="n"/>
      <c r="AH87" s="57" t="n"/>
      <c r="AI87" s="57" t="n"/>
      <c r="BB87" s="81" t="inlineStr">
        <is>
          <t>B</t>
        </is>
      </c>
      <c r="BC87" s="81" t="inlineStr">
        <is>
          <t>3 bounces, a bigger cylinder, faster shots</t>
        </is>
      </c>
    </row>
    <row r="88">
      <c r="A88" s="43" t="inlineStr">
        <is>
          <t>Tracker</t>
        </is>
      </c>
      <c r="B88" s="43" t="inlineStr">
        <is>
          <t>Trick Shot</t>
        </is>
      </c>
      <c r="C88" s="43" t="inlineStr">
        <is>
          <t>utility</t>
        </is>
      </c>
      <c r="D88" s="43" t="n">
        <v>5</v>
      </c>
      <c r="E88" s="43" t="inlineStr">
        <is>
          <t>Dart Storm</t>
        </is>
      </c>
      <c r="F88" s="56">
        <f>F19</f>
        <v/>
      </c>
      <c r="G88" s="57" t="n">
        <v>1.15</v>
      </c>
      <c r="H88" s="57" t="n"/>
      <c r="I88" s="57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>
        <v>3</v>
      </c>
      <c r="U88" s="57" t="n"/>
      <c r="V88" s="57" t="n"/>
      <c r="W88" s="57" t="n"/>
      <c r="X88" s="57" t="n"/>
      <c r="Y88" s="57" t="n"/>
      <c r="Z88" s="57" t="n"/>
      <c r="AA88" s="57" t="n"/>
      <c r="AB88" s="57" t="n"/>
      <c r="AC88" s="57" t="n">
        <v>0.75</v>
      </c>
      <c r="AD88" s="57" t="n"/>
      <c r="AE88" s="57" t="n"/>
      <c r="AF88" s="57" t="n"/>
      <c r="AG88" s="57" t="n"/>
      <c r="AH88" s="57" t="n"/>
      <c r="AI88" s="57" t="n"/>
      <c r="BB88" s="81" t="inlineStr">
        <is>
          <t>C</t>
        </is>
      </c>
      <c r="BC88" s="81" t="inlineStr">
        <is>
          <t>3 bounces, faster shots, Tracking Dart sooner</t>
        </is>
      </c>
    </row>
    <row r="89">
      <c r="A89" s="43" t="inlineStr">
        <is>
          <t>Big Game Hunter</t>
        </is>
      </c>
      <c r="B89" s="43" t="inlineStr">
        <is>
          <t>Stalker</t>
        </is>
      </c>
      <c r="C89" s="43" t="inlineStr">
        <is>
          <t>control</t>
        </is>
      </c>
      <c r="D89" s="43" t="n">
        <v>4</v>
      </c>
      <c r="E89" s="43" t="inlineStr">
        <is>
          <t>Snap Bursts</t>
        </is>
      </c>
      <c r="F89" s="56">
        <f>F23</f>
        <v/>
      </c>
      <c r="G89" s="57" t="n">
        <v>1.2</v>
      </c>
      <c r="H89" s="57" t="n"/>
      <c r="I89" s="57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7" t="n"/>
      <c r="AB89" s="57" t="n"/>
      <c r="AC89" s="57" t="n"/>
      <c r="AD89" s="57" t="n"/>
      <c r="AE89" s="57" t="n"/>
      <c r="AF89" s="57" t="n"/>
      <c r="AG89" s="57" t="n"/>
      <c r="AH89" s="57" t="n"/>
      <c r="AI89" s="57" t="n"/>
      <c r="BB89" s="81" t="inlineStr">
        <is>
          <t>B</t>
        </is>
      </c>
      <c r="BC89" s="81" t="inlineStr">
        <is>
          <t>Bursts come 20% faster</t>
        </is>
      </c>
    </row>
    <row r="90">
      <c r="A90" s="43" t="inlineStr">
        <is>
          <t>Big Game Hunter</t>
        </is>
      </c>
      <c r="B90" s="43" t="inlineStr">
        <is>
          <t>Stalker</t>
        </is>
      </c>
      <c r="C90" s="43" t="inlineStr">
        <is>
          <t>control</t>
        </is>
      </c>
      <c r="D90" s="43" t="n">
        <v>4</v>
      </c>
      <c r="E90" s="43" t="inlineStr">
        <is>
          <t>Quick Mag</t>
        </is>
      </c>
      <c r="F90" s="56">
        <f>F23</f>
        <v/>
      </c>
      <c r="G90" s="57" t="n"/>
      <c r="H90" s="57" t="n"/>
      <c r="I90" s="57" t="n">
        <v>0.75</v>
      </c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  <c r="AG90" s="57" t="n"/>
      <c r="AH90" s="57" t="n"/>
      <c r="AI90" s="57" t="n"/>
      <c r="BB90" s="81" t="inlineStr">
        <is>
          <t>C</t>
        </is>
      </c>
      <c r="BC90" s="81" t="inlineStr">
        <is>
          <t>Reload 25% faster</t>
        </is>
      </c>
    </row>
    <row r="91">
      <c r="A91" s="43" t="inlineStr">
        <is>
          <t>Big Game Hunter</t>
        </is>
      </c>
      <c r="B91" s="43" t="inlineStr">
        <is>
          <t>Stalker</t>
        </is>
      </c>
      <c r="C91" s="43" t="inlineStr">
        <is>
          <t>control</t>
        </is>
      </c>
      <c r="D91" s="43" t="n">
        <v>5</v>
      </c>
      <c r="E91" s="43" t="inlineStr">
        <is>
          <t>Marking Burst</t>
        </is>
      </c>
      <c r="F91" s="56">
        <f>F24</f>
        <v/>
      </c>
      <c r="G91" s="57" t="n">
        <v>1.1</v>
      </c>
      <c r="H91" s="57" t="n">
        <v>1.3</v>
      </c>
      <c r="I91" s="57" t="n"/>
      <c r="J91" s="57" t="n"/>
      <c r="K91" s="57" t="n"/>
      <c r="L91" s="57" t="n"/>
      <c r="M91" s="57" t="n"/>
      <c r="N91" s="57" t="n"/>
      <c r="O91" s="57" t="n">
        <v>4</v>
      </c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7" t="n">
        <v>25</v>
      </c>
      <c r="AB91" s="57" t="n"/>
      <c r="AC91" s="57" t="n"/>
      <c r="AD91" s="57" t="n"/>
      <c r="AE91" s="57" t="n"/>
      <c r="AF91" s="57" t="n"/>
      <c r="AG91" s="57" t="n"/>
      <c r="AH91" s="57" t="n"/>
      <c r="AI91" s="57" t="n"/>
      <c r="BB91" s="81" t="inlineStr">
        <is>
          <t>B</t>
        </is>
      </c>
      <c r="BC91" s="81" t="inlineStr">
        <is>
          <t>4-round bursts that mark: +25% from everything</t>
        </is>
      </c>
    </row>
    <row r="92">
      <c r="A92" s="43" t="inlineStr">
        <is>
          <t>Big Game Hunter</t>
        </is>
      </c>
      <c r="B92" s="43" t="inlineStr">
        <is>
          <t>Stalker</t>
        </is>
      </c>
      <c r="C92" s="43" t="inlineStr">
        <is>
          <t>control</t>
        </is>
      </c>
      <c r="D92" s="43" t="n">
        <v>5</v>
      </c>
      <c r="E92" s="43" t="inlineStr">
        <is>
          <t>Rapid Volley</t>
        </is>
      </c>
      <c r="F92" s="56">
        <f>F24</f>
        <v/>
      </c>
      <c r="G92" s="57" t="n">
        <v>1.35</v>
      </c>
      <c r="H92" s="57" t="n">
        <v>1.5</v>
      </c>
      <c r="I92" s="57" t="n"/>
      <c r="J92" s="57" t="n"/>
      <c r="K92" s="57" t="n">
        <v>0.5</v>
      </c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  <c r="AG92" s="57" t="n"/>
      <c r="AH92" s="57" t="n"/>
      <c r="AI92" s="57" t="n"/>
      <c r="BB92" s="81" t="inlineStr">
        <is>
          <t>C</t>
        </is>
      </c>
      <c r="BC92" s="81" t="inlineStr">
        <is>
          <t>Bursts 35% faster, half the kick, bigger mag</t>
        </is>
      </c>
    </row>
    <row r="93">
      <c r="A93" s="43" t="inlineStr">
        <is>
          <t>Big Game Hunter</t>
        </is>
      </c>
      <c r="B93" s="43" t="inlineStr">
        <is>
          <t>Heavy</t>
        </is>
      </c>
      <c r="C93" s="43" t="inlineStr">
        <is>
          <t>sustain</t>
        </is>
      </c>
      <c r="D93" s="43" t="n">
        <v>4</v>
      </c>
      <c r="E93" s="43" t="inlineStr">
        <is>
          <t>Steady Sling</t>
        </is>
      </c>
      <c r="F93" s="56">
        <f>F28</f>
        <v/>
      </c>
      <c r="G93" s="57" t="n"/>
      <c r="H93" s="57" t="n"/>
      <c r="I93" s="57" t="n"/>
      <c r="J93" s="57" t="n"/>
      <c r="K93" s="57" t="n">
        <v>0.65</v>
      </c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  <c r="AG93" s="57" t="n"/>
      <c r="AH93" s="57" t="n"/>
      <c r="AI93" s="57" t="n"/>
      <c r="BB93" s="81" t="inlineStr">
        <is>
          <t>B</t>
        </is>
      </c>
      <c r="BC93" s="81" t="inlineStr">
        <is>
          <t>35% less kick, moving or not</t>
        </is>
      </c>
    </row>
    <row r="94">
      <c r="A94" s="43" t="inlineStr">
        <is>
          <t>Big Game Hunter</t>
        </is>
      </c>
      <c r="B94" s="43" t="inlineStr">
        <is>
          <t>Heavy</t>
        </is>
      </c>
      <c r="C94" s="43" t="inlineStr">
        <is>
          <t>sustain</t>
        </is>
      </c>
      <c r="D94" s="43" t="n">
        <v>4</v>
      </c>
      <c r="E94" s="43" t="inlineStr">
        <is>
          <t>Quick Belt</t>
        </is>
      </c>
      <c r="F94" s="56">
        <f>F28</f>
        <v/>
      </c>
      <c r="G94" s="57" t="n"/>
      <c r="H94" s="57" t="n"/>
      <c r="I94" s="57" t="n">
        <v>0.7</v>
      </c>
      <c r="J94" s="57" t="n"/>
      <c r="K94" s="57" t="n">
        <v>0.8</v>
      </c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  <c r="AI94" s="57" t="n"/>
      <c r="BB94" s="81" t="inlineStr">
        <is>
          <t>C</t>
        </is>
      </c>
      <c r="BC94" s="81" t="inlineStr">
        <is>
          <t>Belt changes 30% faster; 20% less kick</t>
        </is>
      </c>
    </row>
    <row r="95">
      <c r="A95" s="43" t="inlineStr">
        <is>
          <t>Big Game Hunter</t>
        </is>
      </c>
      <c r="B95" s="43" t="inlineStr">
        <is>
          <t>Heavy</t>
        </is>
      </c>
      <c r="C95" s="43" t="inlineStr">
        <is>
          <t>sustain</t>
        </is>
      </c>
      <c r="D95" s="43" t="n">
        <v>5</v>
      </c>
      <c r="E95" s="43" t="inlineStr">
        <is>
          <t>Hot Barrel</t>
        </is>
      </c>
      <c r="F95" s="56">
        <f>F29</f>
        <v/>
      </c>
      <c r="G95" s="57" t="n">
        <v>1.5</v>
      </c>
      <c r="H95" s="57" t="n">
        <v>1.3</v>
      </c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>
        <v>1.6</v>
      </c>
      <c r="AG95" s="57" t="n"/>
      <c r="AH95" s="57" t="n"/>
      <c r="AI95" s="57" t="n"/>
      <c r="BB95" s="81" t="inlineStr">
        <is>
          <t>B</t>
        </is>
      </c>
      <c r="BC95" s="81" t="inlineStr">
        <is>
          <t>50% faster at once, spins up to +60% more</t>
        </is>
      </c>
    </row>
    <row r="96">
      <c r="A96" s="43" t="inlineStr">
        <is>
          <t>Big Game Hunter</t>
        </is>
      </c>
      <c r="B96" s="43" t="inlineStr">
        <is>
          <t>Heavy</t>
        </is>
      </c>
      <c r="C96" s="43" t="inlineStr">
        <is>
          <t>sustain</t>
        </is>
      </c>
      <c r="D96" s="43" t="n">
        <v>5</v>
      </c>
      <c r="E96" s="43" t="inlineStr">
        <is>
          <t>War Drum</t>
        </is>
      </c>
      <c r="F96" s="56">
        <f>F29</f>
        <v/>
      </c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>
        <v>0.5</v>
      </c>
      <c r="AD96" s="57" t="n"/>
      <c r="AE96" s="57" t="n"/>
      <c r="AF96" s="57" t="n">
        <v>2.3</v>
      </c>
      <c r="AG96" s="57" t="n"/>
      <c r="AH96" s="57" t="n"/>
      <c r="AI96" s="57" t="n"/>
      <c r="BB96" s="81" t="inlineStr">
        <is>
          <t>C</t>
        </is>
      </c>
      <c r="BC96" s="81" t="inlineStr">
        <is>
          <t>Rally Cry twice as often; spins up to +130%</t>
        </is>
      </c>
    </row>
    <row r="97">
      <c r="A97" s="43" t="inlineStr">
        <is>
          <t>Big Game Hunter</t>
        </is>
      </c>
      <c r="B97" s="43" t="inlineStr">
        <is>
          <t>Special Ammo</t>
        </is>
      </c>
      <c r="C97" s="43" t="inlineStr">
        <is>
          <t>rounds</t>
        </is>
      </c>
      <c r="D97" s="43" t="n">
        <v>4</v>
      </c>
      <c r="E97" s="43" t="inlineStr">
        <is>
          <t>Phosphor Rounds</t>
        </is>
      </c>
      <c r="F97" s="56">
        <f>F33</f>
        <v/>
      </c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>
        <v>1.1</v>
      </c>
      <c r="X97" s="57" t="n">
        <v>3</v>
      </c>
      <c r="Y97" s="57" t="n"/>
      <c r="Z97" s="57" t="n"/>
      <c r="AA97" s="57" t="n"/>
      <c r="AB97" s="57" t="n"/>
      <c r="AC97" s="57" t="n"/>
      <c r="AD97" s="57" t="n"/>
      <c r="AE97" s="57" t="n"/>
      <c r="AF97" s="57" t="n"/>
      <c r="AG97" s="57" t="n"/>
      <c r="AH97" s="57" t="n"/>
      <c r="AI97" s="57" t="n"/>
      <c r="BB97" s="81" t="inlineStr">
        <is>
          <t>B</t>
        </is>
      </c>
      <c r="BC97" s="81" t="inlineStr">
        <is>
          <t>Fires burn 10% hotter and 50% longer</t>
        </is>
      </c>
    </row>
    <row r="98">
      <c r="A98" s="43" t="inlineStr">
        <is>
          <t>Big Game Hunter</t>
        </is>
      </c>
      <c r="B98" s="43" t="inlineStr">
        <is>
          <t>Special Ammo</t>
        </is>
      </c>
      <c r="C98" s="43" t="inlineStr">
        <is>
          <t>rounds</t>
        </is>
      </c>
      <c r="D98" s="43" t="n">
        <v>4</v>
      </c>
      <c r="E98" s="43" t="inlineStr">
        <is>
          <t>Bright Tracers</t>
        </is>
      </c>
      <c r="F98" s="56">
        <f>F33</f>
        <v/>
      </c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  <c r="AA98" s="57" t="n">
        <v>30</v>
      </c>
      <c r="AB98" s="57" t="n"/>
      <c r="AC98" s="57" t="n"/>
      <c r="AD98" s="57" t="n"/>
      <c r="AE98" s="57" t="n"/>
      <c r="AF98" s="57" t="n"/>
      <c r="AG98" s="57" t="n"/>
      <c r="AH98" s="57" t="n"/>
      <c r="AI98" s="57" t="n"/>
      <c r="BB98" s="81" t="inlineStr">
        <is>
          <t>C</t>
        </is>
      </c>
      <c r="BC98" s="81" t="inlineStr">
        <is>
          <t>Hits mark dinos: +30% from everything</t>
        </is>
      </c>
    </row>
    <row r="99">
      <c r="A99" s="43" t="inlineStr">
        <is>
          <t>Big Game Hunter</t>
        </is>
      </c>
      <c r="B99" s="43" t="inlineStr">
        <is>
          <t>Special Ammo</t>
        </is>
      </c>
      <c r="C99" s="43" t="inlineStr">
        <is>
          <t>rounds</t>
        </is>
      </c>
      <c r="D99" s="43" t="n">
        <v>5</v>
      </c>
      <c r="E99" s="43" t="inlineStr">
        <is>
          <t>Fire Tips</t>
        </is>
      </c>
      <c r="F99" s="56">
        <f>F34</f>
        <v/>
      </c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>
        <v>2.5</v>
      </c>
      <c r="Y99" s="57" t="n">
        <v>3</v>
      </c>
      <c r="Z99" s="57" t="n"/>
      <c r="AA99" s="57" t="n"/>
      <c r="AB99" s="57" t="n"/>
      <c r="AC99" s="57" t="n"/>
      <c r="AD99" s="57" t="n"/>
      <c r="AE99" s="57" t="n"/>
      <c r="AF99" s="57" t="n"/>
      <c r="AG99" s="57" t="n"/>
      <c r="AH99" s="57" t="n"/>
      <c r="AI99" s="57" t="n"/>
      <c r="BB99" s="81" t="inlineStr">
        <is>
          <t>B</t>
        </is>
      </c>
      <c r="BC99" s="81" t="inlineStr">
        <is>
          <t>Small blasts; dinos burn 25% longer</t>
        </is>
      </c>
    </row>
    <row r="100">
      <c r="A100" s="43" t="inlineStr">
        <is>
          <t>Big Game Hunter</t>
        </is>
      </c>
      <c r="B100" s="43" t="inlineStr">
        <is>
          <t>Special Ammo</t>
        </is>
      </c>
      <c r="C100" s="43" t="inlineStr">
        <is>
          <t>rounds</t>
        </is>
      </c>
      <c r="D100" s="43" t="n">
        <v>5</v>
      </c>
      <c r="E100" s="43" t="inlineStr">
        <is>
          <t>Flat Tips</t>
        </is>
      </c>
      <c r="F100" s="56">
        <f>F34</f>
        <v/>
      </c>
      <c r="G100" s="57" t="n"/>
      <c r="H100" s="57" t="n"/>
      <c r="I100" s="57" t="n"/>
      <c r="J100" s="57" t="n"/>
      <c r="K100" s="57" t="n"/>
      <c r="L100" s="57" t="n">
        <v>1.25</v>
      </c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>
        <v>3</v>
      </c>
      <c r="Z100" s="57" t="n"/>
      <c r="AA100" s="57" t="n"/>
      <c r="AB100" s="57" t="n"/>
      <c r="AC100" s="57" t="n"/>
      <c r="AD100" s="57" t="n"/>
      <c r="AE100" s="57" t="n"/>
      <c r="AF100" s="57" t="n"/>
      <c r="AG100" s="57" t="n"/>
      <c r="AH100" s="57" t="n"/>
      <c r="AI100" s="57" t="n"/>
      <c r="BB100" s="81" t="inlineStr">
        <is>
          <t>C</t>
        </is>
      </c>
      <c r="BC100" s="81" t="inlineStr">
        <is>
          <t>Small blasts; rounds fly 25% further</t>
        </is>
      </c>
    </row>
    <row r="101">
      <c r="A101" s="43" t="inlineStr">
        <is>
          <t>Brush Beater</t>
        </is>
      </c>
      <c r="B101" s="43" t="inlineStr">
        <is>
          <t>Slug</t>
        </is>
      </c>
      <c r="C101" s="43" t="inlineStr">
        <is>
          <t>reach</t>
        </is>
      </c>
      <c r="D101" s="43" t="n">
        <v>4</v>
      </c>
      <c r="E101" s="43" t="inlineStr">
        <is>
          <t>Quick Pump</t>
        </is>
      </c>
      <c r="F101" s="56">
        <f>F38</f>
        <v/>
      </c>
      <c r="G101" s="57" t="n">
        <v>1.25</v>
      </c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  <c r="AG101" s="57" t="n"/>
      <c r="AH101" s="57" t="n"/>
      <c r="AI101" s="57" t="n"/>
      <c r="BB101" s="81" t="inlineStr">
        <is>
          <t>B</t>
        </is>
      </c>
      <c r="BC101" s="81" t="inlineStr">
        <is>
          <t>Pump 25% faster</t>
        </is>
      </c>
    </row>
    <row r="102">
      <c r="A102" s="43" t="inlineStr">
        <is>
          <t>Brush Beater</t>
        </is>
      </c>
      <c r="B102" s="43" t="inlineStr">
        <is>
          <t>Slug</t>
        </is>
      </c>
      <c r="C102" s="43" t="inlineStr">
        <is>
          <t>reach</t>
        </is>
      </c>
      <c r="D102" s="43" t="n">
        <v>4</v>
      </c>
      <c r="E102" s="43" t="inlineStr">
        <is>
          <t>Side Saddle</t>
        </is>
      </c>
      <c r="F102" s="56">
        <f>F38</f>
        <v/>
      </c>
      <c r="G102" s="57" t="n"/>
      <c r="H102" s="57" t="n">
        <v>1.5</v>
      </c>
      <c r="I102" s="57" t="n">
        <v>0.8</v>
      </c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  <c r="AG102" s="57" t="n"/>
      <c r="AH102" s="57" t="n"/>
      <c r="AI102" s="57" t="n"/>
      <c r="BB102" s="81" t="inlineStr">
        <is>
          <t>C</t>
        </is>
      </c>
      <c r="BC102" s="81" t="inlineStr">
        <is>
          <t>Holds 50% more slugs, loads 20% faster</t>
        </is>
      </c>
    </row>
    <row r="103">
      <c r="A103" s="43" t="inlineStr">
        <is>
          <t>Brush Beater</t>
        </is>
      </c>
      <c r="B103" s="43" t="inlineStr">
        <is>
          <t>Slug</t>
        </is>
      </c>
      <c r="C103" s="43" t="inlineStr">
        <is>
          <t>reach</t>
        </is>
      </c>
      <c r="D103" s="43" t="n">
        <v>5</v>
      </c>
      <c r="E103" s="43" t="inlineStr">
        <is>
          <t>Express Slug</t>
        </is>
      </c>
      <c r="F103" s="56">
        <f>F39</f>
        <v/>
      </c>
      <c r="G103" s="57" t="n">
        <v>1.6</v>
      </c>
      <c r="H103" s="57" t="n">
        <v>1.5</v>
      </c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>
        <v>6</v>
      </c>
      <c r="T103" s="57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  <c r="AG103" s="57" t="n"/>
      <c r="AH103" s="57" t="n"/>
      <c r="AI103" s="57" t="n"/>
      <c r="BB103" s="81" t="inlineStr">
        <is>
          <t>B</t>
        </is>
      </c>
      <c r="BC103" s="81" t="inlineStr">
        <is>
          <t>Slugs through 6, 60% faster, bigger tube</t>
        </is>
      </c>
    </row>
    <row r="104">
      <c r="A104" s="43" t="inlineStr">
        <is>
          <t>Brush Beater</t>
        </is>
      </c>
      <c r="B104" s="43" t="inlineStr">
        <is>
          <t>Slug</t>
        </is>
      </c>
      <c r="C104" s="43" t="inlineStr">
        <is>
          <t>reach</t>
        </is>
      </c>
      <c r="D104" s="43" t="n">
        <v>5</v>
      </c>
      <c r="E104" s="43" t="inlineStr">
        <is>
          <t>Twin Slug</t>
        </is>
      </c>
      <c r="F104" s="56">
        <f>F39</f>
        <v/>
      </c>
      <c r="G104" s="57" t="n"/>
      <c r="H104" s="57" t="n">
        <v>1.5</v>
      </c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>
        <v>2</v>
      </c>
      <c r="S104" s="57" t="n">
        <v>4</v>
      </c>
      <c r="T104" s="57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  <c r="AG104" s="57" t="n"/>
      <c r="AH104" s="57" t="n"/>
      <c r="AI104" s="57" t="n"/>
      <c r="BB104" s="81" t="inlineStr">
        <is>
          <t>C</t>
        </is>
      </c>
      <c r="BC104" s="81" t="inlineStr">
        <is>
          <t>Two slugs per pump, each through 4</t>
        </is>
      </c>
      <c r="BF104" s="81" t="inlineStr">
        <is>
          <t>Yes</t>
        </is>
      </c>
    </row>
    <row r="105">
      <c r="A105" s="43" t="inlineStr">
        <is>
          <t>Brush Beater</t>
        </is>
      </c>
      <c r="B105" s="43" t="inlineStr">
        <is>
          <t>Buckshot</t>
        </is>
      </c>
      <c r="C105" s="43" t="inlineStr">
        <is>
          <t>crowds</t>
        </is>
      </c>
      <c r="D105" s="43" t="n">
        <v>4</v>
      </c>
      <c r="E105" s="43" t="inlineStr">
        <is>
          <t>Hot Shells</t>
        </is>
      </c>
      <c r="F105" s="56">
        <f>F43</f>
        <v/>
      </c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>
        <v>2.3</v>
      </c>
      <c r="X105" s="57" t="n">
        <v>3</v>
      </c>
      <c r="Y105" s="57" t="n"/>
      <c r="Z105" s="57" t="n"/>
      <c r="AA105" s="57" t="n"/>
      <c r="AB105" s="57" t="n"/>
      <c r="AC105" s="57" t="n"/>
      <c r="AD105" s="57" t="n"/>
      <c r="AE105" s="57" t="n"/>
      <c r="AF105" s="57" t="n"/>
      <c r="AG105" s="57" t="n"/>
      <c r="AH105" s="57" t="n"/>
      <c r="AI105" s="57" t="n"/>
      <c r="BB105" s="81" t="inlineStr">
        <is>
          <t>B</t>
        </is>
      </c>
      <c r="BC105" s="81" t="inlineStr">
        <is>
          <t>Fires burn more than twice as hot</t>
        </is>
      </c>
    </row>
    <row r="106">
      <c r="A106" s="43" t="inlineStr">
        <is>
          <t>Brush Beater</t>
        </is>
      </c>
      <c r="B106" s="43" t="inlineStr">
        <is>
          <t>Buckshot</t>
        </is>
      </c>
      <c r="C106" s="43" t="inlineStr">
        <is>
          <t>crowds</t>
        </is>
      </c>
      <c r="D106" s="43" t="n">
        <v>4</v>
      </c>
      <c r="E106" s="43" t="inlineStr">
        <is>
          <t>Shell Belt</t>
        </is>
      </c>
      <c r="F106" s="56">
        <f>F43</f>
        <v/>
      </c>
      <c r="G106" s="57" t="n">
        <v>1.5</v>
      </c>
      <c r="H106" s="57" t="n">
        <v>1.5</v>
      </c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  <c r="AG106" s="57" t="n"/>
      <c r="AH106" s="57" t="n"/>
      <c r="AI106" s="57" t="n"/>
      <c r="BB106" s="81" t="inlineStr">
        <is>
          <t>C</t>
        </is>
      </c>
      <c r="BC106" s="81" t="inlineStr">
        <is>
          <t>Pump 50% faster; holds 50% more</t>
        </is>
      </c>
    </row>
    <row r="107">
      <c r="A107" s="43" t="inlineStr">
        <is>
          <t>Brush Beater</t>
        </is>
      </c>
      <c r="B107" s="43" t="inlineStr">
        <is>
          <t>Buckshot</t>
        </is>
      </c>
      <c r="C107" s="43" t="inlineStr">
        <is>
          <t>crowds</t>
        </is>
      </c>
      <c r="D107" s="43" t="n">
        <v>5</v>
      </c>
      <c r="E107" s="43" t="inlineStr">
        <is>
          <t>Flame Choke</t>
        </is>
      </c>
      <c r="F107" s="56">
        <f>F44</f>
        <v/>
      </c>
      <c r="G107" s="57" t="n">
        <v>1.2</v>
      </c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  <c r="AG107" s="57" t="n"/>
      <c r="AH107" s="57" t="n"/>
      <c r="AI107" s="57" t="n">
        <v>0.9</v>
      </c>
      <c r="BB107" s="81" t="inlineStr">
        <is>
          <t>B</t>
        </is>
      </c>
      <c r="BC107" s="81" t="inlineStr">
        <is>
          <t>Dragon's Breath bursts for 90% of a shot</t>
        </is>
      </c>
    </row>
    <row r="108">
      <c r="A108" s="43" t="inlineStr">
        <is>
          <t>Brush Beater</t>
        </is>
      </c>
      <c r="B108" s="43" t="inlineStr">
        <is>
          <t>Buckshot</t>
        </is>
      </c>
      <c r="C108" s="43" t="inlineStr">
        <is>
          <t>crowds</t>
        </is>
      </c>
      <c r="D108" s="43" t="n">
        <v>5</v>
      </c>
      <c r="E108" s="43" t="inlineStr">
        <is>
          <t>Pump Storm</t>
        </is>
      </c>
      <c r="F108" s="56">
        <f>F44</f>
        <v/>
      </c>
      <c r="G108" s="57" t="n">
        <v>1.5</v>
      </c>
      <c r="H108" s="57" t="n">
        <v>1.5</v>
      </c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  <c r="AG108" s="57" t="n"/>
      <c r="AH108" s="57" t="n"/>
      <c r="AI108" s="57" t="n"/>
      <c r="BB108" s="81" t="inlineStr">
        <is>
          <t>C</t>
        </is>
      </c>
      <c r="BC108" s="81" t="inlineStr">
        <is>
          <t>Pump 50% faster, bigger tube</t>
        </is>
      </c>
    </row>
    <row r="109">
      <c r="A109" s="43" t="inlineStr">
        <is>
          <t>Brush Beater</t>
        </is>
      </c>
      <c r="B109" s="43" t="inlineStr">
        <is>
          <t>Point Blank</t>
        </is>
      </c>
      <c r="C109" s="43" t="inlineStr">
        <is>
          <t>burst</t>
        </is>
      </c>
      <c r="D109" s="43" t="n">
        <v>4</v>
      </c>
      <c r="E109" s="43" t="inlineStr">
        <is>
          <t>Quick Breech</t>
        </is>
      </c>
      <c r="F109" s="56">
        <f>F48</f>
        <v/>
      </c>
      <c r="G109" s="57" t="n">
        <v>1.2</v>
      </c>
      <c r="H109" s="57" t="n"/>
      <c r="I109" s="57" t="n">
        <v>0.65</v>
      </c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  <c r="AG109" s="57" t="n"/>
      <c r="AH109" s="57" t="n"/>
      <c r="AI109" s="57" t="n"/>
      <c r="BB109" s="81" t="inlineStr">
        <is>
          <t>B</t>
        </is>
      </c>
      <c r="BC109" s="81" t="inlineStr">
        <is>
          <t>Reload 35% faster, fire 20% faster</t>
        </is>
      </c>
    </row>
    <row r="110">
      <c r="A110" s="43" t="inlineStr">
        <is>
          <t>Brush Beater</t>
        </is>
      </c>
      <c r="B110" s="43" t="inlineStr">
        <is>
          <t>Point Blank</t>
        </is>
      </c>
      <c r="C110" s="43" t="inlineStr">
        <is>
          <t>burst</t>
        </is>
      </c>
      <c r="D110" s="43" t="n">
        <v>4</v>
      </c>
      <c r="E110" s="43" t="inlineStr">
        <is>
          <t>Bird Shot</t>
        </is>
      </c>
      <c r="F110" s="56">
        <f>F48</f>
        <v/>
      </c>
      <c r="G110" s="57" t="n">
        <v>1.15</v>
      </c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inlineStr">
        <is>
          <t>Yes</t>
        </is>
      </c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  <c r="AG110" s="57" t="n"/>
      <c r="AH110" s="57" t="n"/>
      <c r="AI110" s="57" t="n"/>
      <c r="BB110" s="81" t="inlineStr">
        <is>
          <t>C</t>
        </is>
      </c>
      <c r="BC110" s="81" t="inlineStr">
        <is>
          <t>Blasts hit flying dinos; fire 15% faster</t>
        </is>
      </c>
    </row>
    <row r="111">
      <c r="A111" s="43" t="inlineStr">
        <is>
          <t>Brush Beater</t>
        </is>
      </c>
      <c r="B111" s="43" t="inlineStr">
        <is>
          <t>Point Blank</t>
        </is>
      </c>
      <c r="C111" s="43" t="inlineStr">
        <is>
          <t>burst</t>
        </is>
      </c>
      <c r="D111" s="43" t="n">
        <v>5</v>
      </c>
      <c r="E111" s="43" t="inlineStr">
        <is>
          <t>Breech Loader</t>
        </is>
      </c>
      <c r="F111" s="56">
        <f>F49</f>
        <v/>
      </c>
      <c r="G111" s="57" t="n">
        <v>1.45</v>
      </c>
      <c r="H111" s="57" t="n">
        <v>1.5</v>
      </c>
      <c r="I111" s="57" t="n">
        <v>0.6</v>
      </c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  <c r="AA111" s="57" t="n"/>
      <c r="AB111" s="57" t="n"/>
      <c r="AC111" s="57" t="n"/>
      <c r="AD111" s="57" t="n"/>
      <c r="AE111" s="57" t="n"/>
      <c r="AF111" s="57" t="n"/>
      <c r="AG111" s="57" t="n"/>
      <c r="AH111" s="57" t="n"/>
      <c r="AI111" s="57" t="n"/>
      <c r="BB111" s="81" t="inlineStr">
        <is>
          <t>B</t>
        </is>
      </c>
      <c r="BC111" s="81" t="inlineStr">
        <is>
          <t>45% faster, bigger tube, quick reload</t>
        </is>
      </c>
    </row>
    <row r="112">
      <c r="A112" s="43" t="inlineStr">
        <is>
          <t>Brush Beater</t>
        </is>
      </c>
      <c r="B112" s="43" t="inlineStr">
        <is>
          <t>Point Blank</t>
        </is>
      </c>
      <c r="C112" s="43" t="inlineStr">
        <is>
          <t>burst</t>
        </is>
      </c>
      <c r="D112" s="43" t="n">
        <v>5</v>
      </c>
      <c r="E112" s="43" t="inlineStr">
        <is>
          <t>Slam Fire</t>
        </is>
      </c>
      <c r="F112" s="56">
        <f>F49</f>
        <v/>
      </c>
      <c r="G112" s="57" t="n">
        <v>1.7</v>
      </c>
      <c r="H112" s="57" t="n"/>
      <c r="I112" s="57" t="n"/>
      <c r="J112" s="57" t="n"/>
      <c r="K112" s="57" t="n"/>
      <c r="L112" s="57" t="n"/>
      <c r="M112" s="57" t="n"/>
      <c r="N112" s="57" t="inlineStr">
        <is>
          <t>auto</t>
        </is>
      </c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  <c r="AG112" s="57" t="n"/>
      <c r="AH112" s="57" t="n"/>
      <c r="AI112" s="57" t="n"/>
      <c r="BB112" s="81" t="inlineStr">
        <is>
          <t>C</t>
        </is>
      </c>
      <c r="BC112" s="81" t="inlineStr">
        <is>
          <t>Hold to keep both barrels firing, 70% faster</t>
        </is>
      </c>
    </row>
    <row r="113">
      <c r="A113" s="43" t="inlineStr">
        <is>
          <t>Field Medic</t>
        </is>
      </c>
      <c r="B113" s="43" t="inlineStr">
        <is>
          <t>Triage</t>
        </is>
      </c>
      <c r="C113" s="43" t="inlineStr">
        <is>
          <t>ability</t>
        </is>
      </c>
      <c r="D113" s="43" t="n">
        <v>4</v>
      </c>
      <c r="E113" s="43" t="inlineStr">
        <is>
          <t>Thick Gauze</t>
        </is>
      </c>
      <c r="F113" s="56">
        <f>F53</f>
        <v/>
      </c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  <c r="AA113" s="57" t="n"/>
      <c r="AB113" s="57" t="n"/>
      <c r="AC113" s="57" t="n"/>
      <c r="AD113" s="57" t="n"/>
      <c r="AE113" s="57" t="n"/>
      <c r="AF113" s="57" t="n"/>
      <c r="AG113" s="57" t="n"/>
      <c r="AH113" s="57" t="n"/>
      <c r="AI113" s="57" t="n"/>
      <c r="AJ113" s="81" t="n">
        <v>1.55</v>
      </c>
      <c r="AK113" s="81" t="n"/>
      <c r="AL113" s="81" t="n"/>
      <c r="BB113" s="81" t="inlineStr">
        <is>
          <t>B</t>
        </is>
      </c>
      <c r="BC113" s="81" t="inlineStr">
        <is>
          <t>Triage Kit heals 55% more</t>
        </is>
      </c>
    </row>
    <row r="114">
      <c r="A114" s="43" t="inlineStr">
        <is>
          <t>Field Medic</t>
        </is>
      </c>
      <c r="B114" s="43" t="inlineStr">
        <is>
          <t>Triage</t>
        </is>
      </c>
      <c r="C114" s="43" t="inlineStr">
        <is>
          <t>ability</t>
        </is>
      </c>
      <c r="D114" s="43" t="n">
        <v>4</v>
      </c>
      <c r="E114" s="43" t="inlineStr">
        <is>
          <t>Quick Kit</t>
        </is>
      </c>
      <c r="F114" s="56">
        <f>F53</f>
        <v/>
      </c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  <c r="AA114" s="57" t="n"/>
      <c r="AB114" s="57" t="n"/>
      <c r="AC114" s="57" t="n">
        <v>0.67</v>
      </c>
      <c r="AD114" s="57" t="n"/>
      <c r="AE114" s="57" t="n"/>
      <c r="AF114" s="57" t="n"/>
      <c r="AG114" s="57" t="n"/>
      <c r="AH114" s="57" t="n"/>
      <c r="AI114" s="57" t="n"/>
      <c r="AJ114" s="81" t="n"/>
      <c r="AK114" s="81" t="n"/>
      <c r="AL114" s="81" t="n"/>
      <c r="BB114" s="81" t="inlineStr">
        <is>
          <t>C</t>
        </is>
      </c>
      <c r="BC114" s="81" t="inlineStr">
        <is>
          <t>Triage Kit is ready a third sooner</t>
        </is>
      </c>
    </row>
    <row r="115">
      <c r="A115" s="43" t="inlineStr">
        <is>
          <t>Field Medic</t>
        </is>
      </c>
      <c r="B115" s="43" t="inlineStr">
        <is>
          <t>Triage</t>
        </is>
      </c>
      <c r="C115" s="43" t="inlineStr">
        <is>
          <t>ability</t>
        </is>
      </c>
      <c r="D115" s="43" t="n">
        <v>5</v>
      </c>
      <c r="E115" s="43" t="inlineStr">
        <is>
          <t>Mending Salve</t>
        </is>
      </c>
      <c r="F115" s="56">
        <f>F54</f>
        <v/>
      </c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  <c r="AA115" s="57" t="n"/>
      <c r="AB115" s="57" t="n"/>
      <c r="AC115" s="57" t="n"/>
      <c r="AD115" s="57" t="n"/>
      <c r="AE115" s="57" t="n"/>
      <c r="AF115" s="57" t="n"/>
      <c r="AG115" s="57" t="n"/>
      <c r="AH115" s="57" t="n"/>
      <c r="AI115" s="57" t="n"/>
      <c r="AJ115" s="81" t="n"/>
      <c r="AK115" s="81" t="n"/>
      <c r="AL115" s="81" t="n"/>
      <c r="AM115" s="81" t="n"/>
      <c r="AN115" s="81" t="n"/>
      <c r="BB115" s="81" t="inlineStr">
        <is>
          <t>B</t>
        </is>
      </c>
      <c r="BC115" s="81" t="inlineStr">
        <is>
          <t>Everything healed regains 2 HP/s for 8 s</t>
        </is>
      </c>
      <c r="BD115" s="81" t="n">
        <v>2</v>
      </c>
      <c r="BE115" s="81" t="n">
        <v>8</v>
      </c>
    </row>
    <row r="116">
      <c r="A116" s="43" t="inlineStr">
        <is>
          <t>Field Medic</t>
        </is>
      </c>
      <c r="B116" s="43" t="inlineStr">
        <is>
          <t>Triage</t>
        </is>
      </c>
      <c r="C116" s="43" t="inlineStr">
        <is>
          <t>ability</t>
        </is>
      </c>
      <c r="D116" s="43" t="n">
        <v>5</v>
      </c>
      <c r="E116" s="43" t="inlineStr">
        <is>
          <t>Field Surgeon</t>
        </is>
      </c>
      <c r="F116" s="56">
        <f>F54</f>
        <v/>
      </c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  <c r="AA116" s="57" t="n"/>
      <c r="AB116" s="57" t="n"/>
      <c r="AC116" s="57" t="n">
        <v>0.78</v>
      </c>
      <c r="AD116" s="57" t="n"/>
      <c r="AE116" s="57" t="n"/>
      <c r="AF116" s="57" t="n"/>
      <c r="AG116" s="57" t="n"/>
      <c r="AH116" s="57" t="n"/>
      <c r="AI116" s="57" t="n"/>
      <c r="AJ116" s="81" t="n"/>
      <c r="AK116" s="81" t="n"/>
      <c r="AL116" s="81" t="n"/>
      <c r="AM116" s="81" t="n"/>
      <c r="AN116" s="81" t="n"/>
      <c r="BB116" s="81" t="inlineStr">
        <is>
          <t>C</t>
        </is>
      </c>
      <c r="BC116" s="81" t="inlineStr">
        <is>
          <t>Triage Kit is ready 22% sooner</t>
        </is>
      </c>
    </row>
    <row r="117">
      <c r="A117" s="43" t="inlineStr">
        <is>
          <t>Field Medic</t>
        </is>
      </c>
      <c r="B117" s="43" t="inlineStr">
        <is>
          <t>Lever Action</t>
        </is>
      </c>
      <c r="C117" s="43" t="inlineStr">
        <is>
          <t>handling</t>
        </is>
      </c>
      <c r="D117" s="43" t="n">
        <v>4</v>
      </c>
      <c r="E117" s="43" t="inlineStr">
        <is>
          <t>Long Tube</t>
        </is>
      </c>
      <c r="F117" s="56">
        <f>F58</f>
        <v/>
      </c>
      <c r="G117" s="57" t="n"/>
      <c r="H117" s="57" t="n">
        <v>1.8</v>
      </c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  <c r="AA117" s="57" t="n"/>
      <c r="AB117" s="57" t="n"/>
      <c r="AC117" s="57" t="n"/>
      <c r="AD117" s="57" t="n"/>
      <c r="AE117" s="57" t="n"/>
      <c r="AF117" s="57" t="n"/>
      <c r="AG117" s="57" t="n"/>
      <c r="AH117" s="57" t="n"/>
      <c r="AI117" s="57" t="n"/>
      <c r="BB117" s="81" t="inlineStr">
        <is>
          <t>B</t>
        </is>
      </c>
      <c r="BC117" s="81" t="inlineStr">
        <is>
          <t>Holds 80% more rounds</t>
        </is>
      </c>
    </row>
    <row r="118">
      <c r="A118" s="43" t="inlineStr">
        <is>
          <t>Field Medic</t>
        </is>
      </c>
      <c r="B118" s="43" t="inlineStr">
        <is>
          <t>Lever Action</t>
        </is>
      </c>
      <c r="C118" s="43" t="inlineStr">
        <is>
          <t>handling</t>
        </is>
      </c>
      <c r="D118" s="43" t="n">
        <v>4</v>
      </c>
      <c r="E118" s="43" t="inlineStr">
        <is>
          <t>Snap Lever</t>
        </is>
      </c>
      <c r="F118" s="56">
        <f>F58</f>
        <v/>
      </c>
      <c r="G118" s="57" t="n">
        <v>1.14</v>
      </c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  <c r="AA118" s="57" t="n"/>
      <c r="AB118" s="57" t="n"/>
      <c r="AC118" s="57" t="n"/>
      <c r="AD118" s="57" t="n"/>
      <c r="AE118" s="57" t="n"/>
      <c r="AF118" s="57" t="n"/>
      <c r="AG118" s="57" t="n"/>
      <c r="AH118" s="57" t="n"/>
      <c r="AI118" s="57" t="n"/>
      <c r="BB118" s="81" t="inlineStr">
        <is>
          <t>C</t>
        </is>
      </c>
      <c r="BC118" s="81" t="inlineStr">
        <is>
          <t>Cycles 14% faster</t>
        </is>
      </c>
    </row>
    <row r="119">
      <c r="A119" s="43" t="inlineStr">
        <is>
          <t>Field Medic</t>
        </is>
      </c>
      <c r="B119" s="43" t="inlineStr">
        <is>
          <t>Lever Action</t>
        </is>
      </c>
      <c r="C119" s="43" t="inlineStr">
        <is>
          <t>handling</t>
        </is>
      </c>
      <c r="D119" s="43" t="n">
        <v>5</v>
      </c>
      <c r="E119" s="43" t="inlineStr">
        <is>
          <t>Triple Cycle</t>
        </is>
      </c>
      <c r="F119" s="56">
        <f>F59</f>
        <v/>
      </c>
      <c r="G119" s="57" t="n">
        <v>1.33</v>
      </c>
      <c r="H119" s="57" t="n"/>
      <c r="I119" s="57" t="n"/>
      <c r="J119" s="57" t="n"/>
      <c r="K119" s="57" t="n"/>
      <c r="L119" s="57" t="n"/>
      <c r="M119" s="57" t="n"/>
      <c r="N119" s="57" t="n"/>
      <c r="O119" s="57" t="n">
        <v>3</v>
      </c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  <c r="AA119" s="57" t="n"/>
      <c r="AB119" s="57" t="n"/>
      <c r="AC119" s="57" t="n"/>
      <c r="AD119" s="57" t="n"/>
      <c r="AE119" s="57" t="n"/>
      <c r="AF119" s="57" t="n"/>
      <c r="AG119" s="57" t="n"/>
      <c r="AH119" s="57" t="n"/>
      <c r="AI119" s="57" t="n"/>
      <c r="BB119" s="81" t="inlineStr">
        <is>
          <t>B</t>
        </is>
      </c>
      <c r="BC119" s="81" t="inlineStr">
        <is>
          <t>3-round bursts, cycling 33% faster</t>
        </is>
      </c>
    </row>
    <row r="120">
      <c r="A120" s="43" t="inlineStr">
        <is>
          <t>Field Medic</t>
        </is>
      </c>
      <c r="B120" s="43" t="inlineStr">
        <is>
          <t>Lever Action</t>
        </is>
      </c>
      <c r="C120" s="43" t="inlineStr">
        <is>
          <t>handling</t>
        </is>
      </c>
      <c r="D120" s="43" t="n">
        <v>5</v>
      </c>
      <c r="E120" s="43" t="inlineStr">
        <is>
          <t>Steady Lever</t>
        </is>
      </c>
      <c r="F120" s="56">
        <f>F59</f>
        <v/>
      </c>
      <c r="G120" s="57" t="n">
        <v>1.1</v>
      </c>
      <c r="H120" s="57" t="n"/>
      <c r="I120" s="57" t="n"/>
      <c r="J120" s="57" t="n">
        <v>0.6</v>
      </c>
      <c r="K120" s="57" t="n">
        <v>0.5</v>
      </c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  <c r="AA120" s="57" t="n"/>
      <c r="AB120" s="57" t="n"/>
      <c r="AC120" s="57" t="n"/>
      <c r="AD120" s="57" t="n"/>
      <c r="AE120" s="57" t="n"/>
      <c r="AF120" s="57" t="n"/>
      <c r="AG120" s="57" t="n"/>
      <c r="AH120" s="57" t="n"/>
      <c r="AI120" s="57" t="n"/>
      <c r="BB120" s="81" t="inlineStr">
        <is>
          <t>C</t>
        </is>
      </c>
      <c r="BC120" s="81" t="inlineStr">
        <is>
          <t>10% faster, half the kick, tighter aim</t>
        </is>
      </c>
    </row>
    <row r="121">
      <c r="A121" s="43" t="inlineStr">
        <is>
          <t>Field Medic</t>
        </is>
      </c>
      <c r="B121" s="43" t="inlineStr">
        <is>
          <t>Muzzle</t>
        </is>
      </c>
      <c r="C121" s="43" t="inlineStr">
        <is>
          <t>protective rounds</t>
        </is>
      </c>
      <c r="D121" s="43" t="n">
        <v>4</v>
      </c>
      <c r="E121" s="43" t="inlineStr">
        <is>
          <t>Quick Dose</t>
        </is>
      </c>
      <c r="F121" s="56">
        <f>F63</f>
        <v/>
      </c>
      <c r="G121" s="57" t="n">
        <v>1.12</v>
      </c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  <c r="AA121" s="57" t="n"/>
      <c r="AB121" s="57" t="n"/>
      <c r="AC121" s="57" t="n"/>
      <c r="AD121" s="57" t="n"/>
      <c r="AE121" s="57" t="n"/>
      <c r="AF121" s="57" t="n"/>
      <c r="AG121" s="57" t="n"/>
      <c r="AH121" s="57" t="n"/>
      <c r="AI121" s="57" t="n"/>
      <c r="AO121" s="81" t="n"/>
      <c r="AP121" s="81" t="n"/>
      <c r="AQ121" s="81" t="n">
        <v>2.6</v>
      </c>
      <c r="BB121" s="81" t="inlineStr">
        <is>
          <t>B</t>
        </is>
      </c>
      <c r="BC121" s="81" t="inlineStr">
        <is>
          <t>Fire 12% faster; jaws locked 2.6 s</t>
        </is>
      </c>
    </row>
    <row r="122">
      <c r="A122" s="43" t="inlineStr">
        <is>
          <t>Field Medic</t>
        </is>
      </c>
      <c r="B122" s="43" t="inlineStr">
        <is>
          <t>Muzzle</t>
        </is>
      </c>
      <c r="C122" s="43" t="inlineStr">
        <is>
          <t>protective rounds</t>
        </is>
      </c>
      <c r="D122" s="43" t="n">
        <v>4</v>
      </c>
      <c r="E122" s="43" t="inlineStr">
        <is>
          <t>Strap Toss</t>
        </is>
      </c>
      <c r="F122" s="56">
        <f>F63</f>
        <v/>
      </c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  <c r="AG122" s="57" t="n"/>
      <c r="AH122" s="57" t="n"/>
      <c r="AI122" s="57" t="n"/>
      <c r="AO122" s="81" t="n">
        <v>40</v>
      </c>
      <c r="AP122" s="81" t="n"/>
      <c r="AQ122" s="81" t="n"/>
      <c r="AR122" s="81" t="n">
        <v>2</v>
      </c>
      <c r="BB122" s="81" t="inlineStr">
        <is>
          <t>C</t>
        </is>
      </c>
      <c r="BC122" s="81" t="inlineStr">
        <is>
          <t>Lock jumps 2 studs; hits slow dinos 40%</t>
        </is>
      </c>
    </row>
    <row r="123">
      <c r="A123" s="43" t="inlineStr">
        <is>
          <t>Field Medic</t>
        </is>
      </c>
      <c r="B123" s="43" t="inlineStr">
        <is>
          <t>Muzzle</t>
        </is>
      </c>
      <c r="C123" s="43" t="inlineStr">
        <is>
          <t>protective rounds</t>
        </is>
      </c>
      <c r="D123" s="43" t="n">
        <v>5</v>
      </c>
      <c r="E123" s="43" t="inlineStr">
        <is>
          <t>Heavy Lids</t>
        </is>
      </c>
      <c r="F123" s="56">
        <f>F64</f>
        <v/>
      </c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  <c r="AA123" s="57" t="n"/>
      <c r="AB123" s="57" t="n"/>
      <c r="AC123" s="57" t="n"/>
      <c r="AD123" s="57" t="n"/>
      <c r="AE123" s="57" t="n"/>
      <c r="AF123" s="57" t="n"/>
      <c r="AG123" s="57" t="n"/>
      <c r="AH123" s="57" t="n"/>
      <c r="AI123" s="57" t="n"/>
      <c r="AO123" s="81" t="n"/>
      <c r="AP123" s="81" t="n"/>
      <c r="AQ123" s="81" t="n">
        <v>4.2</v>
      </c>
      <c r="AR123" s="81" t="n"/>
      <c r="BB123" s="81" t="inlineStr">
        <is>
          <t>B</t>
        </is>
      </c>
      <c r="BC123" s="81" t="inlineStr">
        <is>
          <t>Locked jaws stay shut 4.2 s</t>
        </is>
      </c>
    </row>
    <row r="124">
      <c r="A124" s="43" t="inlineStr">
        <is>
          <t>Field Medic</t>
        </is>
      </c>
      <c r="B124" s="43" t="inlineStr">
        <is>
          <t>Muzzle</t>
        </is>
      </c>
      <c r="C124" s="43" t="inlineStr">
        <is>
          <t>protective rounds</t>
        </is>
      </c>
      <c r="D124" s="43" t="n">
        <v>5</v>
      </c>
      <c r="E124" s="43" t="inlineStr">
        <is>
          <t>Drowsy Cloud</t>
        </is>
      </c>
      <c r="F124" s="56">
        <f>F64</f>
        <v/>
      </c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  <c r="AA124" s="57" t="n"/>
      <c r="AB124" s="57" t="n"/>
      <c r="AC124" s="57" t="n"/>
      <c r="AD124" s="57" t="n"/>
      <c r="AE124" s="57" t="n"/>
      <c r="AF124" s="57" t="n"/>
      <c r="AG124" s="57" t="n"/>
      <c r="AH124" s="57" t="n"/>
      <c r="AI124" s="57" t="n"/>
      <c r="AO124" s="81" t="n">
        <v>40</v>
      </c>
      <c r="AP124" s="81" t="n">
        <v>2</v>
      </c>
      <c r="AQ124" s="81" t="n"/>
      <c r="AR124" s="81" t="n">
        <v>4</v>
      </c>
      <c r="BB124" s="81" t="inlineStr">
        <is>
          <t>C</t>
        </is>
      </c>
      <c r="BC124" s="81" t="inlineStr">
        <is>
          <t>Lock spreads 4 studs; hits slow 40% for 2 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" customWidth="1" style="81" min="1" max="1"/>
    <col width="12" customWidth="1" style="81" min="2" max="2"/>
    <col width="18" customWidth="1" style="81" min="3" max="3"/>
    <col width="16" customWidth="1" style="81" min="4" max="4"/>
    <col width="86" customWidth="1" style="81" min="5" max="5"/>
    <col width="14" customWidth="1" style="81" min="6" max="16384"/>
    <col width="14" customWidth="1" style="90" min="7" max="7"/>
    <col width="14" customWidth="1" style="90" min="8" max="8"/>
    <col width="14" customWidth="1" style="90" min="9" max="9"/>
    <col width="14" customWidth="1" style="90" min="10" max="10"/>
    <col width="14" customWidth="1" style="90" min="11" max="11"/>
    <col width="14" customWidth="1" style="90" min="12" max="12"/>
    <col width="14" customWidth="1" style="90" min="13" max="13"/>
  </cols>
  <sheetData>
    <row r="1" ht="18.5" customHeight="1" s="90">
      <c r="A1" s="2" t="inlineStr">
        <is>
          <t>HERO MASTERY — permanent, per hero</t>
        </is>
      </c>
      <c r="B1" s="3" t="n"/>
      <c r="C1" s="3" t="n"/>
      <c r="D1" s="3" t="n"/>
      <c r="E1" s="4" t="n"/>
    </row>
    <row r="2" ht="13.65" customHeight="1" s="90">
      <c r="A2" s="5" t="inlineStr">
        <is>
          <t>Bought with Amber. Head starts and unlocks only — never gun damage multipliers.</t>
        </is>
      </c>
      <c r="B2" s="6" t="n"/>
      <c r="C2" s="6" t="n"/>
      <c r="D2" s="6" t="n"/>
      <c r="E2" s="7" t="n"/>
    </row>
    <row r="3" ht="13.55" customHeight="1" s="90">
      <c r="A3" s="19" t="n"/>
      <c r="B3" s="20" t="n"/>
      <c r="C3" s="20" t="n"/>
      <c r="D3" s="20" t="n"/>
      <c r="E3" s="41" t="n"/>
    </row>
    <row r="4" ht="27.75" customHeight="1" s="90">
      <c r="A4" s="21" t="inlineStr">
        <is>
          <t>Level</t>
        </is>
      </c>
      <c r="B4" s="21" t="inlineStr">
        <is>
          <t>Amber cost</t>
        </is>
      </c>
      <c r="C4" s="21" t="inlineStr">
        <is>
          <t>Cumulative amber</t>
        </is>
      </c>
      <c r="D4" s="21" t="inlineStr">
        <is>
          <t>Matches to earn</t>
        </is>
      </c>
      <c r="E4" s="21" t="inlineStr">
        <is>
          <t>Unlock at this level</t>
        </is>
      </c>
      <c r="F4" s="21" t="inlineStr">
        <is>
          <t>Upgrade discount %</t>
        </is>
      </c>
      <c r="G4" s="21" t="inlineStr">
        <is>
          <t>Ability cooldown x</t>
        </is>
      </c>
      <c r="H4" s="21" t="inlineStr">
        <is>
          <t>Free first upgrade</t>
        </is>
      </c>
      <c r="I4" s="21" t="inlineStr">
        <is>
          <t>Crossover cap</t>
        </is>
      </c>
      <c r="J4" s="104" t="inlineStr">
        <is>
          <t>Pick-up reach +</t>
        </is>
      </c>
      <c r="K4" s="104" t="inlineStr">
        <is>
          <t>Heal per round +</t>
        </is>
      </c>
      <c r="L4" s="104" t="inlineStr">
        <is>
          <t>Respawn x</t>
        </is>
      </c>
      <c r="M4" s="104" t="inlineStr">
        <is>
          <t>Repair cost x</t>
        </is>
      </c>
    </row>
    <row r="5" ht="13.65" customHeight="1" s="90">
      <c r="A5" s="56" t="n">
        <v>1</v>
      </c>
      <c r="B5" s="56">
        <f t="array" ref="B5">ROUND('Tuning'!$B$27*POWER('Tuning'!$B$28,A5-1),0)</f>
        <v/>
      </c>
      <c r="C5" s="56">
        <f t="array" ref="C5">B5</f>
        <v/>
      </c>
      <c r="D5" s="92">
        <f>ROUND(C5/Tuning!$B$26,1)</f>
        <v/>
      </c>
      <c r="E5" s="65" t="inlineStr">
        <is>
          <t>-5% on this hero's upgrade costs</t>
        </is>
      </c>
      <c r="F5" s="56" t="n">
        <v>5</v>
      </c>
      <c r="G5" s="56" t="n">
        <v>1</v>
      </c>
      <c r="H5" s="56" t="inlineStr">
        <is>
          <t>No</t>
        </is>
      </c>
      <c r="I5" s="56" t="n">
        <v>2</v>
      </c>
      <c r="L5" s="81" t="n">
        <v>1</v>
      </c>
      <c r="M5" s="81" t="n">
        <v>1</v>
      </c>
    </row>
    <row r="6" ht="13.65" customHeight="1" s="90">
      <c r="A6" s="56" t="n">
        <v>2</v>
      </c>
      <c r="B6" s="56">
        <f t="array" ref="B6">ROUND('Tuning'!$B$27*POWER('Tuning'!$B$28,A6-1),0)</f>
        <v/>
      </c>
      <c r="C6" s="56">
        <f t="array" ref="C6">C5+B6</f>
        <v/>
      </c>
      <c r="D6" s="92">
        <f>ROUND(C6/Tuning!$B$26,1)</f>
        <v/>
      </c>
      <c r="E6" s="65" t="inlineStr">
        <is>
          <t>-10% cumulative</t>
        </is>
      </c>
      <c r="F6" s="56" t="n">
        <v>10</v>
      </c>
      <c r="G6" s="56" t="n">
        <v>1</v>
      </c>
      <c r="H6" s="56" t="inlineStr">
        <is>
          <t>No</t>
        </is>
      </c>
      <c r="I6" s="56" t="n">
        <v>2</v>
      </c>
      <c r="L6" s="81" t="n">
        <v>1</v>
      </c>
      <c r="M6" s="81" t="n">
        <v>1</v>
      </c>
    </row>
    <row r="7" ht="13.65" customHeight="1" s="90">
      <c r="A7" s="56" t="n">
        <v>3</v>
      </c>
      <c r="B7" s="56">
        <f t="array" ref="B7">ROUND('Tuning'!$B$27*POWER('Tuning'!$B$28,A7-1),0)</f>
        <v/>
      </c>
      <c r="C7" s="56">
        <f t="array" ref="C7">C6+B7</f>
        <v/>
      </c>
      <c r="D7" s="92">
        <f>ROUND(C7/Tuning!$B$26,1)</f>
        <v/>
      </c>
      <c r="E7" s="65" t="inlineStr">
        <is>
          <t>-15% cumulative</t>
        </is>
      </c>
      <c r="F7" s="56" t="n">
        <v>15</v>
      </c>
      <c r="G7" s="56" t="n">
        <v>1</v>
      </c>
      <c r="H7" s="56" t="inlineStr">
        <is>
          <t>No</t>
        </is>
      </c>
      <c r="I7" s="56" t="n">
        <v>2</v>
      </c>
      <c r="L7" s="81" t="n">
        <v>1</v>
      </c>
      <c r="M7" s="81" t="n">
        <v>1</v>
      </c>
    </row>
    <row r="8" ht="13.65" customHeight="1" s="90">
      <c r="A8" s="56" t="n">
        <v>4</v>
      </c>
      <c r="B8" s="56">
        <f t="array" ref="B8">ROUND('Tuning'!$B$27*POWER('Tuning'!$B$28,A8-1),0)</f>
        <v/>
      </c>
      <c r="C8" s="56">
        <f t="array" ref="C8">C7+B8</f>
        <v/>
      </c>
      <c r="D8" s="92">
        <f>ROUND(C8/Tuning!$B$26,1)</f>
        <v/>
      </c>
      <c r="E8" s="65" t="inlineStr">
        <is>
          <t>-20% cumulative (cap on cost reduction)</t>
        </is>
      </c>
      <c r="F8" s="56" t="n">
        <v>20</v>
      </c>
      <c r="G8" s="56" t="n">
        <v>1</v>
      </c>
      <c r="H8" s="56" t="inlineStr">
        <is>
          <t>No</t>
        </is>
      </c>
      <c r="I8" s="56" t="n">
        <v>2</v>
      </c>
      <c r="L8" s="81" t="n">
        <v>1</v>
      </c>
      <c r="M8" s="81" t="n">
        <v>1</v>
      </c>
    </row>
    <row r="9" ht="13.65" customHeight="1" s="90">
      <c r="A9" s="66" t="n">
        <v>5</v>
      </c>
      <c r="B9" s="66">
        <f t="array" ref="B9">ROUND('Tuning'!$B$27*POWER('Tuning'!$B$28,A9-1),0)</f>
        <v/>
      </c>
      <c r="C9" s="66">
        <f t="array" ref="C9">C8+B9</f>
        <v/>
      </c>
      <c r="D9" s="93">
        <f>ROUND(C9/Tuning!$B$26,1)</f>
        <v/>
      </c>
      <c r="E9" s="68" t="inlineStr">
        <is>
          <t>Ability cooldown -15%</t>
        </is>
      </c>
      <c r="F9" s="66" t="n">
        <v>20</v>
      </c>
      <c r="G9" s="66" t="n">
        <v>0.85</v>
      </c>
      <c r="H9" s="66" t="inlineStr">
        <is>
          <t>No</t>
        </is>
      </c>
      <c r="I9" s="66" t="n">
        <v>2</v>
      </c>
      <c r="L9" s="81" t="n">
        <v>1</v>
      </c>
      <c r="M9" s="81" t="n">
        <v>1</v>
      </c>
    </row>
    <row r="10" ht="13.65" customHeight="1" s="90">
      <c r="A10" s="56" t="n">
        <v>6</v>
      </c>
      <c r="B10" s="56">
        <f t="array" ref="B10">ROUND('Tuning'!$B$27*POWER('Tuning'!$B$28,A10-1),0)</f>
        <v/>
      </c>
      <c r="C10" s="56">
        <f t="array" ref="C10">C9+B10</f>
        <v/>
      </c>
      <c r="D10" s="92">
        <f>ROUND(C10/Tuning!$B$26,1)</f>
        <v/>
      </c>
      <c r="E10" s="69" t="inlineStr">
        <is>
          <t>Long Arms I: pick up chests and med kits from 2 studs away</t>
        </is>
      </c>
      <c r="F10" s="56" t="n">
        <v>20</v>
      </c>
      <c r="G10" s="56" t="n">
        <v>0.85</v>
      </c>
      <c r="H10" s="56" t="inlineStr">
        <is>
          <t>No</t>
        </is>
      </c>
      <c r="I10" s="56" t="n">
        <v>2</v>
      </c>
      <c r="J10" s="81" t="n">
        <v>2</v>
      </c>
      <c r="L10" s="81" t="n">
        <v>1</v>
      </c>
      <c r="M10" s="81" t="n">
        <v>1</v>
      </c>
    </row>
    <row r="11" ht="13.65" customHeight="1" s="90">
      <c r="A11" s="56" t="n">
        <v>7</v>
      </c>
      <c r="B11" s="56">
        <f t="array" ref="B11">ROUND('Tuning'!$B$27*POWER('Tuning'!$B$28,A11-1),0)</f>
        <v/>
      </c>
      <c r="C11" s="56">
        <f t="array" ref="C11">C10+B11</f>
        <v/>
      </c>
      <c r="D11" s="92">
        <f>ROUND(C11/Tuning!$B$26,1)</f>
        <v/>
      </c>
      <c r="E11" s="69" t="inlineStr">
        <is>
          <t>First Aid I: heal 5 more HP when a round is cleared</t>
        </is>
      </c>
      <c r="F11" s="56" t="n">
        <v>20</v>
      </c>
      <c r="G11" s="56" t="n">
        <v>0.85</v>
      </c>
      <c r="H11" s="56" t="inlineStr">
        <is>
          <t>No</t>
        </is>
      </c>
      <c r="I11" s="56" t="n">
        <v>2</v>
      </c>
      <c r="J11" s="81" t="n">
        <v>2</v>
      </c>
      <c r="K11" s="81" t="n">
        <v>5</v>
      </c>
      <c r="L11" s="81" t="n">
        <v>1</v>
      </c>
      <c r="M11" s="81" t="n">
        <v>1</v>
      </c>
    </row>
    <row r="12" ht="13.65" customHeight="1" s="90">
      <c r="A12" s="56" t="n">
        <v>8</v>
      </c>
      <c r="B12" s="56">
        <f t="array" ref="B12">ROUND('Tuning'!$B$27*POWER('Tuning'!$B$28,A12-1),0)</f>
        <v/>
      </c>
      <c r="C12" s="56">
        <f t="array" ref="C12">C11+B12</f>
        <v/>
      </c>
      <c r="D12" s="92">
        <f>ROUND(C12/Tuning!$B$26,1)</f>
        <v/>
      </c>
      <c r="E12" s="69" t="inlineStr">
        <is>
          <t>Back in Action I: respawn 10% sooner</t>
        </is>
      </c>
      <c r="F12" s="56" t="n">
        <v>20</v>
      </c>
      <c r="G12" s="56" t="n">
        <v>0.85</v>
      </c>
      <c r="H12" s="56" t="inlineStr">
        <is>
          <t>No</t>
        </is>
      </c>
      <c r="I12" s="56" t="n">
        <v>2</v>
      </c>
      <c r="J12" s="81" t="n">
        <v>2</v>
      </c>
      <c r="K12" s="81" t="n">
        <v>5</v>
      </c>
      <c r="L12" s="81" t="n">
        <v>0.9</v>
      </c>
      <c r="M12" s="81" t="n">
        <v>1</v>
      </c>
    </row>
    <row r="13" ht="13.65" customHeight="1" s="90">
      <c r="A13" s="56" t="n">
        <v>9</v>
      </c>
      <c r="B13" s="56">
        <f t="array" ref="B13">ROUND('Tuning'!$B$27*POWER('Tuning'!$B$28,A13-1),0)</f>
        <v/>
      </c>
      <c r="C13" s="56">
        <f t="array" ref="C13">C12+B13</f>
        <v/>
      </c>
      <c r="D13" s="92">
        <f>ROUND(C13/Tuning!$B$26,1)</f>
        <v/>
      </c>
      <c r="E13" s="69" t="inlineStr">
        <is>
          <t>Handyman I: repairs cost 5% less</t>
        </is>
      </c>
      <c r="F13" s="56" t="n">
        <v>20</v>
      </c>
      <c r="G13" s="56" t="n">
        <v>0.85</v>
      </c>
      <c r="H13" s="56" t="inlineStr">
        <is>
          <t>No</t>
        </is>
      </c>
      <c r="I13" s="56" t="n">
        <v>2</v>
      </c>
      <c r="J13" s="81" t="n">
        <v>2</v>
      </c>
      <c r="K13" s="81" t="n">
        <v>5</v>
      </c>
      <c r="L13" s="81" t="n">
        <v>0.9</v>
      </c>
      <c r="M13" s="81" t="n">
        <v>0.95</v>
      </c>
    </row>
    <row r="14" ht="13.65" customHeight="1" s="90">
      <c r="A14" s="66" t="n">
        <v>10</v>
      </c>
      <c r="B14" s="66">
        <f t="array" ref="B14">ROUND('Tuning'!$B$27*POWER('Tuning'!$B$28,A14-1),0)</f>
        <v/>
      </c>
      <c r="C14" s="66">
        <f t="array" ref="C14">C13+B14</f>
        <v/>
      </c>
      <c r="D14" s="93">
        <f>ROUND(C14/Tuning!$B$26,1)</f>
        <v/>
      </c>
      <c r="E14" s="68" t="inlineStr">
        <is>
          <t>Start every match with your first upgrade free, plus this hero's mastery-10 ability perk</t>
        </is>
      </c>
      <c r="F14" s="66" t="n">
        <v>20</v>
      </c>
      <c r="G14" s="66" t="n">
        <v>0.85</v>
      </c>
      <c r="H14" s="66" t="inlineStr">
        <is>
          <t>Yes</t>
        </is>
      </c>
      <c r="I14" s="66" t="n">
        <v>2</v>
      </c>
      <c r="J14" s="81" t="n">
        <v>2</v>
      </c>
      <c r="K14" s="81" t="n">
        <v>5</v>
      </c>
      <c r="L14" s="81" t="n">
        <v>0.9</v>
      </c>
      <c r="M14" s="81" t="n">
        <v>0.95</v>
      </c>
    </row>
    <row r="15" ht="13.65" customHeight="1" s="90">
      <c r="A15" s="56" t="n">
        <v>11</v>
      </c>
      <c r="B15" s="56">
        <f t="array" ref="B15">ROUND('Tuning'!$B$27*POWER('Tuning'!$B$28,A15-1),0)</f>
        <v/>
      </c>
      <c r="C15" s="56">
        <f t="array" ref="C15">C14+B15</f>
        <v/>
      </c>
      <c r="D15" s="92">
        <f>ROUND(C15/Tuning!$B$26,1)</f>
        <v/>
      </c>
      <c r="E15" s="69" t="inlineStr">
        <is>
          <t>Long Arms II: pick up chests and med kits from 4 studs away</t>
        </is>
      </c>
      <c r="F15" s="56" t="n">
        <v>20</v>
      </c>
      <c r="G15" s="56" t="n">
        <v>0.85</v>
      </c>
      <c r="H15" s="56" t="inlineStr">
        <is>
          <t>Yes</t>
        </is>
      </c>
      <c r="I15" s="56" t="n">
        <v>2</v>
      </c>
      <c r="J15" s="81" t="n">
        <v>4</v>
      </c>
      <c r="K15" s="81" t="n">
        <v>5</v>
      </c>
      <c r="L15" s="81" t="n">
        <v>0.9</v>
      </c>
      <c r="M15" s="81" t="n">
        <v>0.95</v>
      </c>
    </row>
    <row r="16" ht="13.65" customHeight="1" s="90">
      <c r="A16" s="56" t="n">
        <v>12</v>
      </c>
      <c r="B16" s="56">
        <f t="array" ref="B16">ROUND('Tuning'!$B$27*POWER('Tuning'!$B$28,A16-1),0)</f>
        <v/>
      </c>
      <c r="C16" s="56">
        <f t="array" ref="C16">C15+B16</f>
        <v/>
      </c>
      <c r="D16" s="92">
        <f>ROUND(C16/Tuning!$B$26,1)</f>
        <v/>
      </c>
      <c r="E16" s="69" t="inlineStr">
        <is>
          <t>First Aid II: heal 10 more HP when a round is cleared</t>
        </is>
      </c>
      <c r="F16" s="56" t="n">
        <v>20</v>
      </c>
      <c r="G16" s="56" t="n">
        <v>0.85</v>
      </c>
      <c r="H16" s="56" t="inlineStr">
        <is>
          <t>Yes</t>
        </is>
      </c>
      <c r="I16" s="56" t="n">
        <v>2</v>
      </c>
      <c r="J16" s="81" t="n">
        <v>4</v>
      </c>
      <c r="K16" s="81" t="n">
        <v>10</v>
      </c>
      <c r="L16" s="81" t="n">
        <v>0.9</v>
      </c>
      <c r="M16" s="81" t="n">
        <v>0.95</v>
      </c>
    </row>
    <row r="17" ht="13.65" customHeight="1" s="90">
      <c r="A17" s="56" t="n">
        <v>13</v>
      </c>
      <c r="B17" s="56">
        <f t="array" ref="B17">ROUND('Tuning'!$B$27*POWER('Tuning'!$B$28,A17-1),0)</f>
        <v/>
      </c>
      <c r="C17" s="56">
        <f t="array" ref="C17">C16+B17</f>
        <v/>
      </c>
      <c r="D17" s="92">
        <f>ROUND(C17/Tuning!$B$26,1)</f>
        <v/>
      </c>
      <c r="E17" s="69" t="inlineStr">
        <is>
          <t>Back in Action II: respawn 20% sooner</t>
        </is>
      </c>
      <c r="F17" s="56" t="n">
        <v>20</v>
      </c>
      <c r="G17" s="56" t="n">
        <v>0.85</v>
      </c>
      <c r="H17" s="56" t="inlineStr">
        <is>
          <t>Yes</t>
        </is>
      </c>
      <c r="I17" s="56" t="n">
        <v>2</v>
      </c>
      <c r="J17" s="81" t="n">
        <v>4</v>
      </c>
      <c r="K17" s="81" t="n">
        <v>10</v>
      </c>
      <c r="L17" s="81" t="n">
        <v>0.8</v>
      </c>
      <c r="M17" s="81" t="n">
        <v>0.95</v>
      </c>
    </row>
    <row r="18" ht="13.65" customHeight="1" s="90">
      <c r="A18" s="56" t="n">
        <v>14</v>
      </c>
      <c r="B18" s="56">
        <f t="array" ref="B18">ROUND('Tuning'!$B$27*POWER('Tuning'!$B$28,A18-1),0)</f>
        <v/>
      </c>
      <c r="C18" s="56">
        <f t="array" ref="C18">C17+B18</f>
        <v/>
      </c>
      <c r="D18" s="92">
        <f>ROUND(C18/Tuning!$B$26,1)</f>
        <v/>
      </c>
      <c r="E18" s="69" t="inlineStr">
        <is>
          <t>Handyman II: repairs cost 10% less</t>
        </is>
      </c>
      <c r="F18" s="56" t="n">
        <v>20</v>
      </c>
      <c r="G18" s="56" t="n">
        <v>0.85</v>
      </c>
      <c r="H18" s="56" t="inlineStr">
        <is>
          <t>Yes</t>
        </is>
      </c>
      <c r="I18" s="56" t="n">
        <v>2</v>
      </c>
      <c r="J18" s="81" t="n">
        <v>4</v>
      </c>
      <c r="K18" s="81" t="n">
        <v>10</v>
      </c>
      <c r="L18" s="81" t="n">
        <v>0.8</v>
      </c>
      <c r="M18" s="81" t="n">
        <v>0.9</v>
      </c>
    </row>
    <row r="19" ht="13.65" customHeight="1" s="90">
      <c r="A19" s="66" t="n">
        <v>15</v>
      </c>
      <c r="B19" s="66">
        <f t="array" ref="B19">ROUND('Tuning'!$B$27*POWER('Tuning'!$B$28,A19-1),0)</f>
        <v/>
      </c>
      <c r="C19" s="66">
        <f t="array" ref="C19">C18+B19</f>
        <v/>
      </c>
      <c r="D19" s="93">
        <f>ROUND(C19/Tuning!$B$26,1)</f>
        <v/>
      </c>
      <c r="E19" s="68" t="inlineStr">
        <is>
          <t>Ability cooldown -30%, plus this hero's mastery-15 ability perk</t>
        </is>
      </c>
      <c r="F19" s="66" t="n">
        <v>20</v>
      </c>
      <c r="G19" s="66" t="n">
        <v>0.7</v>
      </c>
      <c r="H19" s="66" t="inlineStr">
        <is>
          <t>Yes</t>
        </is>
      </c>
      <c r="I19" s="66" t="n">
        <v>2</v>
      </c>
      <c r="J19" s="81" t="n">
        <v>4</v>
      </c>
      <c r="K19" s="81" t="n">
        <v>10</v>
      </c>
      <c r="L19" s="81" t="n">
        <v>0.8</v>
      </c>
      <c r="M19" s="81" t="n">
        <v>0.9</v>
      </c>
    </row>
    <row r="20" ht="13.65" customHeight="1" s="90">
      <c r="A20" s="56" t="n">
        <v>16</v>
      </c>
      <c r="B20" s="56">
        <f t="array" ref="B20">ROUND('Tuning'!$B$27*POWER('Tuning'!$B$28,A20-1),0)</f>
        <v/>
      </c>
      <c r="C20" s="56">
        <f t="array" ref="C20">C19+B20</f>
        <v/>
      </c>
      <c r="D20" s="92">
        <f>ROUND(C20/Tuning!$B$26,1)</f>
        <v/>
      </c>
      <c r="E20" s="69" t="inlineStr">
        <is>
          <t>Long Arms III: pick up chests and med kits from 6 studs away</t>
        </is>
      </c>
      <c r="F20" s="56" t="n">
        <v>20</v>
      </c>
      <c r="G20" s="56" t="n">
        <v>0.7</v>
      </c>
      <c r="H20" s="56" t="inlineStr">
        <is>
          <t>Yes</t>
        </is>
      </c>
      <c r="I20" s="56" t="n">
        <v>2</v>
      </c>
      <c r="J20" s="81" t="n">
        <v>6</v>
      </c>
      <c r="K20" s="81" t="n">
        <v>10</v>
      </c>
      <c r="L20" s="81" t="n">
        <v>0.8</v>
      </c>
      <c r="M20" s="81" t="n">
        <v>0.9</v>
      </c>
    </row>
    <row r="21" ht="13.65" customHeight="1" s="90">
      <c r="A21" s="56" t="n">
        <v>17</v>
      </c>
      <c r="B21" s="56">
        <f t="array" ref="B21">ROUND('Tuning'!$B$27*POWER('Tuning'!$B$28,A21-1),0)</f>
        <v/>
      </c>
      <c r="C21" s="56">
        <f t="array" ref="C21">C20+B21</f>
        <v/>
      </c>
      <c r="D21" s="92">
        <f>ROUND(C21/Tuning!$B$26,1)</f>
        <v/>
      </c>
      <c r="E21" s="69" t="inlineStr">
        <is>
          <t>First Aid III: heal 15 more HP when a round is cleared</t>
        </is>
      </c>
      <c r="F21" s="56" t="n">
        <v>20</v>
      </c>
      <c r="G21" s="56" t="n">
        <v>0.7</v>
      </c>
      <c r="H21" s="56" t="inlineStr">
        <is>
          <t>Yes</t>
        </is>
      </c>
      <c r="I21" s="56" t="n">
        <v>2</v>
      </c>
      <c r="J21" s="81" t="n">
        <v>6</v>
      </c>
      <c r="K21" s="81" t="n">
        <v>15</v>
      </c>
      <c r="L21" s="81" t="n">
        <v>0.8</v>
      </c>
      <c r="M21" s="81" t="n">
        <v>0.9</v>
      </c>
    </row>
    <row r="22" ht="13.65" customHeight="1" s="90">
      <c r="A22" s="56" t="n">
        <v>18</v>
      </c>
      <c r="B22" s="56">
        <f t="array" ref="B22">ROUND('Tuning'!$B$27*POWER('Tuning'!$B$28,A22-1),0)</f>
        <v/>
      </c>
      <c r="C22" s="56">
        <f t="array" ref="C22">C21+B22</f>
        <v/>
      </c>
      <c r="D22" s="92">
        <f>ROUND(C22/Tuning!$B$26,1)</f>
        <v/>
      </c>
      <c r="E22" s="69" t="inlineStr">
        <is>
          <t>Back in Action III: respawn 30% sooner</t>
        </is>
      </c>
      <c r="F22" s="56" t="n">
        <v>20</v>
      </c>
      <c r="G22" s="56" t="n">
        <v>0.7</v>
      </c>
      <c r="H22" s="56" t="inlineStr">
        <is>
          <t>Yes</t>
        </is>
      </c>
      <c r="I22" s="56" t="n">
        <v>2</v>
      </c>
      <c r="J22" s="81" t="n">
        <v>6</v>
      </c>
      <c r="K22" s="81" t="n">
        <v>15</v>
      </c>
      <c r="L22" s="81" t="n">
        <v>0.7</v>
      </c>
      <c r="M22" s="81" t="n">
        <v>0.9</v>
      </c>
    </row>
    <row r="23" ht="13.65" customHeight="1" s="90">
      <c r="A23" s="56" t="n">
        <v>19</v>
      </c>
      <c r="B23" s="56">
        <f t="array" ref="B23">ROUND('Tuning'!$B$27*POWER('Tuning'!$B$28,A23-1),0)</f>
        <v/>
      </c>
      <c r="C23" s="56">
        <f t="array" ref="C23">C22+B23</f>
        <v/>
      </c>
      <c r="D23" s="92">
        <f>ROUND(C23/Tuning!$B$26,1)</f>
        <v/>
      </c>
      <c r="E23" s="69" t="inlineStr">
        <is>
          <t>Handyman III: repairs cost 15% less</t>
        </is>
      </c>
      <c r="F23" s="56" t="n">
        <v>20</v>
      </c>
      <c r="G23" s="56" t="n">
        <v>0.7</v>
      </c>
      <c r="H23" s="56" t="inlineStr">
        <is>
          <t>Yes</t>
        </is>
      </c>
      <c r="I23" s="56" t="n">
        <v>2</v>
      </c>
      <c r="J23" s="81" t="n">
        <v>6</v>
      </c>
      <c r="K23" s="81" t="n">
        <v>15</v>
      </c>
      <c r="L23" s="81" t="n">
        <v>0.7</v>
      </c>
      <c r="M23" s="81" t="n">
        <v>0.85</v>
      </c>
    </row>
    <row r="24" ht="13.65" customHeight="1" s="90">
      <c r="A24" s="66" t="n">
        <v>20</v>
      </c>
      <c r="B24" s="66">
        <f t="array" ref="B24">ROUND('Tuning'!$B$27*POWER('Tuning'!$B$28,A24-1),0)</f>
        <v/>
      </c>
      <c r="C24" s="66">
        <f t="array" ref="C24">C23+B24</f>
        <v/>
      </c>
      <c r="D24" s="93">
        <f>ROUND(C24/Tuning!$B$26,1)</f>
        <v/>
      </c>
      <c r="E24" s="68" t="inlineStr">
        <is>
          <t>Mastery skin (gold gun), and this hero's second upgrade path can reach tier 3</t>
        </is>
      </c>
      <c r="F24" s="66" t="n">
        <v>20</v>
      </c>
      <c r="G24" s="66" t="n">
        <v>0.7</v>
      </c>
      <c r="H24" s="66" t="inlineStr">
        <is>
          <t>Yes</t>
        </is>
      </c>
      <c r="I24" s="66" t="n">
        <v>3</v>
      </c>
      <c r="J24" s="81" t="n">
        <v>6</v>
      </c>
      <c r="K24" s="81" t="n">
        <v>15</v>
      </c>
      <c r="L24" s="81" t="n">
        <v>0.7</v>
      </c>
      <c r="M24" s="81" t="n">
        <v>0.85</v>
      </c>
    </row>
    <row r="25" ht="13.55" customHeight="1" s="90">
      <c r="A25" s="62" t="n"/>
      <c r="B25" s="49" t="n"/>
      <c r="C25" s="49" t="n"/>
      <c r="D25" s="49" t="n"/>
      <c r="E25" s="50" t="n"/>
    </row>
    <row r="26" ht="13.55" customHeight="1" s="90">
      <c r="A26" s="70" t="inlineStr">
        <is>
          <t>'Matches to earn' assumes an average run reaching round 25.</t>
        </is>
      </c>
      <c r="B26" s="16" t="n"/>
      <c r="C26" s="16" t="n"/>
      <c r="D26" s="16" t="n"/>
      <c r="E26" s="1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7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10" customWidth="1" style="81" min="1" max="1"/>
    <col width="16" customWidth="1" style="81" min="2" max="2"/>
    <col width="10" customWidth="1" style="81" min="3" max="3"/>
    <col width="11" customWidth="1" style="81" min="4" max="4"/>
    <col width="9" customWidth="1" style="81" min="5" max="5"/>
    <col width="14" customWidth="1" style="81" min="6" max="6"/>
    <col width="12" customWidth="1" style="81" min="7" max="7"/>
    <col width="13" customWidth="1" style="81" min="8" max="8"/>
    <col width="12" customWidth="1" style="81" min="9" max="9"/>
    <col width="9" customWidth="1" style="81" min="10" max="10"/>
    <col width="46" customWidth="1" style="81" min="11" max="11"/>
    <col width="8.67188" customWidth="1" style="81" min="12" max="13"/>
    <col width="8.67188" customWidth="1" style="81" min="14" max="16384"/>
    <col width="14" customWidth="1" style="90" min="15" max="15"/>
    <col width="14" customWidth="1" style="90" min="16" max="16"/>
    <col width="14" customWidth="1" style="90" min="17" max="17"/>
    <col width="14" customWidth="1" style="90" min="18" max="18"/>
    <col width="14" customWidth="1" style="90" min="19" max="19"/>
    <col width="14" customWidth="1" style="90" min="20" max="20"/>
    <col width="14" customWidth="1" style="90" min="21" max="21"/>
    <col width="14" customWidth="1" style="90" min="22" max="22"/>
    <col width="14" customWidth="1" style="90" min="23" max="23"/>
    <col width="14" customWidth="1" style="90" min="24" max="24"/>
  </cols>
  <sheetData>
    <row r="1" ht="18.5" customHeight="1" s="90">
      <c r="A1" s="2" t="inlineStr">
        <is>
          <t>DINOSAURS — each tier is its own species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  <c r="L1" s="36" t="n"/>
      <c r="M1" s="4" t="n"/>
    </row>
    <row r="2" ht="13.65" customHeight="1" s="90">
      <c r="A2" s="5" t="inlineStr">
        <is>
          <t>Base HP is the species' total HP across all its sizes. A hit that empties a size shrinks the dino one size (same species, HP split evenly across sizes); the smallest size dies. Keys stay internal.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7" t="n"/>
      <c r="L2" s="8" t="n"/>
      <c r="M2" s="7" t="n"/>
    </row>
    <row r="3" ht="13.55" customHeight="1" s="90">
      <c r="A3" s="19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41" t="n"/>
      <c r="L3" s="19" t="n"/>
      <c r="M3" s="41" t="n"/>
    </row>
    <row r="4" ht="27.75" customHeight="1" s="90">
      <c r="A4" s="21" t="inlineStr">
        <is>
          <t>Key</t>
        </is>
      </c>
      <c r="B4" s="21" t="inlineStr">
        <is>
          <t>Enemy</t>
        </is>
      </c>
      <c r="C4" s="21" t="inlineStr">
        <is>
          <t>Base HP</t>
        </is>
      </c>
      <c r="D4" s="21" t="inlineStr">
        <is>
          <t>Scaled HP</t>
        </is>
      </c>
      <c r="E4" s="21" t="inlineStr">
        <is>
          <t>Speed x</t>
        </is>
      </c>
      <c r="F4" s="21" t="inlineStr">
        <is>
          <t>Splits into</t>
        </is>
      </c>
      <c r="G4" s="21" t="inlineStr">
        <is>
          <t>Split count</t>
        </is>
      </c>
      <c r="H4" s="21" t="inlineStr">
        <is>
          <t>Effective HP</t>
        </is>
      </c>
      <c r="I4" s="21" t="inlineStr">
        <is>
          <t>Cash value</t>
        </is>
      </c>
      <c r="J4" s="21" t="inlineStr">
        <is>
          <t>Flying</t>
        </is>
      </c>
      <c r="K4" s="21" t="inlineStr">
        <is>
          <t>Note</t>
        </is>
      </c>
      <c r="L4" s="21" t="inlineStr">
        <is>
          <t>Armored</t>
        </is>
      </c>
      <c r="M4" s="21" t="inlineStr">
        <is>
          <t>Boss</t>
        </is>
      </c>
      <c r="N4" s="21" t="inlineStr">
        <is>
          <t>Sizes</t>
        </is>
      </c>
      <c r="O4" s="21" t="inlineStr">
        <is>
          <t>Melee name</t>
        </is>
      </c>
      <c r="P4" s="21" t="inlineStr">
        <is>
          <t>Melee damage</t>
        </is>
      </c>
      <c r="Q4" s="21" t="inlineStr">
        <is>
          <t>Melee every (s)</t>
        </is>
      </c>
      <c r="R4" s="21" t="inlineStr">
        <is>
          <t>Melee reach (studs)</t>
        </is>
      </c>
      <c r="S4" s="21" t="inlineStr">
        <is>
          <t>Ranged name</t>
        </is>
      </c>
      <c r="T4" s="21" t="inlineStr">
        <is>
          <t>Ranged damage</t>
        </is>
      </c>
      <c r="U4" s="21" t="inlineStr">
        <is>
          <t>Ranged every (s)</t>
        </is>
      </c>
      <c r="V4" s="21" t="inlineStr">
        <is>
          <t>Ranged reach (studs)</t>
        </is>
      </c>
      <c r="W4" s="21" t="inlineStr">
        <is>
          <t>Projectile speed (studs/s)</t>
        </is>
      </c>
      <c r="X4" s="21" t="inlineStr">
        <is>
          <t>Impact radius (studs)</t>
        </is>
      </c>
      <c r="Y4" s="104" t="inlineStr">
        <is>
          <t>Break resist</t>
        </is>
      </c>
    </row>
    <row r="5" ht="13.65" customHeight="1" s="90">
      <c r="A5" s="65" t="inlineStr">
        <is>
          <t>HUSK</t>
        </is>
      </c>
      <c r="B5" s="43" t="inlineStr">
        <is>
          <t>Compy</t>
        </is>
      </c>
      <c r="C5" s="27" t="n">
        <v>1</v>
      </c>
      <c r="D5" s="92">
        <f t="array" ref="D5">ROUND(C5*'Tuning'!$B$16,1)</f>
        <v/>
      </c>
      <c r="E5" s="30" t="n">
        <v>1</v>
      </c>
      <c r="F5" s="43" t="inlineStr">
        <is>
          <t>—</t>
        </is>
      </c>
      <c r="G5" s="60" t="n">
        <v>0</v>
      </c>
      <c r="H5" s="92">
        <f t="array" ref="H5">D5</f>
        <v/>
      </c>
      <c r="I5" s="56">
        <f t="array" ref="I5">ROUND(H5*'Tuning'!$B$8,0)</f>
        <v/>
      </c>
      <c r="J5" s="46" t="inlineStr">
        <is>
          <t>No</t>
        </is>
      </c>
      <c r="K5" s="47" t="inlineStr">
        <is>
          <t>Tiny pack hunter. The baseline.</t>
        </is>
      </c>
      <c r="L5" s="46" t="inlineStr">
        <is>
          <t>No</t>
        </is>
      </c>
      <c r="M5" s="46" t="inlineStr">
        <is>
          <t>No</t>
        </is>
      </c>
      <c r="N5" s="60" t="n">
        <v>1</v>
      </c>
      <c r="O5" s="43" t="inlineStr">
        <is>
          <t>Nip</t>
        </is>
      </c>
      <c r="P5" s="60" t="n">
        <v>2</v>
      </c>
      <c r="Q5" s="60" t="n">
        <v>1</v>
      </c>
      <c r="R5" s="60" t="n">
        <v>8</v>
      </c>
      <c r="S5" s="43" t="n"/>
      <c r="T5" s="60" t="n">
        <v>0</v>
      </c>
      <c r="U5" s="60" t="n">
        <v>0</v>
      </c>
      <c r="V5" s="60" t="n">
        <v>0</v>
      </c>
      <c r="W5" s="60" t="n">
        <v>0</v>
      </c>
      <c r="X5" s="60" t="n">
        <v>0</v>
      </c>
      <c r="Y5" s="106" t="n">
        <v>0</v>
      </c>
    </row>
    <row r="6" ht="13.65" customHeight="1" s="90">
      <c r="A6" s="65" t="inlineStr">
        <is>
          <t>BRUTE</t>
        </is>
      </c>
      <c r="B6" s="43" t="inlineStr">
        <is>
          <t>Raptor</t>
        </is>
      </c>
      <c r="C6" s="27" t="n">
        <v>3</v>
      </c>
      <c r="D6" s="92">
        <f t="array" ref="D6">ROUND(C6*'Tuning'!$B$16,1)</f>
        <v/>
      </c>
      <c r="E6" s="30" t="n">
        <v>1.2</v>
      </c>
      <c r="F6" s="43" t="inlineStr">
        <is>
          <t>—</t>
        </is>
      </c>
      <c r="G6" s="60" t="n">
        <v>0</v>
      </c>
      <c r="H6" s="92">
        <f t="array" ref="H6">D6+G6*H5</f>
        <v/>
      </c>
      <c r="I6" s="56">
        <f t="array" ref="I6">ROUND(H6*'Tuning'!$B$8,0)</f>
        <v/>
      </c>
      <c r="J6" s="46" t="inlineStr">
        <is>
          <t>No</t>
        </is>
      </c>
      <c r="K6" s="61" t="n"/>
      <c r="L6" s="46" t="inlineStr">
        <is>
          <t>No</t>
        </is>
      </c>
      <c r="M6" s="46" t="inlineStr">
        <is>
          <t>No</t>
        </is>
      </c>
      <c r="N6" s="60" t="n">
        <v>2</v>
      </c>
      <c r="O6" s="43" t="inlineStr">
        <is>
          <t>Slash</t>
        </is>
      </c>
      <c r="P6" s="60" t="n">
        <v>4</v>
      </c>
      <c r="Q6" s="60" t="n">
        <v>1.2</v>
      </c>
      <c r="R6" s="60" t="n">
        <v>9</v>
      </c>
      <c r="S6" s="43" t="n"/>
      <c r="T6" s="60" t="n">
        <v>0</v>
      </c>
      <c r="U6" s="60" t="n">
        <v>0</v>
      </c>
      <c r="V6" s="60" t="n">
        <v>0</v>
      </c>
      <c r="W6" s="60" t="n">
        <v>0</v>
      </c>
      <c r="X6" s="60" t="n">
        <v>0</v>
      </c>
      <c r="Y6" s="106" t="n">
        <v>0</v>
      </c>
    </row>
    <row r="7" ht="13.65" customHeight="1" s="90">
      <c r="A7" s="65" t="inlineStr">
        <is>
          <t>SHIELD</t>
        </is>
      </c>
      <c r="B7" s="43" t="inlineStr">
        <is>
          <t>Pachycephalosaurus</t>
        </is>
      </c>
      <c r="C7" s="27" t="n">
        <v>8</v>
      </c>
      <c r="D7" s="92">
        <f t="array" ref="D7">ROUND(C7*'Tuning'!$B$16,1)</f>
        <v/>
      </c>
      <c r="E7" s="30" t="n">
        <v>1</v>
      </c>
      <c r="F7" s="43" t="inlineStr">
        <is>
          <t>—</t>
        </is>
      </c>
      <c r="G7" s="60" t="n">
        <v>0</v>
      </c>
      <c r="H7" s="92">
        <f t="array" ref="H7">D7+G7*H6</f>
        <v/>
      </c>
      <c r="I7" s="56">
        <f t="array" ref="I7">ROUND(H7*'Tuning'!$B$8,0)</f>
        <v/>
      </c>
      <c r="J7" s="46" t="inlineStr">
        <is>
          <t>No</t>
        </is>
      </c>
      <c r="K7" s="61" t="inlineStr">
        <is>
          <t>Head-butter.</t>
        </is>
      </c>
      <c r="L7" s="46" t="inlineStr">
        <is>
          <t>No</t>
        </is>
      </c>
      <c r="M7" s="46" t="inlineStr">
        <is>
          <t>No</t>
        </is>
      </c>
      <c r="N7" s="60" t="n">
        <v>3</v>
      </c>
      <c r="O7" s="43" t="inlineStr">
        <is>
          <t>Head-Butt</t>
        </is>
      </c>
      <c r="P7" s="60" t="n">
        <v>6</v>
      </c>
      <c r="Q7" s="60" t="n">
        <v>1.5</v>
      </c>
      <c r="R7" s="60" t="n">
        <v>9</v>
      </c>
      <c r="S7" s="43" t="inlineStr">
        <is>
          <t>Skull Toss</t>
        </is>
      </c>
      <c r="T7" s="60" t="n">
        <v>3</v>
      </c>
      <c r="U7" s="60" t="n">
        <v>8</v>
      </c>
      <c r="V7" s="60" t="n">
        <v>22</v>
      </c>
      <c r="W7" s="60" t="n">
        <v>40</v>
      </c>
      <c r="X7" s="60" t="n">
        <v>3</v>
      </c>
      <c r="Y7" s="106" t="n">
        <v>0</v>
      </c>
    </row>
    <row r="8" ht="13.65" customHeight="1" s="90">
      <c r="A8" s="65" t="inlineStr">
        <is>
          <t>ARMOR</t>
        </is>
      </c>
      <c r="B8" s="43" t="inlineStr">
        <is>
          <t>Ankylosaurus</t>
        </is>
      </c>
      <c r="C8" s="27" t="n">
        <v>19</v>
      </c>
      <c r="D8" s="92">
        <f t="array" ref="D8">ROUND(C8*'Tuning'!$B$16,1)</f>
        <v/>
      </c>
      <c r="E8" s="30" t="n">
        <v>0.8</v>
      </c>
      <c r="F8" s="43" t="inlineStr">
        <is>
          <t>—</t>
        </is>
      </c>
      <c r="G8" s="60" t="n">
        <v>0</v>
      </c>
      <c r="H8" s="92">
        <f t="array" ref="H8">D8+G8*H7</f>
        <v/>
      </c>
      <c r="I8" s="56">
        <f t="array" ref="I8">ROUND(H8*'Tuning'!$B$8,0)</f>
        <v/>
      </c>
      <c r="J8" s="46" t="inlineStr">
        <is>
          <t>No</t>
        </is>
      </c>
      <c r="K8" s="47" t="inlineStr">
        <is>
          <t>Armoured: needs armour-piercing (or a stripping Tranq) to hurt.</t>
        </is>
      </c>
      <c r="L8" s="46" t="inlineStr">
        <is>
          <t>Yes</t>
        </is>
      </c>
      <c r="M8" s="46" t="inlineStr">
        <is>
          <t>No</t>
        </is>
      </c>
      <c r="N8" s="60" t="n">
        <v>3</v>
      </c>
      <c r="O8" s="43" t="inlineStr">
        <is>
          <t>Tail Club</t>
        </is>
      </c>
      <c r="P8" s="60" t="n">
        <v>10</v>
      </c>
      <c r="Q8" s="60" t="n">
        <v>2</v>
      </c>
      <c r="R8" s="60" t="n">
        <v>10</v>
      </c>
      <c r="S8" s="43" t="inlineStr">
        <is>
          <t>Spike Flick</t>
        </is>
      </c>
      <c r="T8" s="60" t="n">
        <v>4</v>
      </c>
      <c r="U8" s="60" t="n">
        <v>8</v>
      </c>
      <c r="V8" s="60" t="n">
        <v>20</v>
      </c>
      <c r="W8" s="60" t="n">
        <v>50</v>
      </c>
      <c r="X8" s="60" t="n">
        <v>3</v>
      </c>
      <c r="Y8" s="106" t="n">
        <v>1</v>
      </c>
    </row>
    <row r="9" ht="13.65" customHeight="1" s="90">
      <c r="A9" s="65" t="inlineStr">
        <is>
          <t>STORM</t>
        </is>
      </c>
      <c r="B9" s="43" t="inlineStr">
        <is>
          <t>Gallimimus</t>
        </is>
      </c>
      <c r="C9" s="27" t="n">
        <v>61</v>
      </c>
      <c r="D9" s="92">
        <f t="array" ref="D9">ROUND(C9*'Tuning'!$B$16,1)</f>
        <v/>
      </c>
      <c r="E9" s="30" t="n">
        <v>1.4</v>
      </c>
      <c r="F9" s="43" t="inlineStr">
        <is>
          <t>—</t>
        </is>
      </c>
      <c r="G9" s="60" t="n">
        <v>0</v>
      </c>
      <c r="H9" s="92">
        <f t="array" ref="H9">D9+G9*H8</f>
        <v/>
      </c>
      <c r="I9" s="56">
        <f t="array" ref="I9">ROUND(H9*'Tuning'!$B$8,0)</f>
        <v/>
      </c>
      <c r="J9" s="46" t="inlineStr">
        <is>
          <t>No</t>
        </is>
      </c>
      <c r="K9" s="47" t="inlineStr">
        <is>
          <t>Fast. Slows matter.</t>
        </is>
      </c>
      <c r="L9" s="46" t="inlineStr">
        <is>
          <t>No</t>
        </is>
      </c>
      <c r="M9" s="46" t="inlineStr">
        <is>
          <t>No</t>
        </is>
      </c>
      <c r="N9" s="60" t="n">
        <v>3</v>
      </c>
      <c r="O9" s="43" t="inlineStr">
        <is>
          <t>Kick</t>
        </is>
      </c>
      <c r="P9" s="60" t="n">
        <v>6</v>
      </c>
      <c r="Q9" s="60" t="n">
        <v>1</v>
      </c>
      <c r="R9" s="60" t="n">
        <v>9</v>
      </c>
      <c r="S9" s="43" t="inlineStr">
        <is>
          <t>Gravel Spray</t>
        </is>
      </c>
      <c r="T9" s="60" t="n">
        <v>5</v>
      </c>
      <c r="U9" s="60" t="n">
        <v>6.5</v>
      </c>
      <c r="V9" s="60" t="n">
        <v>25</v>
      </c>
      <c r="W9" s="60" t="n">
        <v>70</v>
      </c>
      <c r="X9" s="60" t="n">
        <v>3</v>
      </c>
      <c r="Y9" s="106" t="n">
        <v>0</v>
      </c>
    </row>
    <row r="10" ht="13.65" customHeight="1" s="90">
      <c r="A10" s="65" t="inlineStr">
        <is>
          <t>LLAMA</t>
        </is>
      </c>
      <c r="B10" s="43" t="inlineStr">
        <is>
          <t>Pteranodon</t>
        </is>
      </c>
      <c r="C10" s="27" t="n">
        <v>20</v>
      </c>
      <c r="D10" s="92">
        <f t="array" ref="D10">ROUND(C10*'Tuning'!$B$16,1)</f>
        <v/>
      </c>
      <c r="E10" s="30" t="n">
        <v>0.9</v>
      </c>
      <c r="F10" s="43" t="inlineStr">
        <is>
          <t>—</t>
        </is>
      </c>
      <c r="G10" s="60" t="n">
        <v>0</v>
      </c>
      <c r="H10" s="92">
        <f t="array" ref="H10">D10+G10*H7</f>
        <v/>
      </c>
      <c r="I10" s="56">
        <f t="array" ref="I10">ROUND(H10*'Tuning'!$B$8,0)</f>
        <v/>
      </c>
      <c r="J10" s="46" t="inlineStr">
        <is>
          <t>Yes</t>
        </is>
      </c>
      <c r="K10" s="47" t="inlineStr">
        <is>
          <t>Flying. The Mortar Pit cannot hit it.</t>
        </is>
      </c>
      <c r="L10" s="46" t="inlineStr">
        <is>
          <t>No</t>
        </is>
      </c>
      <c r="M10" s="46" t="inlineStr">
        <is>
          <t>No</t>
        </is>
      </c>
      <c r="N10" s="60" t="n">
        <v>3</v>
      </c>
      <c r="O10" s="43" t="n"/>
      <c r="P10" s="60" t="n">
        <v>0</v>
      </c>
      <c r="Q10" s="60" t="n">
        <v>0</v>
      </c>
      <c r="R10" s="60" t="n">
        <v>0</v>
      </c>
      <c r="S10" s="43" t="inlineStr">
        <is>
          <t>Stone Drop</t>
        </is>
      </c>
      <c r="T10" s="60" t="n">
        <v>5</v>
      </c>
      <c r="U10" s="60" t="n">
        <v>6.5</v>
      </c>
      <c r="V10" s="60" t="n">
        <v>18</v>
      </c>
      <c r="W10" s="60" t="n">
        <v>35</v>
      </c>
      <c r="X10" s="60" t="n">
        <v>4</v>
      </c>
      <c r="Y10" s="106" t="n">
        <v>0</v>
      </c>
    </row>
    <row r="11" ht="13.65" customHeight="1" s="90">
      <c r="A11" s="65" t="inlineStr">
        <is>
          <t>ZEP</t>
        </is>
      </c>
      <c r="B11" s="43" t="inlineStr">
        <is>
          <t>Triceratops</t>
        </is>
      </c>
      <c r="C11" s="27" t="n">
        <v>280</v>
      </c>
      <c r="D11" s="92">
        <f t="array" ref="D11">ROUND(C11*'Tuning'!$B$16,1)</f>
        <v/>
      </c>
      <c r="E11" s="30" t="n">
        <v>0.5</v>
      </c>
      <c r="F11" s="43" t="inlineStr">
        <is>
          <t>—</t>
        </is>
      </c>
      <c r="G11" s="60" t="n">
        <v>0</v>
      </c>
      <c r="H11" s="92">
        <f t="array" ref="H11">D11+G11*H10</f>
        <v/>
      </c>
      <c r="I11" s="56">
        <f t="array" ref="I11">ROUND(H11*'Tuning'!$B$8,0)</f>
        <v/>
      </c>
      <c r="J11" s="46" t="inlineStr">
        <is>
          <t>No</t>
        </is>
      </c>
      <c r="K11" s="47" t="inlineStr">
        <is>
          <t>Ground boss.</t>
        </is>
      </c>
      <c r="L11" s="46" t="inlineStr">
        <is>
          <t>No</t>
        </is>
      </c>
      <c r="M11" s="46" t="inlineStr">
        <is>
          <t>Yes</t>
        </is>
      </c>
      <c r="N11" s="60" t="n">
        <v>4</v>
      </c>
      <c r="O11" s="43" t="inlineStr">
        <is>
          <t>Gore</t>
        </is>
      </c>
      <c r="P11" s="60" t="n">
        <v>25</v>
      </c>
      <c r="Q11" s="60" t="n">
        <v>2</v>
      </c>
      <c r="R11" s="60" t="n">
        <v>12</v>
      </c>
      <c r="S11" s="43" t="inlineStr">
        <is>
          <t>Horn Toss</t>
        </is>
      </c>
      <c r="T11" s="60" t="n">
        <v>20</v>
      </c>
      <c r="U11" s="60" t="n">
        <v>5</v>
      </c>
      <c r="V11" s="60" t="n">
        <v>30</v>
      </c>
      <c r="W11" s="60" t="n">
        <v>45</v>
      </c>
      <c r="X11" s="60" t="n">
        <v>5</v>
      </c>
      <c r="Y11" s="106" t="n">
        <v>1</v>
      </c>
    </row>
    <row r="12" ht="13.65" customHeight="1" s="90">
      <c r="A12" s="65" t="inlineStr">
        <is>
          <t>BARGE</t>
        </is>
      </c>
      <c r="B12" s="43" t="inlineStr">
        <is>
          <t>T-Rex</t>
        </is>
      </c>
      <c r="C12" s="27" t="n">
        <v>1820</v>
      </c>
      <c r="D12" s="92">
        <f t="array" ref="D12">ROUND(C12*'Tuning'!$B$16,1)</f>
        <v/>
      </c>
      <c r="E12" s="30" t="n">
        <v>0.4</v>
      </c>
      <c r="F12" s="43" t="inlineStr">
        <is>
          <t>—</t>
        </is>
      </c>
      <c r="G12" s="60" t="n">
        <v>0</v>
      </c>
      <c r="H12" s="92">
        <f t="array" ref="H12">D12+G12*H11</f>
        <v/>
      </c>
      <c r="I12" s="56">
        <f t="array" ref="I12">ROUND(H12*'Tuning'!$B$8,0)</f>
        <v/>
      </c>
      <c r="J12" s="46" t="inlineStr">
        <is>
          <t>No</t>
        </is>
      </c>
      <c r="K12" s="47" t="inlineStr">
        <is>
          <t>Ground boss. Round 40 finale.</t>
        </is>
      </c>
      <c r="L12" s="46" t="inlineStr">
        <is>
          <t>No</t>
        </is>
      </c>
      <c r="M12" s="46" t="inlineStr">
        <is>
          <t>Yes</t>
        </is>
      </c>
      <c r="N12" s="60" t="n">
        <v>5</v>
      </c>
      <c r="O12" s="43" t="inlineStr">
        <is>
          <t>Chomp</t>
        </is>
      </c>
      <c r="P12" s="60" t="n">
        <v>50</v>
      </c>
      <c r="Q12" s="60" t="n">
        <v>2.5</v>
      </c>
      <c r="R12" s="60" t="n">
        <v>14</v>
      </c>
      <c r="S12" s="43" t="inlineStr">
        <is>
          <t>Bone Spit</t>
        </is>
      </c>
      <c r="T12" s="60" t="n">
        <v>35</v>
      </c>
      <c r="U12" s="60" t="n">
        <v>6</v>
      </c>
      <c r="V12" s="60" t="n">
        <v>35</v>
      </c>
      <c r="W12" s="60" t="n">
        <v>35</v>
      </c>
      <c r="X12" s="60" t="n">
        <v>8</v>
      </c>
      <c r="Y12" s="106" t="n">
        <v>2</v>
      </c>
    </row>
    <row r="13" ht="13.55" customHeight="1" s="90">
      <c r="A13" s="62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50" t="n"/>
      <c r="L13" s="62" t="n"/>
      <c r="M13" s="50" t="n"/>
    </row>
    <row r="14" ht="14.6" customHeight="1" s="90">
      <c r="A14" s="11" t="inlineStr">
        <is>
          <t>EFFECTIVE HP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 t="n"/>
      <c r="L14" s="8" t="n"/>
      <c r="M14" s="7" t="n"/>
    </row>
    <row r="15" ht="13.55" customHeight="1" s="90">
      <c r="A15" s="63" t="inlineStr">
        <is>
          <t>Effective HP: total damage to clear one dino, every size included.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7" t="n"/>
      <c r="L15" s="72" t="n"/>
      <c r="M15" s="17" t="n"/>
    </row>
    <row r="16">
      <c r="A16" s="63" t="inlineStr">
        <is>
          <t>Melee: every dino bites the nearest tower or hunter within reach (studs sideways from the track), dealing damage x size/sizes x Difficulty Dino damage x. The Pteranodon only has a ranged attack.</t>
        </is>
      </c>
    </row>
    <row r="17">
      <c r="A17" s="63" t="inlineStr">
        <is>
          <t>Ranged: mid and high tiers also throw something at the nearest tower or hunter in reach. It flies in a straight line (no homing) to where the target was, and hurts every hunter and standing tower within the impact radius. Values are at the dino's largest size, on Easy.</t>
        </is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7" customWidth="1" style="81" min="1" max="7"/>
    <col width="9" customWidth="1" style="81" min="8" max="8"/>
    <col width="7" customWidth="1" style="81" min="9" max="9"/>
    <col width="9" customWidth="1" style="81" min="10" max="10"/>
    <col width="13" customWidth="1" style="81" min="11" max="12"/>
    <col width="11" customWidth="1" style="81" min="13" max="13"/>
    <col width="15" customWidth="1" style="81" min="14" max="14"/>
    <col width="13" customWidth="1" style="81" min="15" max="15"/>
    <col width="12" customWidth="1" style="81" min="16" max="16"/>
    <col width="13" customWidth="1" style="81" min="17" max="18"/>
    <col width="15" customWidth="1" style="81" min="19" max="19"/>
    <col width="8.67188" customWidth="1" style="81" min="20" max="16384"/>
  </cols>
  <sheetData>
    <row r="1" ht="18.5" customHeight="1" s="90">
      <c r="A1" s="2" t="inlineStr">
        <is>
          <t>ROUND TABLE — 40 rounds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4" t="n"/>
    </row>
    <row r="2" ht="13.65" customHeight="1" s="90">
      <c r="A2" s="5" t="inlineStr">
        <is>
          <t>Blue counts are the designer's call, not a formula. Everything to the right of them is derived.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7" t="n"/>
    </row>
    <row r="3" ht="13.55" customHeight="1" s="90">
      <c r="A3" s="19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41" t="n"/>
    </row>
    <row r="4" ht="27.75" customHeight="1" s="90">
      <c r="A4" s="21" t="inlineStr">
        <is>
          <t>Round</t>
        </is>
      </c>
      <c r="B4" s="21" t="inlineStr">
        <is>
          <t>Compy</t>
        </is>
      </c>
      <c r="C4" s="21" t="inlineStr">
        <is>
          <t>Raptor</t>
        </is>
      </c>
      <c r="D4" s="21" t="inlineStr">
        <is>
          <t>Pachy</t>
        </is>
      </c>
      <c r="E4" s="21" t="inlineStr">
        <is>
          <t>Ankylosaurus</t>
        </is>
      </c>
      <c r="F4" s="21" t="inlineStr">
        <is>
          <t>Gallimimus</t>
        </is>
      </c>
      <c r="G4" s="21" t="inlineStr">
        <is>
          <t>Pteranodon</t>
        </is>
      </c>
      <c r="H4" s="21" t="inlineStr">
        <is>
          <t>Triceratops</t>
        </is>
      </c>
      <c r="I4" s="21" t="inlineStr">
        <is>
          <t>T-Rex</t>
        </is>
      </c>
      <c r="J4" s="21" t="inlineStr">
        <is>
          <t>Enemies</t>
        </is>
      </c>
      <c r="K4" s="21" t="inlineStr">
        <is>
          <t>HP multiplier</t>
        </is>
      </c>
      <c r="L4" s="21" t="inlineStr">
        <is>
          <t>Spawn gap (s)</t>
        </is>
      </c>
      <c r="M4" s="21" t="inlineStr">
        <is>
          <t>Total EHP</t>
        </is>
      </c>
      <c r="N4" s="21" t="inlineStr">
        <is>
          <t>Round length (s)</t>
        </is>
      </c>
      <c r="O4" s="21" t="inlineStr">
        <is>
          <t>Required DPS</t>
        </is>
      </c>
      <c r="P4" s="21" t="inlineStr">
        <is>
          <t>Kill income</t>
        </is>
      </c>
      <c r="Q4" s="21" t="inlineStr">
        <is>
          <t>Round bonus</t>
        </is>
      </c>
      <c r="R4" s="21" t="inlineStr">
        <is>
          <t>Round income</t>
        </is>
      </c>
      <c r="S4" s="21" t="inlineStr">
        <is>
          <t>Cumulative cash</t>
        </is>
      </c>
    </row>
    <row r="5" ht="13.65" customHeight="1" s="90">
      <c r="A5" s="56" t="n">
        <v>1</v>
      </c>
      <c r="B5" s="60" t="n">
        <v>17</v>
      </c>
      <c r="C5" s="60" t="n">
        <v>7</v>
      </c>
      <c r="D5" s="60" t="n">
        <v>0</v>
      </c>
      <c r="E5" s="60" t="n">
        <v>0</v>
      </c>
      <c r="F5" s="60" t="n">
        <v>0</v>
      </c>
      <c r="G5" s="60" t="n">
        <v>0</v>
      </c>
      <c r="H5" s="60" t="n">
        <v>0</v>
      </c>
      <c r="I5" s="60" t="n">
        <v>0</v>
      </c>
      <c r="J5" s="56">
        <f t="array" ref="J5">SUM(B5:I5)</f>
        <v/>
      </c>
      <c r="K5" s="94">
        <f t="array" ref="K5">ROUND(POWER('Tuning'!$B$17,A5-1),3)</f>
        <v/>
      </c>
      <c r="L5" s="57" t="n">
        <v>1.19</v>
      </c>
      <c r="M5" s="75">
        <f t="array" ref="M5">ROUND((B5*'Enemies'!$H$5+C5*'Enemies'!$H$6+D5*'Enemies'!$H$7+E5*'Enemies'!$H$8+F5*'Enemies'!$H$9+G5*'Enemies'!$H$10+H5*'Enemies'!$H$11+I5*'Enemies'!$H$12)*K5,0)</f>
        <v/>
      </c>
      <c r="N5" s="56">
        <f t="array" ref="N5">ROUND(J5*L5+14,0)</f>
        <v/>
      </c>
      <c r="O5" s="92">
        <f t="array" ref="O5">IF(N5=0,0,ROUND(M5/N5,1))</f>
        <v/>
      </c>
      <c r="P5" s="56">
        <f t="array" ref="P5">ROUND(M5*'Tuning'!$B$8,0)</f>
        <v/>
      </c>
      <c r="Q5" s="56">
        <f t="array" ref="Q5">ROUND('Tuning'!$B$9+'Tuning'!$B$10*A5,0)</f>
        <v/>
      </c>
      <c r="R5" s="56">
        <f t="array" ref="R5">P5+Q5</f>
        <v/>
      </c>
      <c r="S5" s="56">
        <f t="array" ref="S5">'Tuning'!$B$6+R5</f>
        <v/>
      </c>
    </row>
    <row r="6" ht="13.65" customHeight="1" s="90">
      <c r="A6" s="56" t="n">
        <v>2</v>
      </c>
      <c r="B6" s="60" t="n">
        <v>20</v>
      </c>
      <c r="C6" s="60" t="n">
        <v>8</v>
      </c>
      <c r="D6" s="60" t="n">
        <v>0</v>
      </c>
      <c r="E6" s="60" t="n">
        <v>0</v>
      </c>
      <c r="F6" s="60" t="n">
        <v>0</v>
      </c>
      <c r="G6" s="60" t="n">
        <v>0</v>
      </c>
      <c r="H6" s="60" t="n">
        <v>0</v>
      </c>
      <c r="I6" s="60" t="n">
        <v>0</v>
      </c>
      <c r="J6" s="56">
        <f t="array" ref="J6">SUM(B6:I6)</f>
        <v/>
      </c>
      <c r="K6" s="94">
        <f t="array" ref="K6">ROUND(POWER('Tuning'!$B$17,A6-1),3)</f>
        <v/>
      </c>
      <c r="L6" s="57" t="n">
        <v>1.17</v>
      </c>
      <c r="M6" s="75">
        <f t="array" ref="M6">ROUND((B6*'Enemies'!$H$5+C6*'Enemies'!$H$6+D6*'Enemies'!$H$7+E6*'Enemies'!$H$8+F6*'Enemies'!$H$9+G6*'Enemies'!$H$10+H6*'Enemies'!$H$11+I6*'Enemies'!$H$12)*K6,0)</f>
        <v/>
      </c>
      <c r="N6" s="56">
        <f t="array" ref="N6">ROUND(J6*L6+14,0)</f>
        <v/>
      </c>
      <c r="O6" s="92">
        <f t="array" ref="O6">IF(N6=0,0,ROUND(M6/N6,1))</f>
        <v/>
      </c>
      <c r="P6" s="56">
        <f t="array" ref="P6">ROUND(M6*'Tuning'!$B$8,0)</f>
        <v/>
      </c>
      <c r="Q6" s="56">
        <f t="array" ref="Q6">ROUND('Tuning'!$B$9+'Tuning'!$B$10*A6,0)</f>
        <v/>
      </c>
      <c r="R6" s="56">
        <f t="array" ref="R6">P6+Q6</f>
        <v/>
      </c>
      <c r="S6" s="56">
        <f t="array" ref="S6">S5+R6</f>
        <v/>
      </c>
    </row>
    <row r="7" ht="13.65" customHeight="1" s="90">
      <c r="A7" s="56" t="n">
        <v>3</v>
      </c>
      <c r="B7" s="60" t="n">
        <v>23</v>
      </c>
      <c r="C7" s="60" t="n">
        <v>9</v>
      </c>
      <c r="D7" s="60" t="n">
        <v>0</v>
      </c>
      <c r="E7" s="60" t="n">
        <v>0</v>
      </c>
      <c r="F7" s="60" t="n">
        <v>0</v>
      </c>
      <c r="G7" s="60" t="n">
        <v>0</v>
      </c>
      <c r="H7" s="60" t="n">
        <v>0</v>
      </c>
      <c r="I7" s="60" t="n">
        <v>0</v>
      </c>
      <c r="J7" s="56">
        <f t="array" ref="J7">SUM(B7:I7)</f>
        <v/>
      </c>
      <c r="K7" s="94">
        <f t="array" ref="K7">ROUND(POWER('Tuning'!$B$17,A7-1),3)</f>
        <v/>
      </c>
      <c r="L7" s="57" t="n">
        <v>1.16</v>
      </c>
      <c r="M7" s="75">
        <f t="array" ref="M7">ROUND((B7*'Enemies'!$H$5+C7*'Enemies'!$H$6+D7*'Enemies'!$H$7+E7*'Enemies'!$H$8+F7*'Enemies'!$H$9+G7*'Enemies'!$H$10+H7*'Enemies'!$H$11+I7*'Enemies'!$H$12)*K7,0)</f>
        <v/>
      </c>
      <c r="N7" s="56">
        <f t="array" ref="N7">ROUND(J7*L7+14,0)</f>
        <v/>
      </c>
      <c r="O7" s="92">
        <f t="array" ref="O7">IF(N7=0,0,ROUND(M7/N7,1))</f>
        <v/>
      </c>
      <c r="P7" s="56">
        <f t="array" ref="P7">ROUND(M7*'Tuning'!$B$8,0)</f>
        <v/>
      </c>
      <c r="Q7" s="56">
        <f t="array" ref="Q7">ROUND('Tuning'!$B$9+'Tuning'!$B$10*A7,0)</f>
        <v/>
      </c>
      <c r="R7" s="56">
        <f t="array" ref="R7">P7+Q7</f>
        <v/>
      </c>
      <c r="S7" s="56">
        <f t="array" ref="S7">S6+R7</f>
        <v/>
      </c>
    </row>
    <row r="8" ht="13.65" customHeight="1" s="90">
      <c r="A8" s="56" t="n">
        <v>4</v>
      </c>
      <c r="B8" s="60" t="n">
        <v>26</v>
      </c>
      <c r="C8" s="60" t="n">
        <v>10</v>
      </c>
      <c r="D8" s="60" t="n">
        <v>0</v>
      </c>
      <c r="E8" s="60" t="n">
        <v>0</v>
      </c>
      <c r="F8" s="60" t="n">
        <v>0</v>
      </c>
      <c r="G8" s="60" t="n">
        <v>0</v>
      </c>
      <c r="H8" s="60" t="n">
        <v>0</v>
      </c>
      <c r="I8" s="60" t="n">
        <v>0</v>
      </c>
      <c r="J8" s="56">
        <f t="array" ref="J8">SUM(B8:I8)</f>
        <v/>
      </c>
      <c r="K8" s="94">
        <f t="array" ref="K8">ROUND(POWER('Tuning'!$B$17,A8-1),3)</f>
        <v/>
      </c>
      <c r="L8" s="57" t="n">
        <v>1.14</v>
      </c>
      <c r="M8" s="75">
        <f t="array" ref="M8">ROUND((B8*'Enemies'!$H$5+C8*'Enemies'!$H$6+D8*'Enemies'!$H$7+E8*'Enemies'!$H$8+F8*'Enemies'!$H$9+G8*'Enemies'!$H$10+H8*'Enemies'!$H$11+I8*'Enemies'!$H$12)*K8,0)</f>
        <v/>
      </c>
      <c r="N8" s="56">
        <f t="array" ref="N8">ROUND(J8*L8+14,0)</f>
        <v/>
      </c>
      <c r="O8" s="92">
        <f t="array" ref="O8">IF(N8=0,0,ROUND(M8/N8,1))</f>
        <v/>
      </c>
      <c r="P8" s="56">
        <f t="array" ref="P8">ROUND(M8*'Tuning'!$B$8,0)</f>
        <v/>
      </c>
      <c r="Q8" s="56">
        <f t="array" ref="Q8">ROUND('Tuning'!$B$9+'Tuning'!$B$10*A8,0)</f>
        <v/>
      </c>
      <c r="R8" s="56">
        <f t="array" ref="R8">P8+Q8</f>
        <v/>
      </c>
      <c r="S8" s="56">
        <f t="array" ref="S8">S7+R8</f>
        <v/>
      </c>
    </row>
    <row r="9" ht="13.65" customHeight="1" s="90">
      <c r="A9" s="56" t="n">
        <v>5</v>
      </c>
      <c r="B9" s="60" t="n">
        <v>29</v>
      </c>
      <c r="C9" s="60" t="n">
        <v>11</v>
      </c>
      <c r="D9" s="60" t="n">
        <v>0</v>
      </c>
      <c r="E9" s="60" t="n">
        <v>0</v>
      </c>
      <c r="F9" s="60" t="n">
        <v>0</v>
      </c>
      <c r="G9" s="60" t="n">
        <v>0</v>
      </c>
      <c r="H9" s="60" t="n">
        <v>0</v>
      </c>
      <c r="I9" s="60" t="n">
        <v>0</v>
      </c>
      <c r="J9" s="56">
        <f t="array" ref="J9">SUM(B9:I9)</f>
        <v/>
      </c>
      <c r="K9" s="94">
        <f t="array" ref="K9">ROUND(POWER('Tuning'!$B$17,A9-1),3)</f>
        <v/>
      </c>
      <c r="L9" s="57" t="n">
        <v>1.13</v>
      </c>
      <c r="M9" s="75">
        <f t="array" ref="M9">ROUND((B9*'Enemies'!$H$5+C9*'Enemies'!$H$6+D9*'Enemies'!$H$7+E9*'Enemies'!$H$8+F9*'Enemies'!$H$9+G9*'Enemies'!$H$10+H9*'Enemies'!$H$11+I9*'Enemies'!$H$12)*K9,0)</f>
        <v/>
      </c>
      <c r="N9" s="56">
        <f t="array" ref="N9">ROUND(J9*L9+14,0)</f>
        <v/>
      </c>
      <c r="O9" s="92">
        <f t="array" ref="O9">IF(N9=0,0,ROUND(M9/N9,1))</f>
        <v/>
      </c>
      <c r="P9" s="56">
        <f t="array" ref="P9">ROUND(M9*'Tuning'!$B$8,0)</f>
        <v/>
      </c>
      <c r="Q9" s="56">
        <f t="array" ref="Q9">ROUND('Tuning'!$B$9+'Tuning'!$B$10*A9,0)</f>
        <v/>
      </c>
      <c r="R9" s="56">
        <f t="array" ref="R9">P9+Q9</f>
        <v/>
      </c>
      <c r="S9" s="56">
        <f t="array" ref="S9">S8+R9</f>
        <v/>
      </c>
    </row>
    <row r="10" ht="13.65" customHeight="1" s="90">
      <c r="A10" s="56" t="n">
        <v>6</v>
      </c>
      <c r="B10" s="60" t="n">
        <v>32</v>
      </c>
      <c r="C10" s="60" t="n">
        <v>12</v>
      </c>
      <c r="D10" s="60" t="n">
        <v>0</v>
      </c>
      <c r="E10" s="60" t="n">
        <v>0</v>
      </c>
      <c r="F10" s="60" t="n">
        <v>0</v>
      </c>
      <c r="G10" s="60" t="n">
        <v>0</v>
      </c>
      <c r="H10" s="60" t="n">
        <v>0</v>
      </c>
      <c r="I10" s="60" t="n">
        <v>0</v>
      </c>
      <c r="J10" s="56">
        <f t="array" ref="J10">SUM(B10:I10)</f>
        <v/>
      </c>
      <c r="K10" s="94">
        <f t="array" ref="K10">ROUND(POWER('Tuning'!$B$17,A10-1),3)</f>
        <v/>
      </c>
      <c r="L10" s="57" t="n">
        <v>1.12</v>
      </c>
      <c r="M10" s="75">
        <f t="array" ref="M10">ROUND((B10*'Enemies'!$H$5+C10*'Enemies'!$H$6+D10*'Enemies'!$H$7+E10*'Enemies'!$H$8+F10*'Enemies'!$H$9+G10*'Enemies'!$H$10+H10*'Enemies'!$H$11+I10*'Enemies'!$H$12)*K10,0)</f>
        <v/>
      </c>
      <c r="N10" s="56">
        <f t="array" ref="N10">ROUND(J10*L10+14,0)</f>
        <v/>
      </c>
      <c r="O10" s="92">
        <f t="array" ref="O10">IF(N10=0,0,ROUND(M10/N10,1))</f>
        <v/>
      </c>
      <c r="P10" s="56">
        <f t="array" ref="P10">ROUND(M10*'Tuning'!$B$8,0)</f>
        <v/>
      </c>
      <c r="Q10" s="56">
        <f t="array" ref="Q10">ROUND('Tuning'!$B$9+'Tuning'!$B$10*A10,0)</f>
        <v/>
      </c>
      <c r="R10" s="56">
        <f t="array" ref="R10">P10+Q10</f>
        <v/>
      </c>
      <c r="S10" s="56">
        <f t="array" ref="S10">S9+R10</f>
        <v/>
      </c>
    </row>
    <row r="11" ht="13.65" customHeight="1" s="90">
      <c r="A11" s="56" t="n">
        <v>7</v>
      </c>
      <c r="B11" s="60" t="n">
        <v>35</v>
      </c>
      <c r="C11" s="60" t="n">
        <v>13</v>
      </c>
      <c r="D11" s="60" t="n">
        <v>2</v>
      </c>
      <c r="E11" s="60" t="n">
        <v>0</v>
      </c>
      <c r="F11" s="60" t="n">
        <v>0</v>
      </c>
      <c r="G11" s="60" t="n">
        <v>0</v>
      </c>
      <c r="H11" s="60" t="n">
        <v>0</v>
      </c>
      <c r="I11" s="60" t="n">
        <v>0</v>
      </c>
      <c r="J11" s="56">
        <f t="array" ref="J11">SUM(B11:I11)</f>
        <v/>
      </c>
      <c r="K11" s="94">
        <f t="array" ref="K11">ROUND(POWER('Tuning'!$B$17,A11-1),3)</f>
        <v/>
      </c>
      <c r="L11" s="57" t="n">
        <v>1.1</v>
      </c>
      <c r="M11" s="75">
        <f t="array" ref="M11">ROUND((B11*'Enemies'!$H$5+C11*'Enemies'!$H$6+D11*'Enemies'!$H$7+E11*'Enemies'!$H$8+F11*'Enemies'!$H$9+G11*'Enemies'!$H$10+H11*'Enemies'!$H$11+I11*'Enemies'!$H$12)*K11,0)</f>
        <v/>
      </c>
      <c r="N11" s="56">
        <f t="array" ref="N11">ROUND(J11*L11+14,0)</f>
        <v/>
      </c>
      <c r="O11" s="92">
        <f t="array" ref="O11">IF(N11=0,0,ROUND(M11/N11,1))</f>
        <v/>
      </c>
      <c r="P11" s="56">
        <f t="array" ref="P11">ROUND(M11*'Tuning'!$B$8,0)</f>
        <v/>
      </c>
      <c r="Q11" s="56">
        <f t="array" ref="Q11">ROUND('Tuning'!$B$9+'Tuning'!$B$10*A11,0)</f>
        <v/>
      </c>
      <c r="R11" s="56">
        <f t="array" ref="R11">P11+Q11</f>
        <v/>
      </c>
      <c r="S11" s="56">
        <f t="array" ref="S11">S10+R11</f>
        <v/>
      </c>
    </row>
    <row r="12" ht="13.65" customHeight="1" s="90">
      <c r="A12" s="56" t="n">
        <v>8</v>
      </c>
      <c r="B12" s="60" t="n">
        <v>37</v>
      </c>
      <c r="C12" s="60" t="n">
        <v>15</v>
      </c>
      <c r="D12" s="60" t="n">
        <v>4</v>
      </c>
      <c r="E12" s="60" t="n">
        <v>0</v>
      </c>
      <c r="F12" s="60" t="n">
        <v>0</v>
      </c>
      <c r="G12" s="60" t="n">
        <v>0</v>
      </c>
      <c r="H12" s="60" t="n">
        <v>0</v>
      </c>
      <c r="I12" s="60" t="n">
        <v>0</v>
      </c>
      <c r="J12" s="56">
        <f t="array" ref="J12">SUM(B12:I12)</f>
        <v/>
      </c>
      <c r="K12" s="94">
        <f t="array" ref="K12">ROUND(POWER('Tuning'!$B$17,A12-1),3)</f>
        <v/>
      </c>
      <c r="L12" s="57" t="n">
        <v>1.09</v>
      </c>
      <c r="M12" s="75">
        <f t="array" ref="M12">ROUND((B12*'Enemies'!$H$5+C12*'Enemies'!$H$6+D12*'Enemies'!$H$7+E12*'Enemies'!$H$8+F12*'Enemies'!$H$9+G12*'Enemies'!$H$10+H12*'Enemies'!$H$11+I12*'Enemies'!$H$12)*K12,0)</f>
        <v/>
      </c>
      <c r="N12" s="56">
        <f t="array" ref="N12">ROUND(J12*L12+14,0)</f>
        <v/>
      </c>
      <c r="O12" s="92">
        <f t="array" ref="O12">IF(N12=0,0,ROUND(M12/N12,1))</f>
        <v/>
      </c>
      <c r="P12" s="56">
        <f t="array" ref="P12">ROUND(M12*'Tuning'!$B$8,0)</f>
        <v/>
      </c>
      <c r="Q12" s="56">
        <f t="array" ref="Q12">ROUND('Tuning'!$B$9+'Tuning'!$B$10*A12,0)</f>
        <v/>
      </c>
      <c r="R12" s="56">
        <f t="array" ref="R12">P12+Q12</f>
        <v/>
      </c>
      <c r="S12" s="56">
        <f t="array" ref="S12">S11+R12</f>
        <v/>
      </c>
    </row>
    <row r="13" ht="13.65" customHeight="1" s="90">
      <c r="A13" s="56" t="n">
        <v>9</v>
      </c>
      <c r="B13" s="60" t="n">
        <v>40</v>
      </c>
      <c r="C13" s="60" t="n">
        <v>16</v>
      </c>
      <c r="D13" s="60" t="n">
        <v>6</v>
      </c>
      <c r="E13" s="60" t="n">
        <v>0</v>
      </c>
      <c r="F13" s="60" t="n">
        <v>0</v>
      </c>
      <c r="G13" s="60" t="n">
        <v>1</v>
      </c>
      <c r="H13" s="60" t="n">
        <v>0</v>
      </c>
      <c r="I13" s="60" t="n">
        <v>0</v>
      </c>
      <c r="J13" s="56">
        <f t="array" ref="J13">SUM(B13:I13)</f>
        <v/>
      </c>
      <c r="K13" s="94">
        <f t="array" ref="K13">ROUND(POWER('Tuning'!$B$17,A13-1),3)</f>
        <v/>
      </c>
      <c r="L13" s="57" t="n">
        <v>1.07</v>
      </c>
      <c r="M13" s="75">
        <f t="array" ref="M13">ROUND((B13*'Enemies'!$H$5+C13*'Enemies'!$H$6+D13*'Enemies'!$H$7+E13*'Enemies'!$H$8+F13*'Enemies'!$H$9+G13*'Enemies'!$H$10+H13*'Enemies'!$H$11+I13*'Enemies'!$H$12)*K13,0)</f>
        <v/>
      </c>
      <c r="N13" s="56">
        <f t="array" ref="N13">ROUND(J13*L13+14,0)</f>
        <v/>
      </c>
      <c r="O13" s="92">
        <f t="array" ref="O13">IF(N13=0,0,ROUND(M13/N13,1))</f>
        <v/>
      </c>
      <c r="P13" s="56">
        <f t="array" ref="P13">ROUND(M13*'Tuning'!$B$8,0)</f>
        <v/>
      </c>
      <c r="Q13" s="56">
        <f t="array" ref="Q13">ROUND('Tuning'!$B$9+'Tuning'!$B$10*A13,0)</f>
        <v/>
      </c>
      <c r="R13" s="56">
        <f t="array" ref="R13">P13+Q13</f>
        <v/>
      </c>
      <c r="S13" s="56">
        <f t="array" ref="S13">S12+R13</f>
        <v/>
      </c>
    </row>
    <row r="14" ht="13.65" customHeight="1" s="90">
      <c r="A14" s="56" t="n">
        <v>10</v>
      </c>
      <c r="B14" s="60" t="n">
        <v>43</v>
      </c>
      <c r="C14" s="60" t="n">
        <v>17</v>
      </c>
      <c r="D14" s="60" t="n">
        <v>9</v>
      </c>
      <c r="E14" s="60" t="n">
        <v>2</v>
      </c>
      <c r="F14" s="60" t="n">
        <v>0</v>
      </c>
      <c r="G14" s="60" t="n">
        <v>2</v>
      </c>
      <c r="H14" s="60" t="n">
        <v>0</v>
      </c>
      <c r="I14" s="60" t="n">
        <v>0</v>
      </c>
      <c r="J14" s="56">
        <f t="array" ref="J14">SUM(B14:I14)</f>
        <v/>
      </c>
      <c r="K14" s="94">
        <f t="array" ref="K14">ROUND(POWER('Tuning'!$B$17,A14-1),3)</f>
        <v/>
      </c>
      <c r="L14" s="57" t="n">
        <v>1.06</v>
      </c>
      <c r="M14" s="75">
        <f t="array" ref="M14">ROUND((B14*'Enemies'!$H$5+C14*'Enemies'!$H$6+D14*'Enemies'!$H$7+E14*'Enemies'!$H$8+F14*'Enemies'!$H$9+G14*'Enemies'!$H$10+H14*'Enemies'!$H$11+I14*'Enemies'!$H$12)*K14,0)</f>
        <v/>
      </c>
      <c r="N14" s="56">
        <f t="array" ref="N14">ROUND(J14*L14+14,0)</f>
        <v/>
      </c>
      <c r="O14" s="92">
        <f t="array" ref="O14">IF(N14=0,0,ROUND(M14/N14,1))</f>
        <v/>
      </c>
      <c r="P14" s="56">
        <f t="array" ref="P14">ROUND(M14*'Tuning'!$B$8,0)</f>
        <v/>
      </c>
      <c r="Q14" s="56">
        <f t="array" ref="Q14">ROUND('Tuning'!$B$9+'Tuning'!$B$10*A14,0)</f>
        <v/>
      </c>
      <c r="R14" s="56">
        <f t="array" ref="R14">P14+Q14</f>
        <v/>
      </c>
      <c r="S14" s="56">
        <f t="array" ref="S14">S13+R14</f>
        <v/>
      </c>
    </row>
    <row r="15" ht="13.65" customHeight="1" s="90">
      <c r="A15" s="66" t="n">
        <v>11</v>
      </c>
      <c r="B15" s="76" t="n">
        <v>19</v>
      </c>
      <c r="C15" s="76" t="n">
        <v>16</v>
      </c>
      <c r="D15" s="76" t="n">
        <v>14</v>
      </c>
      <c r="E15" s="76" t="n">
        <v>6</v>
      </c>
      <c r="F15" s="76" t="n">
        <v>0</v>
      </c>
      <c r="G15" s="76" t="n">
        <v>5</v>
      </c>
      <c r="H15" s="76" t="n">
        <v>0</v>
      </c>
      <c r="I15" s="76" t="n">
        <v>0</v>
      </c>
      <c r="J15" s="66">
        <f t="array" ref="J15">SUM(B15:I15)</f>
        <v/>
      </c>
      <c r="K15" s="95">
        <f t="array" ref="K15">ROUND(POWER('Tuning'!$B$17,A15-1),3)</f>
        <v/>
      </c>
      <c r="L15" s="78" t="n">
        <v>1.05</v>
      </c>
      <c r="M15" s="79">
        <f t="array" ref="M15">ROUND((B15*'Enemies'!$H$5+C15*'Enemies'!$H$6+D15*'Enemies'!$H$7+E15*'Enemies'!$H$8+F15*'Enemies'!$H$9+G15*'Enemies'!$H$10+H15*'Enemies'!$H$11+I15*'Enemies'!$H$12)*K15,0)</f>
        <v/>
      </c>
      <c r="N15" s="66">
        <f t="array" ref="N15">ROUND(J15*L15+14,0)</f>
        <v/>
      </c>
      <c r="O15" s="93">
        <f t="array" ref="O15">IF(N15=0,0,ROUND(M15/N15,1))</f>
        <v/>
      </c>
      <c r="P15" s="66">
        <f t="array" ref="P15">ROUND(M15*'Tuning'!$B$8,0)</f>
        <v/>
      </c>
      <c r="Q15" s="66">
        <f t="array" ref="Q15">ROUND('Tuning'!$B$9+'Tuning'!$B$10*A15,0)</f>
        <v/>
      </c>
      <c r="R15" s="66">
        <f t="array" ref="R15">P15+Q15</f>
        <v/>
      </c>
      <c r="S15" s="66">
        <f t="array" ref="S15">S14+R15</f>
        <v/>
      </c>
    </row>
    <row r="16" ht="13.65" customHeight="1" s="90">
      <c r="A16" s="56" t="n">
        <v>12</v>
      </c>
      <c r="B16" s="60" t="n">
        <v>20</v>
      </c>
      <c r="C16" s="60" t="n">
        <v>17</v>
      </c>
      <c r="D16" s="60" t="n">
        <v>16</v>
      </c>
      <c r="E16" s="60" t="n">
        <v>7</v>
      </c>
      <c r="F16" s="60" t="n">
        <v>0</v>
      </c>
      <c r="G16" s="60" t="n">
        <v>5</v>
      </c>
      <c r="H16" s="60" t="n">
        <v>0</v>
      </c>
      <c r="I16" s="60" t="n">
        <v>0</v>
      </c>
      <c r="J16" s="56">
        <f t="array" ref="J16">SUM(B16:I16)</f>
        <v/>
      </c>
      <c r="K16" s="94">
        <f t="array" ref="K16">ROUND(POWER('Tuning'!$B$17,A16-1),3)</f>
        <v/>
      </c>
      <c r="L16" s="57" t="n">
        <v>1.03</v>
      </c>
      <c r="M16" s="75">
        <f t="array" ref="M16">ROUND((B16*'Enemies'!$H$5+C16*'Enemies'!$H$6+D16*'Enemies'!$H$7+E16*'Enemies'!$H$8+F16*'Enemies'!$H$9+G16*'Enemies'!$H$10+H16*'Enemies'!$H$11+I16*'Enemies'!$H$12)*K16,0)</f>
        <v/>
      </c>
      <c r="N16" s="56">
        <f t="array" ref="N16">ROUND(J16*L16+14,0)</f>
        <v/>
      </c>
      <c r="O16" s="92">
        <f t="array" ref="O16">IF(N16=0,0,ROUND(M16/N16,1))</f>
        <v/>
      </c>
      <c r="P16" s="56">
        <f t="array" ref="P16">ROUND(M16*'Tuning'!$B$8,0)</f>
        <v/>
      </c>
      <c r="Q16" s="56">
        <f t="array" ref="Q16">ROUND('Tuning'!$B$9+'Tuning'!$B$10*A16,0)</f>
        <v/>
      </c>
      <c r="R16" s="56">
        <f t="array" ref="R16">P16+Q16</f>
        <v/>
      </c>
      <c r="S16" s="56">
        <f t="array" ref="S16">S15+R16</f>
        <v/>
      </c>
    </row>
    <row r="17" ht="13.65" customHeight="1" s="90">
      <c r="A17" s="56" t="n">
        <v>13</v>
      </c>
      <c r="B17" s="60" t="n">
        <v>22</v>
      </c>
      <c r="C17" s="60" t="n">
        <v>18</v>
      </c>
      <c r="D17" s="60" t="n">
        <v>18</v>
      </c>
      <c r="E17" s="60" t="n">
        <v>9</v>
      </c>
      <c r="F17" s="60" t="n">
        <v>0</v>
      </c>
      <c r="G17" s="60" t="n">
        <v>6</v>
      </c>
      <c r="H17" s="60" t="n">
        <v>0</v>
      </c>
      <c r="I17" s="60" t="n">
        <v>0</v>
      </c>
      <c r="J17" s="56">
        <f t="array" ref="J17">SUM(B17:I17)</f>
        <v/>
      </c>
      <c r="K17" s="94">
        <f t="array" ref="K17">ROUND(POWER('Tuning'!$B$17,A17-1),3)</f>
        <v/>
      </c>
      <c r="L17" s="57" t="n">
        <v>1.02</v>
      </c>
      <c r="M17" s="75">
        <f t="array" ref="M17">ROUND((B17*'Enemies'!$H$5+C17*'Enemies'!$H$6+D17*'Enemies'!$H$7+E17*'Enemies'!$H$8+F17*'Enemies'!$H$9+G17*'Enemies'!$H$10+H17*'Enemies'!$H$11+I17*'Enemies'!$H$12)*K17,0)</f>
        <v/>
      </c>
      <c r="N17" s="56">
        <f t="array" ref="N17">ROUND(J17*L17+14,0)</f>
        <v/>
      </c>
      <c r="O17" s="92">
        <f t="array" ref="O17">IF(N17=0,0,ROUND(M17/N17,1))</f>
        <v/>
      </c>
      <c r="P17" s="56">
        <f t="array" ref="P17">ROUND(M17*'Tuning'!$B$8,0)</f>
        <v/>
      </c>
      <c r="Q17" s="56">
        <f t="array" ref="Q17">ROUND('Tuning'!$B$9+'Tuning'!$B$10*A17,0)</f>
        <v/>
      </c>
      <c r="R17" s="56">
        <f t="array" ref="R17">P17+Q17</f>
        <v/>
      </c>
      <c r="S17" s="56">
        <f t="array" ref="S17">S16+R17</f>
        <v/>
      </c>
    </row>
    <row r="18" ht="13.65" customHeight="1" s="90">
      <c r="A18" s="56" t="n">
        <v>14</v>
      </c>
      <c r="B18" s="60" t="n">
        <v>23</v>
      </c>
      <c r="C18" s="60" t="n">
        <v>19</v>
      </c>
      <c r="D18" s="60" t="n">
        <v>19</v>
      </c>
      <c r="E18" s="60" t="n">
        <v>9</v>
      </c>
      <c r="F18" s="60" t="n">
        <v>0</v>
      </c>
      <c r="G18" s="60" t="n">
        <v>6</v>
      </c>
      <c r="H18" s="60" t="n">
        <v>0</v>
      </c>
      <c r="I18" s="60" t="n">
        <v>0</v>
      </c>
      <c r="J18" s="56">
        <f t="array" ref="J18">SUM(B18:I18)</f>
        <v/>
      </c>
      <c r="K18" s="94">
        <f t="array" ref="K18">ROUND(POWER('Tuning'!$B$17,A18-1),3)</f>
        <v/>
      </c>
      <c r="L18" s="57" t="n">
        <v>1</v>
      </c>
      <c r="M18" s="75">
        <f t="array" ref="M18">ROUND((B18*'Enemies'!$H$5+C18*'Enemies'!$H$6+D18*'Enemies'!$H$7+E18*'Enemies'!$H$8+F18*'Enemies'!$H$9+G18*'Enemies'!$H$10+H18*'Enemies'!$H$11+I18*'Enemies'!$H$12)*K18,0)</f>
        <v/>
      </c>
      <c r="N18" s="56">
        <f t="array" ref="N18">ROUND(J18*L18+14,0)</f>
        <v/>
      </c>
      <c r="O18" s="92">
        <f t="array" ref="O18">IF(N18=0,0,ROUND(M18/N18,1))</f>
        <v/>
      </c>
      <c r="P18" s="56">
        <f t="array" ref="P18">ROUND(M18*'Tuning'!$B$8,0)</f>
        <v/>
      </c>
      <c r="Q18" s="56">
        <f t="array" ref="Q18">ROUND('Tuning'!$B$9+'Tuning'!$B$10*A18,0)</f>
        <v/>
      </c>
      <c r="R18" s="56">
        <f t="array" ref="R18">P18+Q18</f>
        <v/>
      </c>
      <c r="S18" s="56">
        <f t="array" ref="S18">S17+R18</f>
        <v/>
      </c>
    </row>
    <row r="19" ht="13.65" customHeight="1" s="90">
      <c r="A19" s="56" t="n">
        <v>15</v>
      </c>
      <c r="B19" s="60" t="n">
        <v>24</v>
      </c>
      <c r="C19" s="60" t="n">
        <v>20</v>
      </c>
      <c r="D19" s="60" t="n">
        <v>20</v>
      </c>
      <c r="E19" s="60" t="n">
        <v>10</v>
      </c>
      <c r="F19" s="60" t="n">
        <v>0</v>
      </c>
      <c r="G19" s="60" t="n">
        <v>6</v>
      </c>
      <c r="H19" s="60" t="n">
        <v>0</v>
      </c>
      <c r="I19" s="60" t="n">
        <v>0</v>
      </c>
      <c r="J19" s="56">
        <f t="array" ref="J19">SUM(B19:I19)</f>
        <v/>
      </c>
      <c r="K19" s="94">
        <f t="array" ref="K19">ROUND(POWER('Tuning'!$B$17,A19-1),3)</f>
        <v/>
      </c>
      <c r="L19" s="57" t="n">
        <v>0.99</v>
      </c>
      <c r="M19" s="75">
        <f t="array" ref="M19">ROUND((B19*'Enemies'!$H$5+C19*'Enemies'!$H$6+D19*'Enemies'!$H$7+E19*'Enemies'!$H$8+F19*'Enemies'!$H$9+G19*'Enemies'!$H$10+H19*'Enemies'!$H$11+I19*'Enemies'!$H$12)*K19,0)</f>
        <v/>
      </c>
      <c r="N19" s="56">
        <f t="array" ref="N19">ROUND(J19*L19+14,0)</f>
        <v/>
      </c>
      <c r="O19" s="92">
        <f t="array" ref="O19">IF(N19=0,0,ROUND(M19/N19,1))</f>
        <v/>
      </c>
      <c r="P19" s="56">
        <f t="array" ref="P19">ROUND(M19*'Tuning'!$B$8,0)</f>
        <v/>
      </c>
      <c r="Q19" s="56">
        <f t="array" ref="Q19">ROUND('Tuning'!$B$9+'Tuning'!$B$10*A19,0)</f>
        <v/>
      </c>
      <c r="R19" s="56">
        <f t="array" ref="R19">P19+Q19</f>
        <v/>
      </c>
      <c r="S19" s="56">
        <f t="array" ref="S19">S18+R19</f>
        <v/>
      </c>
    </row>
    <row r="20" ht="13.65" customHeight="1" s="90">
      <c r="A20" s="56" t="n">
        <v>16</v>
      </c>
      <c r="B20" s="60" t="n">
        <v>25</v>
      </c>
      <c r="C20" s="60" t="n">
        <v>21</v>
      </c>
      <c r="D20" s="60" t="n">
        <v>21</v>
      </c>
      <c r="E20" s="60" t="n">
        <v>10</v>
      </c>
      <c r="F20" s="60" t="n">
        <v>0</v>
      </c>
      <c r="G20" s="60" t="n">
        <v>7</v>
      </c>
      <c r="H20" s="60" t="n">
        <v>0</v>
      </c>
      <c r="I20" s="60" t="n">
        <v>0</v>
      </c>
      <c r="J20" s="56">
        <f t="array" ref="J20">SUM(B20:I20)</f>
        <v/>
      </c>
      <c r="K20" s="94">
        <f t="array" ref="K20">ROUND(POWER('Tuning'!$B$17,A20-1),3)</f>
        <v/>
      </c>
      <c r="L20" s="57" t="n">
        <v>0.98</v>
      </c>
      <c r="M20" s="75">
        <f t="array" ref="M20">ROUND((B20*'Enemies'!$H$5+C20*'Enemies'!$H$6+D20*'Enemies'!$H$7+E20*'Enemies'!$H$8+F20*'Enemies'!$H$9+G20*'Enemies'!$H$10+H20*'Enemies'!$H$11+I20*'Enemies'!$H$12)*K20,0)</f>
        <v/>
      </c>
      <c r="N20" s="56">
        <f t="array" ref="N20">ROUND(J20*L20+14,0)</f>
        <v/>
      </c>
      <c r="O20" s="92">
        <f t="array" ref="O20">IF(N20=0,0,ROUND(M20/N20,1))</f>
        <v/>
      </c>
      <c r="P20" s="56">
        <f t="array" ref="P20">ROUND(M20*'Tuning'!$B$8,0)</f>
        <v/>
      </c>
      <c r="Q20" s="56">
        <f t="array" ref="Q20">ROUND('Tuning'!$B$9+'Tuning'!$B$10*A20,0)</f>
        <v/>
      </c>
      <c r="R20" s="56">
        <f t="array" ref="R20">P20+Q20</f>
        <v/>
      </c>
      <c r="S20" s="56">
        <f t="array" ref="S20">S19+R20</f>
        <v/>
      </c>
    </row>
    <row r="21" ht="13.65" customHeight="1" s="90">
      <c r="A21" s="56" t="n">
        <v>17</v>
      </c>
      <c r="B21" s="60" t="n">
        <v>26</v>
      </c>
      <c r="C21" s="60" t="n">
        <v>22</v>
      </c>
      <c r="D21" s="60" t="n">
        <v>22</v>
      </c>
      <c r="E21" s="60" t="n">
        <v>13</v>
      </c>
      <c r="F21" s="60" t="n">
        <v>2</v>
      </c>
      <c r="G21" s="60" t="n">
        <v>7</v>
      </c>
      <c r="H21" s="60" t="n">
        <v>0</v>
      </c>
      <c r="I21" s="60" t="n">
        <v>0</v>
      </c>
      <c r="J21" s="56">
        <f t="array" ref="J21">SUM(B21:I21)</f>
        <v/>
      </c>
      <c r="K21" s="94">
        <f t="array" ref="K21">ROUND(POWER('Tuning'!$B$17,A21-1),3)</f>
        <v/>
      </c>
      <c r="L21" s="57" t="n">
        <v>0.96</v>
      </c>
      <c r="M21" s="75">
        <f t="array" ref="M21">ROUND((B21*'Enemies'!$H$5+C21*'Enemies'!$H$6+D21*'Enemies'!$H$7+E21*'Enemies'!$H$8+F21*'Enemies'!$H$9+G21*'Enemies'!$H$10+H21*'Enemies'!$H$11+I21*'Enemies'!$H$12)*K21,0)</f>
        <v/>
      </c>
      <c r="N21" s="56">
        <f t="array" ref="N21">ROUND(J21*L21+14,0)</f>
        <v/>
      </c>
      <c r="O21" s="92">
        <f t="array" ref="O21">IF(N21=0,0,ROUND(M21/N21,1))</f>
        <v/>
      </c>
      <c r="P21" s="56">
        <f t="array" ref="P21">ROUND(M21*'Tuning'!$B$8,0)</f>
        <v/>
      </c>
      <c r="Q21" s="56">
        <f t="array" ref="Q21">ROUND('Tuning'!$B$9+'Tuning'!$B$10*A21,0)</f>
        <v/>
      </c>
      <c r="R21" s="56">
        <f t="array" ref="R21">P21+Q21</f>
        <v/>
      </c>
      <c r="S21" s="56">
        <f t="array" ref="S21">S20+R21</f>
        <v/>
      </c>
    </row>
    <row r="22" ht="13.65" customHeight="1" s="90">
      <c r="A22" s="56" t="n">
        <v>18</v>
      </c>
      <c r="B22" s="60" t="n">
        <v>28</v>
      </c>
      <c r="C22" s="60" t="n">
        <v>23</v>
      </c>
      <c r="D22" s="60" t="n">
        <v>23</v>
      </c>
      <c r="E22" s="60" t="n">
        <v>15</v>
      </c>
      <c r="F22" s="60" t="n">
        <v>4</v>
      </c>
      <c r="G22" s="60" t="n">
        <v>7</v>
      </c>
      <c r="H22" s="60" t="n">
        <v>0</v>
      </c>
      <c r="I22" s="60" t="n">
        <v>0</v>
      </c>
      <c r="J22" s="56">
        <f t="array" ref="J22">SUM(B22:I22)</f>
        <v/>
      </c>
      <c r="K22" s="94">
        <f t="array" ref="K22">ROUND(POWER('Tuning'!$B$17,A22-1),3)</f>
        <v/>
      </c>
      <c r="L22" s="57" t="n">
        <v>0.95</v>
      </c>
      <c r="M22" s="75">
        <f t="array" ref="M22">ROUND((B22*'Enemies'!$H$5+C22*'Enemies'!$H$6+D22*'Enemies'!$H$7+E22*'Enemies'!$H$8+F22*'Enemies'!$H$9+G22*'Enemies'!$H$10+H22*'Enemies'!$H$11+I22*'Enemies'!$H$12)*K22,0)</f>
        <v/>
      </c>
      <c r="N22" s="56">
        <f t="array" ref="N22">ROUND(J22*L22+14,0)</f>
        <v/>
      </c>
      <c r="O22" s="92">
        <f t="array" ref="O22">IF(N22=0,0,ROUND(M22/N22,1))</f>
        <v/>
      </c>
      <c r="P22" s="56">
        <f t="array" ref="P22">ROUND(M22*'Tuning'!$B$8,0)</f>
        <v/>
      </c>
      <c r="Q22" s="56">
        <f t="array" ref="Q22">ROUND('Tuning'!$B$9+'Tuning'!$B$10*A22,0)</f>
        <v/>
      </c>
      <c r="R22" s="56">
        <f t="array" ref="R22">P22+Q22</f>
        <v/>
      </c>
      <c r="S22" s="56">
        <f t="array" ref="S22">S21+R22</f>
        <v/>
      </c>
    </row>
    <row r="23" ht="13.65" customHeight="1" s="90">
      <c r="A23" s="56" t="n">
        <v>19</v>
      </c>
      <c r="B23" s="60" t="n">
        <v>29</v>
      </c>
      <c r="C23" s="60" t="n">
        <v>24</v>
      </c>
      <c r="D23" s="60" t="n">
        <v>24</v>
      </c>
      <c r="E23" s="60" t="n">
        <v>17</v>
      </c>
      <c r="F23" s="60" t="n">
        <v>6</v>
      </c>
      <c r="G23" s="60" t="n">
        <v>8</v>
      </c>
      <c r="H23" s="60" t="n">
        <v>0</v>
      </c>
      <c r="I23" s="60" t="n">
        <v>0</v>
      </c>
      <c r="J23" s="56">
        <f t="array" ref="J23">SUM(B23:I23)</f>
        <v/>
      </c>
      <c r="K23" s="94">
        <f t="array" ref="K23">ROUND(POWER('Tuning'!$B$17,A23-1),3)</f>
        <v/>
      </c>
      <c r="L23" s="57" t="n">
        <v>0.93</v>
      </c>
      <c r="M23" s="75">
        <f t="array" ref="M23">ROUND((B23*'Enemies'!$H$5+C23*'Enemies'!$H$6+D23*'Enemies'!$H$7+E23*'Enemies'!$H$8+F23*'Enemies'!$H$9+G23*'Enemies'!$H$10+H23*'Enemies'!$H$11+I23*'Enemies'!$H$12)*K23,0)</f>
        <v/>
      </c>
      <c r="N23" s="56">
        <f t="array" ref="N23">ROUND(J23*L23+14,0)</f>
        <v/>
      </c>
      <c r="O23" s="92">
        <f t="array" ref="O23">IF(N23=0,0,ROUND(M23/N23,1))</f>
        <v/>
      </c>
      <c r="P23" s="56">
        <f t="array" ref="P23">ROUND(M23*'Tuning'!$B$8,0)</f>
        <v/>
      </c>
      <c r="Q23" s="56">
        <f t="array" ref="Q23">ROUND('Tuning'!$B$9+'Tuning'!$B$10*A23,0)</f>
        <v/>
      </c>
      <c r="R23" s="56">
        <f t="array" ref="R23">P23+Q23</f>
        <v/>
      </c>
      <c r="S23" s="56">
        <f t="array" ref="S23">S22+R23</f>
        <v/>
      </c>
    </row>
    <row r="24" ht="13.65" customHeight="1" s="90">
      <c r="A24" s="56" t="n">
        <v>20</v>
      </c>
      <c r="B24" s="60" t="n">
        <v>30</v>
      </c>
      <c r="C24" s="60" t="n">
        <v>25</v>
      </c>
      <c r="D24" s="60" t="n">
        <v>25</v>
      </c>
      <c r="E24" s="60" t="n">
        <v>19</v>
      </c>
      <c r="F24" s="60" t="n">
        <v>8</v>
      </c>
      <c r="G24" s="60" t="n">
        <v>8</v>
      </c>
      <c r="H24" s="60" t="n">
        <v>0</v>
      </c>
      <c r="I24" s="60" t="n">
        <v>0</v>
      </c>
      <c r="J24" s="56">
        <f t="array" ref="J24">SUM(B24:I24)</f>
        <v/>
      </c>
      <c r="K24" s="94">
        <f t="array" ref="K24">ROUND(POWER('Tuning'!$B$17,A24-1),3)</f>
        <v/>
      </c>
      <c r="L24" s="57" t="n">
        <v>0.92</v>
      </c>
      <c r="M24" s="75">
        <f t="array" ref="M24">ROUND((B24*'Enemies'!$H$5+C24*'Enemies'!$H$6+D24*'Enemies'!$H$7+E24*'Enemies'!$H$8+F24*'Enemies'!$H$9+G24*'Enemies'!$H$10+H24*'Enemies'!$H$11+I24*'Enemies'!$H$12)*K24,0)</f>
        <v/>
      </c>
      <c r="N24" s="56">
        <f t="array" ref="N24">ROUND(J24*L24+14,0)</f>
        <v/>
      </c>
      <c r="O24" s="92">
        <f t="array" ref="O24">IF(N24=0,0,ROUND(M24/N24,1))</f>
        <v/>
      </c>
      <c r="P24" s="56">
        <f t="array" ref="P24">ROUND(M24*'Tuning'!$B$8,0)</f>
        <v/>
      </c>
      <c r="Q24" s="56">
        <f t="array" ref="Q24">ROUND('Tuning'!$B$9+'Tuning'!$B$10*A24,0)</f>
        <v/>
      </c>
      <c r="R24" s="56">
        <f t="array" ref="R24">P24+Q24</f>
        <v/>
      </c>
      <c r="S24" s="56">
        <f t="array" ref="S24">S23+R24</f>
        <v/>
      </c>
    </row>
    <row r="25" ht="13.65" customHeight="1" s="90">
      <c r="A25" s="66" t="n">
        <v>21</v>
      </c>
      <c r="B25" s="76" t="n">
        <v>17</v>
      </c>
      <c r="C25" s="76" t="n">
        <v>21</v>
      </c>
      <c r="D25" s="76" t="n">
        <v>25</v>
      </c>
      <c r="E25" s="76" t="n">
        <v>21</v>
      </c>
      <c r="F25" s="76" t="n">
        <v>12</v>
      </c>
      <c r="G25" s="76" t="n">
        <v>8</v>
      </c>
      <c r="H25" s="76" t="n">
        <v>0</v>
      </c>
      <c r="I25" s="76" t="n">
        <v>0</v>
      </c>
      <c r="J25" s="66">
        <f t="array" ref="J25">SUM(B25:I25)</f>
        <v/>
      </c>
      <c r="K25" s="95">
        <f t="array" ref="K25">ROUND(POWER('Tuning'!$B$17,A25-1),3)</f>
        <v/>
      </c>
      <c r="L25" s="78" t="n">
        <v>0.91</v>
      </c>
      <c r="M25" s="79">
        <f t="array" ref="M25">ROUND((B25*'Enemies'!$H$5+C25*'Enemies'!$H$6+D25*'Enemies'!$H$7+E25*'Enemies'!$H$8+F25*'Enemies'!$H$9+G25*'Enemies'!$H$10+H25*'Enemies'!$H$11+I25*'Enemies'!$H$12)*K25,0)</f>
        <v/>
      </c>
      <c r="N25" s="66">
        <f t="array" ref="N25">ROUND(J25*L25+14,0)</f>
        <v/>
      </c>
      <c r="O25" s="93">
        <f t="array" ref="O25">IF(N25=0,0,ROUND(M25/N25,1))</f>
        <v/>
      </c>
      <c r="P25" s="66">
        <f t="array" ref="P25">ROUND(M25*'Tuning'!$B$8,0)</f>
        <v/>
      </c>
      <c r="Q25" s="66">
        <f t="array" ref="Q25">ROUND('Tuning'!$B$9+'Tuning'!$B$10*A25,0)</f>
        <v/>
      </c>
      <c r="R25" s="66">
        <f t="array" ref="R25">P25+Q25</f>
        <v/>
      </c>
      <c r="S25" s="66">
        <f t="array" ref="S25">S24+R25</f>
        <v/>
      </c>
    </row>
    <row r="26" ht="13.65" customHeight="1" s="90">
      <c r="A26" s="56" t="n">
        <v>22</v>
      </c>
      <c r="B26" s="60" t="n">
        <v>17</v>
      </c>
      <c r="C26" s="60" t="n">
        <v>22</v>
      </c>
      <c r="D26" s="60" t="n">
        <v>26</v>
      </c>
      <c r="E26" s="60" t="n">
        <v>22</v>
      </c>
      <c r="F26" s="60" t="n">
        <v>13</v>
      </c>
      <c r="G26" s="60" t="n">
        <v>9</v>
      </c>
      <c r="H26" s="60" t="n">
        <v>0</v>
      </c>
      <c r="I26" s="60" t="n">
        <v>0</v>
      </c>
      <c r="J26" s="56">
        <f t="array" ref="J26">SUM(B26:I26)</f>
        <v/>
      </c>
      <c r="K26" s="94">
        <f t="array" ref="K26">ROUND(POWER('Tuning'!$B$17,A26-1),3)</f>
        <v/>
      </c>
      <c r="L26" s="57" t="n">
        <v>0.89</v>
      </c>
      <c r="M26" s="75">
        <f t="array" ref="M26">ROUND((B26*'Enemies'!$H$5+C26*'Enemies'!$H$6+D26*'Enemies'!$H$7+E26*'Enemies'!$H$8+F26*'Enemies'!$H$9+G26*'Enemies'!$H$10+H26*'Enemies'!$H$11+I26*'Enemies'!$H$12)*K26,0)</f>
        <v/>
      </c>
      <c r="N26" s="56">
        <f t="array" ref="N26">ROUND(J26*L26+14,0)</f>
        <v/>
      </c>
      <c r="O26" s="92">
        <f t="array" ref="O26">IF(N26=0,0,ROUND(M26/N26,1))</f>
        <v/>
      </c>
      <c r="P26" s="56">
        <f t="array" ref="P26">ROUND(M26*'Tuning'!$B$8,0)</f>
        <v/>
      </c>
      <c r="Q26" s="56">
        <f t="array" ref="Q26">ROUND('Tuning'!$B$9+'Tuning'!$B$10*A26,0)</f>
        <v/>
      </c>
      <c r="R26" s="56">
        <f t="array" ref="R26">P26+Q26</f>
        <v/>
      </c>
      <c r="S26" s="56">
        <f t="array" ref="S26">S25+R26</f>
        <v/>
      </c>
    </row>
    <row r="27" ht="13.65" customHeight="1" s="90">
      <c r="A27" s="56" t="n">
        <v>23</v>
      </c>
      <c r="B27" s="60" t="n">
        <v>18</v>
      </c>
      <c r="C27" s="60" t="n">
        <v>22</v>
      </c>
      <c r="D27" s="60" t="n">
        <v>27</v>
      </c>
      <c r="E27" s="60" t="n">
        <v>22</v>
      </c>
      <c r="F27" s="60" t="n">
        <v>13</v>
      </c>
      <c r="G27" s="60" t="n">
        <v>9</v>
      </c>
      <c r="H27" s="60" t="n">
        <v>0</v>
      </c>
      <c r="I27" s="60" t="n">
        <v>0</v>
      </c>
      <c r="J27" s="56">
        <f t="array" ref="J27">SUM(B27:I27)</f>
        <v/>
      </c>
      <c r="K27" s="94">
        <f t="array" ref="K27">ROUND(POWER('Tuning'!$B$17,A27-1),3)</f>
        <v/>
      </c>
      <c r="L27" s="57" t="n">
        <v>0.88</v>
      </c>
      <c r="M27" s="75">
        <f t="array" ref="M27">ROUND((B27*'Enemies'!$H$5+C27*'Enemies'!$H$6+D27*'Enemies'!$H$7+E27*'Enemies'!$H$8+F27*'Enemies'!$H$9+G27*'Enemies'!$H$10+H27*'Enemies'!$H$11+I27*'Enemies'!$H$12)*K27,0)</f>
        <v/>
      </c>
      <c r="N27" s="56">
        <f t="array" ref="N27">ROUND(J27*L27+14,0)</f>
        <v/>
      </c>
      <c r="O27" s="92">
        <f t="array" ref="O27">IF(N27=0,0,ROUND(M27/N27,1))</f>
        <v/>
      </c>
      <c r="P27" s="56">
        <f t="array" ref="P27">ROUND(M27*'Tuning'!$B$8,0)</f>
        <v/>
      </c>
      <c r="Q27" s="56">
        <f t="array" ref="Q27">ROUND('Tuning'!$B$9+'Tuning'!$B$10*A27,0)</f>
        <v/>
      </c>
      <c r="R27" s="56">
        <f t="array" ref="R27">P27+Q27</f>
        <v/>
      </c>
      <c r="S27" s="56">
        <f t="array" ref="S27">S26+R27</f>
        <v/>
      </c>
    </row>
    <row r="28" ht="13.65" customHeight="1" s="90">
      <c r="A28" s="56" t="n">
        <v>24</v>
      </c>
      <c r="B28" s="60" t="n">
        <v>19</v>
      </c>
      <c r="C28" s="60" t="n">
        <v>23</v>
      </c>
      <c r="D28" s="60" t="n">
        <v>28</v>
      </c>
      <c r="E28" s="60" t="n">
        <v>23</v>
      </c>
      <c r="F28" s="60" t="n">
        <v>14</v>
      </c>
      <c r="G28" s="60" t="n">
        <v>9</v>
      </c>
      <c r="H28" s="60" t="n">
        <v>0</v>
      </c>
      <c r="I28" s="60" t="n">
        <v>0</v>
      </c>
      <c r="J28" s="56">
        <f t="array" ref="J28">SUM(B28:I28)</f>
        <v/>
      </c>
      <c r="K28" s="94">
        <f t="array" ref="K28">ROUND(POWER('Tuning'!$B$17,A28-1),3)</f>
        <v/>
      </c>
      <c r="L28" s="57" t="n">
        <v>0.86</v>
      </c>
      <c r="M28" s="75">
        <f t="array" ref="M28">ROUND((B28*'Enemies'!$H$5+C28*'Enemies'!$H$6+D28*'Enemies'!$H$7+E28*'Enemies'!$H$8+F28*'Enemies'!$H$9+G28*'Enemies'!$H$10+H28*'Enemies'!$H$11+I28*'Enemies'!$H$12)*K28,0)</f>
        <v/>
      </c>
      <c r="N28" s="56">
        <f t="array" ref="N28">ROUND(J28*L28+14,0)</f>
        <v/>
      </c>
      <c r="O28" s="92">
        <f t="array" ref="O28">IF(N28=0,0,ROUND(M28/N28,1))</f>
        <v/>
      </c>
      <c r="P28" s="56">
        <f t="array" ref="P28">ROUND(M28*'Tuning'!$B$8,0)</f>
        <v/>
      </c>
      <c r="Q28" s="56">
        <f t="array" ref="Q28">ROUND('Tuning'!$B$9+'Tuning'!$B$10*A28,0)</f>
        <v/>
      </c>
      <c r="R28" s="56">
        <f t="array" ref="R28">P28+Q28</f>
        <v/>
      </c>
      <c r="S28" s="56">
        <f t="array" ref="S28">S27+R28</f>
        <v/>
      </c>
    </row>
    <row r="29" ht="13.65" customHeight="1" s="90">
      <c r="A29" s="56" t="n">
        <v>25</v>
      </c>
      <c r="B29" s="60" t="n">
        <v>19</v>
      </c>
      <c r="C29" s="60" t="n">
        <v>24</v>
      </c>
      <c r="D29" s="60" t="n">
        <v>29</v>
      </c>
      <c r="E29" s="60" t="n">
        <v>24</v>
      </c>
      <c r="F29" s="60" t="n">
        <v>14</v>
      </c>
      <c r="G29" s="60" t="n">
        <v>10</v>
      </c>
      <c r="H29" s="60" t="n">
        <v>0</v>
      </c>
      <c r="I29" s="60" t="n">
        <v>0</v>
      </c>
      <c r="J29" s="56">
        <f t="array" ref="J29">SUM(B29:I29)</f>
        <v/>
      </c>
      <c r="K29" s="94">
        <f t="array" ref="K29">ROUND(POWER('Tuning'!$B$17,A29-1),3)</f>
        <v/>
      </c>
      <c r="L29" s="57" t="n">
        <v>0.85</v>
      </c>
      <c r="M29" s="75">
        <f t="array" ref="M29">ROUND((B29*'Enemies'!$H$5+C29*'Enemies'!$H$6+D29*'Enemies'!$H$7+E29*'Enemies'!$H$8+F29*'Enemies'!$H$9+G29*'Enemies'!$H$10+H29*'Enemies'!$H$11+I29*'Enemies'!$H$12)*K29,0)</f>
        <v/>
      </c>
      <c r="N29" s="56">
        <f t="array" ref="N29">ROUND(J29*L29+14,0)</f>
        <v/>
      </c>
      <c r="O29" s="92">
        <f t="array" ref="O29">IF(N29=0,0,ROUND(M29/N29,1))</f>
        <v/>
      </c>
      <c r="P29" s="56">
        <f t="array" ref="P29">ROUND(M29*'Tuning'!$B$8,0)</f>
        <v/>
      </c>
      <c r="Q29" s="56">
        <f t="array" ref="Q29">ROUND('Tuning'!$B$9+'Tuning'!$B$10*A29,0)</f>
        <v/>
      </c>
      <c r="R29" s="56">
        <f t="array" ref="R29">P29+Q29</f>
        <v/>
      </c>
      <c r="S29" s="56">
        <f t="array" ref="S29">S28+R29</f>
        <v/>
      </c>
    </row>
    <row r="30" ht="13.65" customHeight="1" s="90">
      <c r="A30" s="56" t="n">
        <v>26</v>
      </c>
      <c r="B30" s="60" t="n">
        <v>20</v>
      </c>
      <c r="C30" s="60" t="n">
        <v>25</v>
      </c>
      <c r="D30" s="60" t="n">
        <v>30</v>
      </c>
      <c r="E30" s="60" t="n">
        <v>25</v>
      </c>
      <c r="F30" s="60" t="n">
        <v>15</v>
      </c>
      <c r="G30" s="60" t="n">
        <v>10</v>
      </c>
      <c r="H30" s="60" t="n">
        <v>0</v>
      </c>
      <c r="I30" s="60" t="n">
        <v>0</v>
      </c>
      <c r="J30" s="56">
        <f t="array" ref="J30">SUM(B30:I30)</f>
        <v/>
      </c>
      <c r="K30" s="94">
        <f t="array" ref="K30">ROUND(POWER('Tuning'!$B$17,A30-1),3)</f>
        <v/>
      </c>
      <c r="L30" s="57" t="n">
        <v>0.84</v>
      </c>
      <c r="M30" s="75">
        <f t="array" ref="M30">ROUND((B30*'Enemies'!$H$5+C30*'Enemies'!$H$6+D30*'Enemies'!$H$7+E30*'Enemies'!$H$8+F30*'Enemies'!$H$9+G30*'Enemies'!$H$10+H30*'Enemies'!$H$11+I30*'Enemies'!$H$12)*K30,0)</f>
        <v/>
      </c>
      <c r="N30" s="56">
        <f t="array" ref="N30">ROUND(J30*L30+14,0)</f>
        <v/>
      </c>
      <c r="O30" s="92">
        <f t="array" ref="O30">IF(N30=0,0,ROUND(M30/N30,1))</f>
        <v/>
      </c>
      <c r="P30" s="56">
        <f t="array" ref="P30">ROUND(M30*'Tuning'!$B$8,0)</f>
        <v/>
      </c>
      <c r="Q30" s="56">
        <f t="array" ref="Q30">ROUND('Tuning'!$B$9+'Tuning'!$B$10*A30,0)</f>
        <v/>
      </c>
      <c r="R30" s="56">
        <f t="array" ref="R30">P30+Q30</f>
        <v/>
      </c>
      <c r="S30" s="56">
        <f t="array" ref="S30">S29+R30</f>
        <v/>
      </c>
    </row>
    <row r="31" ht="13.65" customHeight="1" s="90">
      <c r="A31" s="56" t="n">
        <v>27</v>
      </c>
      <c r="B31" s="60" t="n">
        <v>20</v>
      </c>
      <c r="C31" s="60" t="n">
        <v>26</v>
      </c>
      <c r="D31" s="60" t="n">
        <v>31</v>
      </c>
      <c r="E31" s="60" t="n">
        <v>26</v>
      </c>
      <c r="F31" s="60" t="n">
        <v>15</v>
      </c>
      <c r="G31" s="60" t="n">
        <v>10</v>
      </c>
      <c r="H31" s="60" t="n">
        <v>0</v>
      </c>
      <c r="I31" s="60" t="n">
        <v>0</v>
      </c>
      <c r="J31" s="56">
        <f t="array" ref="J31">SUM(B31:I31)</f>
        <v/>
      </c>
      <c r="K31" s="94">
        <f t="array" ref="K31">ROUND(POWER('Tuning'!$B$17,A31-1),3)</f>
        <v/>
      </c>
      <c r="L31" s="57" t="n">
        <v>0.82</v>
      </c>
      <c r="M31" s="75">
        <f t="array" ref="M31">ROUND((B31*'Enemies'!$H$5+C31*'Enemies'!$H$6+D31*'Enemies'!$H$7+E31*'Enemies'!$H$8+F31*'Enemies'!$H$9+G31*'Enemies'!$H$10+H31*'Enemies'!$H$11+I31*'Enemies'!$H$12)*K31,0)</f>
        <v/>
      </c>
      <c r="N31" s="56">
        <f t="array" ref="N31">ROUND(J31*L31+14,0)</f>
        <v/>
      </c>
      <c r="O31" s="92">
        <f t="array" ref="O31">IF(N31=0,0,ROUND(M31/N31,1))</f>
        <v/>
      </c>
      <c r="P31" s="56">
        <f t="array" ref="P31">ROUND(M31*'Tuning'!$B$8,0)</f>
        <v/>
      </c>
      <c r="Q31" s="56">
        <f t="array" ref="Q31">ROUND('Tuning'!$B$9+'Tuning'!$B$10*A31,0)</f>
        <v/>
      </c>
      <c r="R31" s="56">
        <f t="array" ref="R31">P31+Q31</f>
        <v/>
      </c>
      <c r="S31" s="56">
        <f t="array" ref="S31">S30+R31</f>
        <v/>
      </c>
    </row>
    <row r="32" ht="13.65" customHeight="1" s="90">
      <c r="A32" s="56" t="n">
        <v>28</v>
      </c>
      <c r="B32" s="60" t="n">
        <v>21</v>
      </c>
      <c r="C32" s="60" t="n">
        <v>26</v>
      </c>
      <c r="D32" s="60" t="n">
        <v>31</v>
      </c>
      <c r="E32" s="60" t="n">
        <v>26</v>
      </c>
      <c r="F32" s="60" t="n">
        <v>16</v>
      </c>
      <c r="G32" s="60" t="n">
        <v>10</v>
      </c>
      <c r="H32" s="60" t="n">
        <v>0</v>
      </c>
      <c r="I32" s="60" t="n">
        <v>0</v>
      </c>
      <c r="J32" s="56">
        <f t="array" ref="J32">SUM(B32:I32)</f>
        <v/>
      </c>
      <c r="K32" s="94">
        <f t="array" ref="K32">ROUND(POWER('Tuning'!$B$17,A32-1),3)</f>
        <v/>
      </c>
      <c r="L32" s="57" t="n">
        <v>0.8100000000000001</v>
      </c>
      <c r="M32" s="75">
        <f t="array" ref="M32">ROUND((B32*'Enemies'!$H$5+C32*'Enemies'!$H$6+D32*'Enemies'!$H$7+E32*'Enemies'!$H$8+F32*'Enemies'!$H$9+G32*'Enemies'!$H$10+H32*'Enemies'!$H$11+I32*'Enemies'!$H$12)*K32,0)</f>
        <v/>
      </c>
      <c r="N32" s="56">
        <f t="array" ref="N32">ROUND(J32*L32+14,0)</f>
        <v/>
      </c>
      <c r="O32" s="92">
        <f t="array" ref="O32">IF(N32=0,0,ROUND(M32/N32,1))</f>
        <v/>
      </c>
      <c r="P32" s="56">
        <f t="array" ref="P32">ROUND(M32*'Tuning'!$B$8,0)</f>
        <v/>
      </c>
      <c r="Q32" s="56">
        <f t="array" ref="Q32">ROUND('Tuning'!$B$9+'Tuning'!$B$10*A32,0)</f>
        <v/>
      </c>
      <c r="R32" s="56">
        <f t="array" ref="R32">P32+Q32</f>
        <v/>
      </c>
      <c r="S32" s="56">
        <f t="array" ref="S32">S31+R32</f>
        <v/>
      </c>
    </row>
    <row r="33" ht="13.65" customHeight="1" s="90">
      <c r="A33" s="56" t="n">
        <v>29</v>
      </c>
      <c r="B33" s="60" t="n">
        <v>21</v>
      </c>
      <c r="C33" s="60" t="n">
        <v>26</v>
      </c>
      <c r="D33" s="60" t="n">
        <v>31</v>
      </c>
      <c r="E33" s="60" t="n">
        <v>26</v>
      </c>
      <c r="F33" s="60" t="n">
        <v>16</v>
      </c>
      <c r="G33" s="60" t="n">
        <v>10</v>
      </c>
      <c r="H33" s="60" t="n">
        <v>0</v>
      </c>
      <c r="I33" s="60" t="n">
        <v>0</v>
      </c>
      <c r="J33" s="56">
        <f t="array" ref="J33">SUM(B33:I33)</f>
        <v/>
      </c>
      <c r="K33" s="94">
        <f t="array" ref="K33">ROUND(POWER('Tuning'!$B$17,A33-1),3)</f>
        <v/>
      </c>
      <c r="L33" s="57" t="n">
        <v>0.79</v>
      </c>
      <c r="M33" s="75">
        <f t="array" ref="M33">ROUND((B33*'Enemies'!$H$5+C33*'Enemies'!$H$6+D33*'Enemies'!$H$7+E33*'Enemies'!$H$8+F33*'Enemies'!$H$9+G33*'Enemies'!$H$10+H33*'Enemies'!$H$11+I33*'Enemies'!$H$12)*K33,0)</f>
        <v/>
      </c>
      <c r="N33" s="56">
        <f t="array" ref="N33">ROUND(J33*L33+14,0)</f>
        <v/>
      </c>
      <c r="O33" s="92">
        <f t="array" ref="O33">IF(N33=0,0,ROUND(M33/N33,1))</f>
        <v/>
      </c>
      <c r="P33" s="56">
        <f t="array" ref="P33">ROUND(M33*'Tuning'!$B$8,0)</f>
        <v/>
      </c>
      <c r="Q33" s="56">
        <f t="array" ref="Q33">ROUND('Tuning'!$B$9+'Tuning'!$B$10*A33,0)</f>
        <v/>
      </c>
      <c r="R33" s="56">
        <f t="array" ref="R33">P33+Q33</f>
        <v/>
      </c>
      <c r="S33" s="56">
        <f t="array" ref="S33">S32+R33</f>
        <v/>
      </c>
    </row>
    <row r="34" ht="13.65" customHeight="1" s="90">
      <c r="A34" s="56" t="n">
        <v>30</v>
      </c>
      <c r="B34" s="60" t="n">
        <v>21</v>
      </c>
      <c r="C34" s="60" t="n">
        <v>26</v>
      </c>
      <c r="D34" s="60" t="n">
        <v>31</v>
      </c>
      <c r="E34" s="60" t="n">
        <v>26</v>
      </c>
      <c r="F34" s="60" t="n">
        <v>16</v>
      </c>
      <c r="G34" s="60" t="n">
        <v>10</v>
      </c>
      <c r="H34" s="60" t="n">
        <v>0</v>
      </c>
      <c r="I34" s="60" t="n">
        <v>0</v>
      </c>
      <c r="J34" s="56">
        <f t="array" ref="J34">SUM(B34:I34)</f>
        <v/>
      </c>
      <c r="K34" s="94">
        <f t="array" ref="K34">ROUND(POWER('Tuning'!$B$17,A34-1),3)</f>
        <v/>
      </c>
      <c r="L34" s="57" t="n">
        <v>0.78</v>
      </c>
      <c r="M34" s="75">
        <f t="array" ref="M34">ROUND((B34*'Enemies'!$H$5+C34*'Enemies'!$H$6+D34*'Enemies'!$H$7+E34*'Enemies'!$H$8+F34*'Enemies'!$H$9+G34*'Enemies'!$H$10+H34*'Enemies'!$H$11+I34*'Enemies'!$H$12)*K34,0)</f>
        <v/>
      </c>
      <c r="N34" s="56">
        <f t="array" ref="N34">ROUND(J34*L34+14,0)</f>
        <v/>
      </c>
      <c r="O34" s="92">
        <f t="array" ref="O34">IF(N34=0,0,ROUND(M34/N34,1))</f>
        <v/>
      </c>
      <c r="P34" s="56">
        <f t="array" ref="P34">ROUND(M34*'Tuning'!$B$8,0)</f>
        <v/>
      </c>
      <c r="Q34" s="56">
        <f t="array" ref="Q34">ROUND('Tuning'!$B$9+'Tuning'!$B$10*A34,0)</f>
        <v/>
      </c>
      <c r="R34" s="56">
        <f t="array" ref="R34">P34+Q34</f>
        <v/>
      </c>
      <c r="S34" s="56">
        <f t="array" ref="S34">S33+R34</f>
        <v/>
      </c>
    </row>
    <row r="35" ht="13.65" customHeight="1" s="90">
      <c r="A35" s="66" t="n">
        <v>31</v>
      </c>
      <c r="B35" s="76" t="n">
        <v>0</v>
      </c>
      <c r="C35" s="76" t="n">
        <v>16</v>
      </c>
      <c r="D35" s="76" t="n">
        <v>26</v>
      </c>
      <c r="E35" s="76" t="n">
        <v>26</v>
      </c>
      <c r="F35" s="76" t="n">
        <v>16</v>
      </c>
      <c r="G35" s="76" t="n">
        <v>13</v>
      </c>
      <c r="H35" s="76" t="n">
        <v>1</v>
      </c>
      <c r="I35" s="76" t="n">
        <v>0</v>
      </c>
      <c r="J35" s="66">
        <f t="array" ref="J35">SUM(B35:I35)</f>
        <v/>
      </c>
      <c r="K35" s="95">
        <f t="array" ref="K35">ROUND(POWER('Tuning'!$B$17,A35-1),3)</f>
        <v/>
      </c>
      <c r="L35" s="78" t="n">
        <v>0.77</v>
      </c>
      <c r="M35" s="79">
        <f t="array" ref="M35">ROUND((B35*'Enemies'!$H$5+C35*'Enemies'!$H$6+D35*'Enemies'!$H$7+E35*'Enemies'!$H$8+F35*'Enemies'!$H$9+G35*'Enemies'!$H$10+H35*'Enemies'!$H$11+I35*'Enemies'!$H$12)*K35,0)</f>
        <v/>
      </c>
      <c r="N35" s="66">
        <f t="array" ref="N35">ROUND(J35*L35+14,0)</f>
        <v/>
      </c>
      <c r="O35" s="93">
        <f t="array" ref="O35">IF(N35=0,0,ROUND(M35/N35,1))</f>
        <v/>
      </c>
      <c r="P35" s="66">
        <f t="array" ref="P35">ROUND(M35*'Tuning'!$B$8,0)</f>
        <v/>
      </c>
      <c r="Q35" s="66">
        <f t="array" ref="Q35">ROUND('Tuning'!$B$9+'Tuning'!$B$10*A35,0)</f>
        <v/>
      </c>
      <c r="R35" s="66">
        <f t="array" ref="R35">P35+Q35</f>
        <v/>
      </c>
      <c r="S35" s="66">
        <f t="array" ref="S35">S34+R35</f>
        <v/>
      </c>
    </row>
    <row r="36" ht="13.65" customHeight="1" s="90">
      <c r="A36" s="56" t="n">
        <v>32</v>
      </c>
      <c r="B36" s="60" t="n">
        <v>0</v>
      </c>
      <c r="C36" s="60" t="n">
        <v>16</v>
      </c>
      <c r="D36" s="60" t="n">
        <v>26</v>
      </c>
      <c r="E36" s="60" t="n">
        <v>28</v>
      </c>
      <c r="F36" s="60" t="n">
        <v>19</v>
      </c>
      <c r="G36" s="60" t="n">
        <v>15</v>
      </c>
      <c r="H36" s="60" t="n">
        <v>2</v>
      </c>
      <c r="I36" s="60" t="n">
        <v>0</v>
      </c>
      <c r="J36" s="56">
        <f t="array" ref="J36">SUM(B36:I36)</f>
        <v/>
      </c>
      <c r="K36" s="94">
        <f t="array" ref="K36">ROUND(POWER('Tuning'!$B$17,A36-1),3)</f>
        <v/>
      </c>
      <c r="L36" s="57" t="n">
        <v>0.75</v>
      </c>
      <c r="M36" s="75">
        <f t="array" ref="M36">ROUND((B36*'Enemies'!$H$5+C36*'Enemies'!$H$6+D36*'Enemies'!$H$7+E36*'Enemies'!$H$8+F36*'Enemies'!$H$9+G36*'Enemies'!$H$10+H36*'Enemies'!$H$11+I36*'Enemies'!$H$12)*K36,0)</f>
        <v/>
      </c>
      <c r="N36" s="56">
        <f t="array" ref="N36">ROUND(J36*L36+14,0)</f>
        <v/>
      </c>
      <c r="O36" s="92">
        <f t="array" ref="O36">IF(N36=0,0,ROUND(M36/N36,1))</f>
        <v/>
      </c>
      <c r="P36" s="56">
        <f t="array" ref="P36">ROUND(M36*'Tuning'!$B$8,0)</f>
        <v/>
      </c>
      <c r="Q36" s="56">
        <f t="array" ref="Q36">ROUND('Tuning'!$B$9+'Tuning'!$B$10*A36,0)</f>
        <v/>
      </c>
      <c r="R36" s="56">
        <f t="array" ref="R36">P36+Q36</f>
        <v/>
      </c>
      <c r="S36" s="56">
        <f t="array" ref="S36">S35+R36</f>
        <v/>
      </c>
    </row>
    <row r="37" ht="13.65" customHeight="1" s="90">
      <c r="A37" s="56" t="n">
        <v>33</v>
      </c>
      <c r="B37" s="60" t="n">
        <v>0</v>
      </c>
      <c r="C37" s="60" t="n">
        <v>16</v>
      </c>
      <c r="D37" s="60" t="n">
        <v>26</v>
      </c>
      <c r="E37" s="60" t="n">
        <v>29</v>
      </c>
      <c r="F37" s="60" t="n">
        <v>21</v>
      </c>
      <c r="G37" s="60" t="n">
        <v>17</v>
      </c>
      <c r="H37" s="60" t="n">
        <v>4</v>
      </c>
      <c r="I37" s="60" t="n">
        <v>0</v>
      </c>
      <c r="J37" s="56">
        <f t="array" ref="J37">SUM(B37:I37)</f>
        <v/>
      </c>
      <c r="K37" s="94">
        <f t="array" ref="K37">ROUND(POWER('Tuning'!$B$17,A37-1),3)</f>
        <v/>
      </c>
      <c r="L37" s="57" t="n">
        <v>0.74</v>
      </c>
      <c r="M37" s="75">
        <f t="array" ref="M37">ROUND((B37*'Enemies'!$H$5+C37*'Enemies'!$H$6+D37*'Enemies'!$H$7+E37*'Enemies'!$H$8+F37*'Enemies'!$H$9+G37*'Enemies'!$H$10+H37*'Enemies'!$H$11+I37*'Enemies'!$H$12)*K37,0)</f>
        <v/>
      </c>
      <c r="N37" s="56">
        <f t="array" ref="N37">ROUND(J37*L37+14,0)</f>
        <v/>
      </c>
      <c r="O37" s="92">
        <f t="array" ref="O37">IF(N37=0,0,ROUND(M37/N37,1))</f>
        <v/>
      </c>
      <c r="P37" s="56">
        <f t="array" ref="P37">ROUND(M37*'Tuning'!$B$8,0)</f>
        <v/>
      </c>
      <c r="Q37" s="56">
        <f t="array" ref="Q37">ROUND('Tuning'!$B$9+'Tuning'!$B$10*A37,0)</f>
        <v/>
      </c>
      <c r="R37" s="56">
        <f t="array" ref="R37">P37+Q37</f>
        <v/>
      </c>
      <c r="S37" s="56">
        <f t="array" ref="S37">S36+R37</f>
        <v/>
      </c>
    </row>
    <row r="38" ht="13.65" customHeight="1" s="90">
      <c r="A38" s="56" t="n">
        <v>34</v>
      </c>
      <c r="B38" s="60" t="n">
        <v>0</v>
      </c>
      <c r="C38" s="60" t="n">
        <v>16</v>
      </c>
      <c r="D38" s="60" t="n">
        <v>26</v>
      </c>
      <c r="E38" s="60" t="n">
        <v>30</v>
      </c>
      <c r="F38" s="60" t="n">
        <v>24</v>
      </c>
      <c r="G38" s="60" t="n">
        <v>18</v>
      </c>
      <c r="H38" s="60" t="n">
        <v>5</v>
      </c>
      <c r="I38" s="60" t="n">
        <v>0</v>
      </c>
      <c r="J38" s="56">
        <f t="array" ref="J38">SUM(B38:I38)</f>
        <v/>
      </c>
      <c r="K38" s="94">
        <f t="array" ref="K38">ROUND(POWER('Tuning'!$B$17,A38-1),3)</f>
        <v/>
      </c>
      <c r="L38" s="57" t="n">
        <v>0.72</v>
      </c>
      <c r="M38" s="75">
        <f t="array" ref="M38">ROUND((B38*'Enemies'!$H$5+C38*'Enemies'!$H$6+D38*'Enemies'!$H$7+E38*'Enemies'!$H$8+F38*'Enemies'!$H$9+G38*'Enemies'!$H$10+H38*'Enemies'!$H$11+I38*'Enemies'!$H$12)*K38,0)</f>
        <v/>
      </c>
      <c r="N38" s="56">
        <f t="array" ref="N38">ROUND(J38*L38+14,0)</f>
        <v/>
      </c>
      <c r="O38" s="92">
        <f t="array" ref="O38">IF(N38=0,0,ROUND(M38/N38,1))</f>
        <v/>
      </c>
      <c r="P38" s="56">
        <f t="array" ref="P38">ROUND(M38*'Tuning'!$B$8,0)</f>
        <v/>
      </c>
      <c r="Q38" s="56">
        <f t="array" ref="Q38">ROUND('Tuning'!$B$9+'Tuning'!$B$10*A38,0)</f>
        <v/>
      </c>
      <c r="R38" s="56">
        <f t="array" ref="R38">P38+Q38</f>
        <v/>
      </c>
      <c r="S38" s="56">
        <f t="array" ref="S38">S37+R38</f>
        <v/>
      </c>
    </row>
    <row r="39" ht="13.65" customHeight="1" s="90">
      <c r="A39" s="56" t="n">
        <v>35</v>
      </c>
      <c r="B39" s="60" t="n">
        <v>0</v>
      </c>
      <c r="C39" s="60" t="n">
        <v>16</v>
      </c>
      <c r="D39" s="60" t="n">
        <v>26</v>
      </c>
      <c r="E39" s="60" t="n">
        <v>31</v>
      </c>
      <c r="F39" s="60" t="n">
        <v>27</v>
      </c>
      <c r="G39" s="60" t="n">
        <v>18</v>
      </c>
      <c r="H39" s="60" t="n">
        <v>6</v>
      </c>
      <c r="I39" s="60" t="n">
        <v>0</v>
      </c>
      <c r="J39" s="56">
        <f t="array" ref="J39">SUM(B39:I39)</f>
        <v/>
      </c>
      <c r="K39" s="94">
        <f t="array" ref="K39">ROUND(POWER('Tuning'!$B$17,A39-1),3)</f>
        <v/>
      </c>
      <c r="L39" s="57" t="n">
        <v>0.71</v>
      </c>
      <c r="M39" s="75">
        <f t="array" ref="M39">ROUND((B39*'Enemies'!$H$5+C39*'Enemies'!$H$6+D39*'Enemies'!$H$7+E39*'Enemies'!$H$8+F39*'Enemies'!$H$9+G39*'Enemies'!$H$10+H39*'Enemies'!$H$11+I39*'Enemies'!$H$12)*K39,0)</f>
        <v/>
      </c>
      <c r="N39" s="56">
        <f t="array" ref="N39">ROUND(J39*L39+14,0)</f>
        <v/>
      </c>
      <c r="O39" s="92">
        <f t="array" ref="O39">IF(N39=0,0,ROUND(M39/N39,1))</f>
        <v/>
      </c>
      <c r="P39" s="56">
        <f t="array" ref="P39">ROUND(M39*'Tuning'!$B$8,0)</f>
        <v/>
      </c>
      <c r="Q39" s="56">
        <f t="array" ref="Q39">ROUND('Tuning'!$B$9+'Tuning'!$B$10*A39,0)</f>
        <v/>
      </c>
      <c r="R39" s="56">
        <f t="array" ref="R39">P39+Q39</f>
        <v/>
      </c>
      <c r="S39" s="56">
        <f t="array" ref="S39">S38+R39</f>
        <v/>
      </c>
    </row>
    <row r="40" ht="13.65" customHeight="1" s="90">
      <c r="A40" s="56" t="n">
        <v>36</v>
      </c>
      <c r="B40" s="60" t="n">
        <v>0</v>
      </c>
      <c r="C40" s="60" t="n">
        <v>16</v>
      </c>
      <c r="D40" s="60" t="n">
        <v>26</v>
      </c>
      <c r="E40" s="60" t="n">
        <v>31</v>
      </c>
      <c r="F40" s="60" t="n">
        <v>31</v>
      </c>
      <c r="G40" s="60" t="n">
        <v>18</v>
      </c>
      <c r="H40" s="60" t="n">
        <v>8</v>
      </c>
      <c r="I40" s="60" t="n">
        <v>0</v>
      </c>
      <c r="J40" s="56">
        <f t="array" ref="J40">SUM(B40:I40)</f>
        <v/>
      </c>
      <c r="K40" s="94">
        <f t="array" ref="K40">ROUND(POWER('Tuning'!$B$17,A40-1),3)</f>
        <v/>
      </c>
      <c r="L40" s="57" t="n">
        <v>0.7</v>
      </c>
      <c r="M40" s="75">
        <f t="array" ref="M40">ROUND((B40*'Enemies'!$H$5+C40*'Enemies'!$H$6+D40*'Enemies'!$H$7+E40*'Enemies'!$H$8+F40*'Enemies'!$H$9+G40*'Enemies'!$H$10+H40*'Enemies'!$H$11+I40*'Enemies'!$H$12)*K40,0)</f>
        <v/>
      </c>
      <c r="N40" s="56">
        <f t="array" ref="N40">ROUND(J40*L40+14,0)</f>
        <v/>
      </c>
      <c r="O40" s="92">
        <f t="array" ref="O40">IF(N40=0,0,ROUND(M40/N40,1))</f>
        <v/>
      </c>
      <c r="P40" s="56">
        <f t="array" ref="P40">ROUND(M40*'Tuning'!$B$8,0)</f>
        <v/>
      </c>
      <c r="Q40" s="56">
        <f t="array" ref="Q40">ROUND('Tuning'!$B$9+'Tuning'!$B$10*A40,0)</f>
        <v/>
      </c>
      <c r="R40" s="56">
        <f t="array" ref="R40">P40+Q40</f>
        <v/>
      </c>
      <c r="S40" s="56">
        <f t="array" ref="S40">S39+R40</f>
        <v/>
      </c>
    </row>
    <row r="41" ht="13.65" customHeight="1" s="90">
      <c r="A41" s="56" t="n">
        <v>37</v>
      </c>
      <c r="B41" s="60" t="n">
        <v>0</v>
      </c>
      <c r="C41" s="60" t="n">
        <v>16</v>
      </c>
      <c r="D41" s="60" t="n">
        <v>26</v>
      </c>
      <c r="E41" s="60" t="n">
        <v>31</v>
      </c>
      <c r="F41" s="60" t="n">
        <v>31</v>
      </c>
      <c r="G41" s="60" t="n">
        <v>18</v>
      </c>
      <c r="H41" s="60" t="n">
        <v>9</v>
      </c>
      <c r="I41" s="60" t="n">
        <v>0</v>
      </c>
      <c r="J41" s="56">
        <f t="array" ref="J41">SUM(B41:I41)</f>
        <v/>
      </c>
      <c r="K41" s="94">
        <f t="array" ref="K41">ROUND(POWER('Tuning'!$B$17,A41-1),3)</f>
        <v/>
      </c>
      <c r="L41" s="57" t="n">
        <v>0.68</v>
      </c>
      <c r="M41" s="75">
        <f t="array" ref="M41">ROUND((B41*'Enemies'!$H$5+C41*'Enemies'!$H$6+D41*'Enemies'!$H$7+E41*'Enemies'!$H$8+F41*'Enemies'!$H$9+G41*'Enemies'!$H$10+H41*'Enemies'!$H$11+I41*'Enemies'!$H$12)*K41,0)</f>
        <v/>
      </c>
      <c r="N41" s="56">
        <f t="array" ref="N41">ROUND(J41*L41+14,0)</f>
        <v/>
      </c>
      <c r="O41" s="92">
        <f t="array" ref="O41">IF(N41=0,0,ROUND(M41/N41,1))</f>
        <v/>
      </c>
      <c r="P41" s="56">
        <f t="array" ref="P41">ROUND(M41*'Tuning'!$B$8,0)</f>
        <v/>
      </c>
      <c r="Q41" s="56">
        <f t="array" ref="Q41">ROUND('Tuning'!$B$9+'Tuning'!$B$10*A41,0)</f>
        <v/>
      </c>
      <c r="R41" s="56">
        <f t="array" ref="R41">P41+Q41</f>
        <v/>
      </c>
      <c r="S41" s="56">
        <f t="array" ref="S41">S40+R41</f>
        <v/>
      </c>
    </row>
    <row r="42" ht="13.65" customHeight="1" s="90">
      <c r="A42" s="56" t="n">
        <v>38</v>
      </c>
      <c r="B42" s="60" t="n">
        <v>0</v>
      </c>
      <c r="C42" s="60" t="n">
        <v>16</v>
      </c>
      <c r="D42" s="60" t="n">
        <v>26</v>
      </c>
      <c r="E42" s="60" t="n">
        <v>31</v>
      </c>
      <c r="F42" s="60" t="n">
        <v>31</v>
      </c>
      <c r="G42" s="60" t="n">
        <v>18</v>
      </c>
      <c r="H42" s="60" t="n">
        <v>10</v>
      </c>
      <c r="I42" s="60" t="n">
        <v>0</v>
      </c>
      <c r="J42" s="56">
        <f t="array" ref="J42">SUM(B42:I42)</f>
        <v/>
      </c>
      <c r="K42" s="94">
        <f t="array" ref="K42">ROUND(POWER('Tuning'!$B$17,A42-1),3)</f>
        <v/>
      </c>
      <c r="L42" s="57" t="n">
        <v>0.67</v>
      </c>
      <c r="M42" s="75">
        <f t="array" ref="M42">ROUND((B42*'Enemies'!$H$5+C42*'Enemies'!$H$6+D42*'Enemies'!$H$7+E42*'Enemies'!$H$8+F42*'Enemies'!$H$9+G42*'Enemies'!$H$10+H42*'Enemies'!$H$11+I42*'Enemies'!$H$12)*K42,0)</f>
        <v/>
      </c>
      <c r="N42" s="56">
        <f t="array" ref="N42">ROUND(J42*L42+14,0)</f>
        <v/>
      </c>
      <c r="O42" s="92">
        <f t="array" ref="O42">IF(N42=0,0,ROUND(M42/N42,1))</f>
        <v/>
      </c>
      <c r="P42" s="56">
        <f t="array" ref="P42">ROUND(M42*'Tuning'!$B$8,0)</f>
        <v/>
      </c>
      <c r="Q42" s="56">
        <f t="array" ref="Q42">ROUND('Tuning'!$B$9+'Tuning'!$B$10*A42,0)</f>
        <v/>
      </c>
      <c r="R42" s="56">
        <f t="array" ref="R42">P42+Q42</f>
        <v/>
      </c>
      <c r="S42" s="56">
        <f t="array" ref="S42">S41+R42</f>
        <v/>
      </c>
    </row>
    <row r="43" ht="13.65" customHeight="1" s="90">
      <c r="A43" s="56" t="n">
        <v>39</v>
      </c>
      <c r="B43" s="60" t="n">
        <v>0</v>
      </c>
      <c r="C43" s="60" t="n">
        <v>16</v>
      </c>
      <c r="D43" s="60" t="n">
        <v>26</v>
      </c>
      <c r="E43" s="60" t="n">
        <v>31</v>
      </c>
      <c r="F43" s="60" t="n">
        <v>31</v>
      </c>
      <c r="G43" s="60" t="n">
        <v>18</v>
      </c>
      <c r="H43" s="60" t="n">
        <v>10</v>
      </c>
      <c r="I43" s="60" t="n">
        <v>0</v>
      </c>
      <c r="J43" s="56">
        <f t="array" ref="J43">SUM(B43:I43)</f>
        <v/>
      </c>
      <c r="K43" s="94">
        <f t="array" ref="K43">ROUND(POWER('Tuning'!$B$17,A43-1),3)</f>
        <v/>
      </c>
      <c r="L43" s="57" t="n">
        <v>0.65</v>
      </c>
      <c r="M43" s="75">
        <f t="array" ref="M43">ROUND((B43*'Enemies'!$H$5+C43*'Enemies'!$H$6+D43*'Enemies'!$H$7+E43*'Enemies'!$H$8+F43*'Enemies'!$H$9+G43*'Enemies'!$H$10+H43*'Enemies'!$H$11+I43*'Enemies'!$H$12)*K43,0)</f>
        <v/>
      </c>
      <c r="N43" s="56">
        <f t="array" ref="N43">ROUND(J43*L43+14,0)</f>
        <v/>
      </c>
      <c r="O43" s="92">
        <f t="array" ref="O43">IF(N43=0,0,ROUND(M43/N43,1))</f>
        <v/>
      </c>
      <c r="P43" s="56">
        <f t="array" ref="P43">ROUND(M43*'Tuning'!$B$8,0)</f>
        <v/>
      </c>
      <c r="Q43" s="56">
        <f t="array" ref="Q43">ROUND('Tuning'!$B$9+'Tuning'!$B$10*A43,0)</f>
        <v/>
      </c>
      <c r="R43" s="56">
        <f t="array" ref="R43">P43+Q43</f>
        <v/>
      </c>
      <c r="S43" s="56">
        <f t="array" ref="S43">S42+R43</f>
        <v/>
      </c>
    </row>
    <row r="44" ht="13.65" customHeight="1" s="90">
      <c r="A44" s="66" t="n">
        <v>40</v>
      </c>
      <c r="B44" s="76" t="n">
        <v>0</v>
      </c>
      <c r="C44" s="76" t="n">
        <v>16</v>
      </c>
      <c r="D44" s="76" t="n">
        <v>26</v>
      </c>
      <c r="E44" s="76" t="n">
        <v>31</v>
      </c>
      <c r="F44" s="76" t="n">
        <v>31</v>
      </c>
      <c r="G44" s="76" t="n">
        <v>18</v>
      </c>
      <c r="H44" s="76" t="n">
        <v>8</v>
      </c>
      <c r="I44" s="76" t="n">
        <v>1</v>
      </c>
      <c r="J44" s="66">
        <f t="array" ref="J44">SUM(B44:I44)</f>
        <v/>
      </c>
      <c r="K44" s="95">
        <f t="array" ref="K44">ROUND(POWER('Tuning'!$B$17,A44-1),3)</f>
        <v/>
      </c>
      <c r="L44" s="78" t="n">
        <v>0.64</v>
      </c>
      <c r="M44" s="79">
        <f t="array" ref="M44">ROUND((B44*'Enemies'!$H$5+C44*'Enemies'!$H$6+D44*'Enemies'!$H$7+E44*'Enemies'!$H$8+F44*'Enemies'!$H$9+G44*'Enemies'!$H$10+H44*'Enemies'!$H$11+I44*'Enemies'!$H$12)*K44,0)</f>
        <v/>
      </c>
      <c r="N44" s="66">
        <f t="array" ref="N44">ROUND(J44*L44+14,0)</f>
        <v/>
      </c>
      <c r="O44" s="93">
        <f t="array" ref="O44">IF(N44=0,0,ROUND(M44/N44,1))</f>
        <v/>
      </c>
      <c r="P44" s="66">
        <f t="array" ref="P44">ROUND(M44*'Tuning'!$B$8,0)</f>
        <v/>
      </c>
      <c r="Q44" s="66">
        <f t="array" ref="Q44">ROUND('Tuning'!$B$9+'Tuning'!$B$10*A44,0)</f>
        <v/>
      </c>
      <c r="R44" s="66">
        <f t="array" ref="R44">P44+Q44</f>
        <v/>
      </c>
      <c r="S44" s="66">
        <f t="array" ref="S44">S43+R44</f>
        <v/>
      </c>
    </row>
    <row r="45" ht="13.55" customHeight="1" s="90">
      <c r="A45" s="62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50" t="n"/>
    </row>
    <row r="46" ht="13.55" customHeight="1" s="90">
      <c r="A46" s="80" t="inlineStr">
        <is>
          <t>Shaded rows are band transitions, where a new enemy type enters and difficulty spikes. That sawtooth is intentional.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 t="n"/>
    </row>
    <row r="47" ht="13.55" customHeight="1" s="90">
      <c r="A47" s="80" t="inlineStr">
        <is>
          <t>Enemy counts plateau at 130 because UEFN, not design, sets the ceiling. Late difficulty comes from the HP multiplier instead — the same reason BTD6 late rounds are a few BADs and not two thousand bloons.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 t="n"/>
    </row>
    <row r="48" ht="13.55" customHeight="1" s="90">
      <c r="A48" s="70" t="inlineStr">
        <is>
          <t>Round length assumes spawn gap x enemy count plus 14s of clear time: measured 2026-09-28, a round ends ~14s after its last spawn when nothing leaks. A dino that leaks walks the whole track (~44s), which only matters for leaks. Rough, but consistent across rounds, which is what matters for comparison.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style="90" min="1" max="1"/>
    <col width="11" customWidth="1" style="90" min="2" max="2"/>
    <col width="13" customWidth="1" style="90" min="3" max="3"/>
    <col width="13" customWidth="1" style="90" min="4" max="4"/>
    <col width="14" customWidth="1" style="90" min="5" max="5"/>
    <col width="9" customWidth="1" style="90" min="6" max="6"/>
    <col width="13" customWidth="1" style="90" min="7" max="7"/>
    <col width="40" customWidth="1" style="90" min="8" max="8"/>
  </cols>
  <sheetData>
    <row r="1">
      <c r="A1" s="2" t="inlineStr">
        <is>
          <t>DIFFICULTY — Easy is the baseline; every other level scales from it</t>
        </is>
      </c>
    </row>
    <row r="2">
      <c r="A2" s="5" t="inlineStr">
        <is>
          <t>Chosen before round 1. Player-count scaling (Tuning, CO-OP) applies on top.</t>
        </is>
      </c>
    </row>
    <row r="4">
      <c r="A4" s="21" t="inlineStr">
        <is>
          <t>Difficulty</t>
        </is>
      </c>
      <c r="B4" s="21" t="inlineStr">
        <is>
          <t>Enemy HP x</t>
        </is>
      </c>
      <c r="C4" s="21" t="inlineStr">
        <is>
          <t>Enemy count x</t>
        </is>
      </c>
      <c r="D4" s="21" t="inlineStr">
        <is>
          <t>Enemy speed x</t>
        </is>
      </c>
      <c r="E4" s="21" t="inlineStr">
        <is>
          <t>Promote chance</t>
        </is>
      </c>
      <c r="F4" s="21" t="inlineStr">
        <is>
          <t>Cash x</t>
        </is>
      </c>
      <c r="G4" s="21" t="inlineStr">
        <is>
          <t>Starting lives</t>
        </is>
      </c>
      <c r="H4" s="21" t="inlineStr">
        <is>
          <t>Note</t>
        </is>
      </c>
      <c r="I4" s="21" t="inlineStr">
        <is>
          <t>Clear reward (amber)</t>
        </is>
      </c>
      <c r="J4" s="21" t="inlineStr">
        <is>
          <t>Dino damage x</t>
        </is>
      </c>
      <c r="K4" s="21" t="inlineStr">
        <is>
          <t>Starting cash</t>
        </is>
      </c>
      <c r="L4" s="21" t="inlineStr">
        <is>
          <t>Tower damage x</t>
        </is>
      </c>
      <c r="M4" s="21" t="inlineStr">
        <is>
          <t>Hero damage x</t>
        </is>
      </c>
      <c r="N4" s="21" t="inlineStr">
        <is>
          <t>Clear XP</t>
        </is>
      </c>
    </row>
    <row r="5">
      <c r="A5" s="43" t="inlineStr">
        <is>
          <t>Easy</t>
        </is>
      </c>
      <c r="B5" s="27" t="n">
        <v>1</v>
      </c>
      <c r="C5" s="27" t="n">
        <v>1</v>
      </c>
      <c r="D5" s="27" t="n">
        <v>1</v>
      </c>
      <c r="E5" s="27" t="n">
        <v>0</v>
      </c>
      <c r="F5" s="27" t="n">
        <v>1</v>
      </c>
      <c r="G5" s="27" t="n">
        <v>40</v>
      </c>
      <c r="H5" s="47" t="inlineStr">
        <is>
          <t>The baseline. Current balance.</t>
        </is>
      </c>
      <c r="I5" s="27" t="n">
        <v>50</v>
      </c>
      <c r="J5" s="27" t="n">
        <v>1</v>
      </c>
      <c r="K5" s="27" t="n">
        <v>450</v>
      </c>
      <c r="L5" s="27" t="n">
        <v>1</v>
      </c>
      <c r="M5" s="27" t="n">
        <v>1</v>
      </c>
      <c r="N5" s="27" t="n">
        <v>500</v>
      </c>
    </row>
    <row r="6">
      <c r="A6" s="43" t="inlineStr">
        <is>
          <t>Normal</t>
        </is>
      </c>
      <c r="B6" s="27" t="n">
        <v>1.25</v>
      </c>
      <c r="C6" s="27" t="n">
        <v>1.3</v>
      </c>
      <c r="D6" s="27" t="n">
        <v>1.05</v>
      </c>
      <c r="E6" s="27" t="n">
        <v>0.1</v>
      </c>
      <c r="F6" s="27" t="n">
        <v>0.9</v>
      </c>
      <c r="G6" s="27" t="n">
        <v>30</v>
      </c>
      <c r="H6" s="47" t="inlineStr">
        <is>
          <t>10% of enemies spawn one tier tougher.</t>
        </is>
      </c>
      <c r="I6" s="27" t="n">
        <v>100</v>
      </c>
      <c r="J6" s="27" t="n">
        <v>1.25</v>
      </c>
      <c r="K6" s="27" t="n">
        <v>450</v>
      </c>
      <c r="L6" s="27" t="n">
        <v>1</v>
      </c>
      <c r="M6" s="27" t="n">
        <v>1</v>
      </c>
      <c r="N6" s="27" t="n">
        <v>1000</v>
      </c>
    </row>
    <row r="7">
      <c r="A7" s="43" t="inlineStr">
        <is>
          <t>Hard</t>
        </is>
      </c>
      <c r="B7" s="27" t="n">
        <v>1.6</v>
      </c>
      <c r="C7" s="27" t="n">
        <v>1.7</v>
      </c>
      <c r="D7" s="27" t="n">
        <v>1.1</v>
      </c>
      <c r="E7" s="27" t="n">
        <v>0.2</v>
      </c>
      <c r="F7" s="27" t="n">
        <v>0.8</v>
      </c>
      <c r="G7" s="27" t="n">
        <v>20</v>
      </c>
      <c r="H7" s="47" t="inlineStr"/>
      <c r="I7" s="27" t="n">
        <v>150</v>
      </c>
      <c r="J7" s="27" t="n">
        <v>1.6</v>
      </c>
      <c r="K7" s="27" t="n">
        <v>850</v>
      </c>
      <c r="L7" s="27" t="n">
        <v>1</v>
      </c>
      <c r="M7" s="27" t="n">
        <v>1</v>
      </c>
      <c r="N7" s="27" t="n">
        <v>1500</v>
      </c>
    </row>
    <row r="8">
      <c r="A8" s="43" t="inlineStr">
        <is>
          <t>Chaos</t>
        </is>
      </c>
      <c r="B8" s="27" t="n">
        <v>2.2</v>
      </c>
      <c r="C8" s="27" t="n">
        <v>2.5</v>
      </c>
      <c r="D8" s="27" t="n">
        <v>1.2</v>
      </c>
      <c r="E8" s="27" t="n">
        <v>0.35</v>
      </c>
      <c r="F8" s="27" t="n">
        <v>0.75</v>
      </c>
      <c r="G8" s="27" t="n">
        <v>10</v>
      </c>
      <c r="H8" s="47" t="inlineStr">
        <is>
          <t>Meant for big lobbies.</t>
        </is>
      </c>
      <c r="I8" s="27" t="n">
        <v>200</v>
      </c>
      <c r="J8" s="27" t="n">
        <v>2.2</v>
      </c>
      <c r="K8" s="27" t="n">
        <v>450</v>
      </c>
      <c r="L8" s="27" t="n">
        <v>0.6</v>
      </c>
      <c r="M8" s="27" t="n">
        <v>1.5</v>
      </c>
      <c r="N8" s="27" t="n">
        <v>2000</v>
      </c>
    </row>
    <row r="11">
      <c r="A11" s="5" t="inlineStr">
        <is>
          <t>Enemy count x raises density: the round's spawn gap shrinks by the same factor, so rounds get busier, not longer.</t>
        </is>
      </c>
    </row>
    <row r="12">
      <c r="A12" s="5" t="inlineStr">
        <is>
          <t>Promote chance: each spawn has this chance to become the next ground species up (Compy &gt; Raptor &gt; Pachy &gt; Ankylosaurus &gt; Gallimimus). Flyers and bosses are never promoted.</t>
        </is>
      </c>
    </row>
    <row r="13">
      <c r="A13" s="5" t="inlineStr">
        <is>
          <t>Cash x scales kill income and the round bonus.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" customWidth="1" style="81" min="1" max="1"/>
    <col width="14" customWidth="1" style="81" min="2" max="2"/>
    <col width="10" customWidth="1" style="81" min="3" max="3"/>
    <col width="14" customWidth="1" style="81" min="4" max="5"/>
    <col width="16" customWidth="1" style="81" min="6" max="6"/>
    <col width="14" customWidth="1" style="81" min="7" max="8"/>
    <col width="12" customWidth="1" style="81" min="9" max="9"/>
    <col width="8.67188" customWidth="1" style="81" min="10" max="16384"/>
  </cols>
  <sheetData>
    <row r="1" ht="18.5" customHeight="1" s="90">
      <c r="A1" s="2" t="inlineStr">
        <is>
          <t>BALANCE CHECK — is each round actually winnable?</t>
        </is>
      </c>
      <c r="B1" s="3" t="n"/>
      <c r="C1" s="3" t="n"/>
      <c r="D1" s="3" t="n"/>
      <c r="E1" s="3" t="n"/>
      <c r="F1" s="3" t="n"/>
      <c r="G1" s="3" t="n"/>
      <c r="H1" s="3" t="n"/>
      <c r="I1" s="4" t="n"/>
    </row>
    <row r="2" ht="13.65" customHeight="1" s="90">
      <c r="A2" s="5" t="inlineStr">
        <is>
          <t>An economy smoke test, not a difficulty simulator. Open it after every change to Tuning.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 ht="13.55" customHeight="1" s="90">
      <c r="A3" s="19" t="n"/>
      <c r="B3" s="20" t="n"/>
      <c r="C3" s="20" t="n"/>
      <c r="D3" s="20" t="n"/>
      <c r="E3" s="20" t="n"/>
      <c r="F3" s="20" t="n"/>
      <c r="G3" s="20" t="n"/>
      <c r="H3" s="20" t="n"/>
      <c r="I3" s="41" t="n"/>
    </row>
    <row r="4" ht="27.75" customHeight="1" s="90">
      <c r="A4" s="21" t="inlineStr">
        <is>
          <t>Round</t>
        </is>
      </c>
      <c r="B4" s="21" t="inlineStr">
        <is>
          <t>Required DPS</t>
        </is>
      </c>
      <c r="C4" s="21" t="inlineStr">
        <is>
          <t>Ref tier</t>
        </is>
      </c>
      <c r="D4" s="21" t="inlineStr">
        <is>
          <t>Cost per DPS</t>
        </is>
      </c>
      <c r="E4" s="21" t="inlineStr">
        <is>
          <t>Cash needed</t>
        </is>
      </c>
      <c r="F4" s="21" t="inlineStr">
        <is>
          <t>Cumulative cash</t>
        </is>
      </c>
      <c r="G4" s="21" t="inlineStr">
        <is>
          <t>Cash in towers</t>
        </is>
      </c>
      <c r="H4" s="21" t="inlineStr">
        <is>
          <t>Affordability</t>
        </is>
      </c>
      <c r="I4" s="21" t="inlineStr">
        <is>
          <t>Status</t>
        </is>
      </c>
    </row>
    <row r="5" ht="13.65" customHeight="1" s="90">
      <c r="A5" s="56" t="n">
        <v>1</v>
      </c>
      <c r="B5" s="96">
        <f t="array" ref="B5">'Rounds'!O5</f>
        <v/>
      </c>
      <c r="C5" s="92">
        <f t="array" ref="C5">MIN(5,A5/'Tuning'!$B$32)</f>
        <v/>
      </c>
      <c r="D5" s="92">
        <f>ROUND('Towers'!$C$13*POWER('Tuning'!$B$12/'Tuning'!$B$13,C5),1)</f>
        <v/>
      </c>
      <c r="E5" s="56">
        <f t="array" ref="E5">ROUND(B5*D5/'Tuning'!$B$31,0)</f>
        <v/>
      </c>
      <c r="F5" s="75">
        <f t="array" ref="F5">'Rounds'!S5</f>
        <v/>
      </c>
      <c r="G5" s="56">
        <f t="array" ref="G5">ROUND(F5*'Tuning'!$B$30,0)</f>
        <v/>
      </c>
      <c r="H5" s="83">
        <f t="array" ref="H5">IF(E5=0,0,G5/E5)</f>
        <v/>
      </c>
      <c r="I5" s="84">
        <f t="array" ref="I5">IF(H5&lt;1,"TIGHT",IF(H5&lt;2,"OK","EASY"))</f>
        <v/>
      </c>
    </row>
    <row r="6" ht="13.65" customHeight="1" s="90">
      <c r="A6" s="56" t="n">
        <v>2</v>
      </c>
      <c r="B6" s="96">
        <f t="array" ref="B6">'Rounds'!O6</f>
        <v/>
      </c>
      <c r="C6" s="92">
        <f t="array" ref="C6">MIN(5,A6/'Tuning'!$B$32)</f>
        <v/>
      </c>
      <c r="D6" s="92">
        <f>ROUND('Towers'!$C$13*POWER('Tuning'!$B$12/'Tuning'!$B$13,C6),1)</f>
        <v/>
      </c>
      <c r="E6" s="56">
        <f t="array" ref="E6">ROUND(B6*D6/'Tuning'!$B$31,0)</f>
        <v/>
      </c>
      <c r="F6" s="75">
        <f t="array" ref="F6">'Rounds'!S6</f>
        <v/>
      </c>
      <c r="G6" s="56">
        <f t="array" ref="G6">ROUND(F6*'Tuning'!$B$30,0)</f>
        <v/>
      </c>
      <c r="H6" s="83">
        <f t="array" ref="H6">IF(E6=0,0,G6/E6)</f>
        <v/>
      </c>
      <c r="I6" s="84">
        <f t="array" ref="I6">IF(H6&lt;1,"TIGHT",IF(H6&lt;2,"OK","EASY"))</f>
        <v/>
      </c>
    </row>
    <row r="7" ht="13.65" customHeight="1" s="90">
      <c r="A7" s="56" t="n">
        <v>3</v>
      </c>
      <c r="B7" s="96">
        <f t="array" ref="B7">'Rounds'!O7</f>
        <v/>
      </c>
      <c r="C7" s="92">
        <f t="array" ref="C7">MIN(5,A7/'Tuning'!$B$32)</f>
        <v/>
      </c>
      <c r="D7" s="92">
        <f>ROUND('Towers'!$C$13*POWER('Tuning'!$B$12/'Tuning'!$B$13,C7),1)</f>
        <v/>
      </c>
      <c r="E7" s="56">
        <f t="array" ref="E7">ROUND(B7*D7/'Tuning'!$B$31,0)</f>
        <v/>
      </c>
      <c r="F7" s="75">
        <f t="array" ref="F7">'Rounds'!S7</f>
        <v/>
      </c>
      <c r="G7" s="56">
        <f t="array" ref="G7">ROUND(F7*'Tuning'!$B$30,0)</f>
        <v/>
      </c>
      <c r="H7" s="83">
        <f t="array" ref="H7">IF(E7=0,0,G7/E7)</f>
        <v/>
      </c>
      <c r="I7" s="84">
        <f t="array" ref="I7">IF(H7&lt;1,"TIGHT",IF(H7&lt;2,"OK","EASY"))</f>
        <v/>
      </c>
    </row>
    <row r="8" ht="13.65" customHeight="1" s="90">
      <c r="A8" s="56" t="n">
        <v>4</v>
      </c>
      <c r="B8" s="96">
        <f t="array" ref="B8">'Rounds'!O8</f>
        <v/>
      </c>
      <c r="C8" s="92">
        <f t="array" ref="C8">MIN(5,A8/'Tuning'!$B$32)</f>
        <v/>
      </c>
      <c r="D8" s="92">
        <f>ROUND('Towers'!$C$13*POWER('Tuning'!$B$12/'Tuning'!$B$13,C8),1)</f>
        <v/>
      </c>
      <c r="E8" s="56">
        <f t="array" ref="E8">ROUND(B8*D8/'Tuning'!$B$31,0)</f>
        <v/>
      </c>
      <c r="F8" s="75">
        <f t="array" ref="F8">'Rounds'!S8</f>
        <v/>
      </c>
      <c r="G8" s="56">
        <f t="array" ref="G8">ROUND(F8*'Tuning'!$B$30,0)</f>
        <v/>
      </c>
      <c r="H8" s="83">
        <f t="array" ref="H8">IF(E8=0,0,G8/E8)</f>
        <v/>
      </c>
      <c r="I8" s="84">
        <f t="array" ref="I8">IF(H8&lt;1,"TIGHT",IF(H8&lt;2,"OK","EASY"))</f>
        <v/>
      </c>
    </row>
    <row r="9" ht="13.65" customHeight="1" s="90">
      <c r="A9" s="56" t="n">
        <v>5</v>
      </c>
      <c r="B9" s="96">
        <f t="array" ref="B9">'Rounds'!O9</f>
        <v/>
      </c>
      <c r="C9" s="92">
        <f t="array" ref="C9">MIN(5,A9/'Tuning'!$B$32)</f>
        <v/>
      </c>
      <c r="D9" s="92">
        <f>ROUND('Towers'!$C$13*POWER('Tuning'!$B$12/'Tuning'!$B$13,C9),1)</f>
        <v/>
      </c>
      <c r="E9" s="56">
        <f t="array" ref="E9">ROUND(B9*D9/'Tuning'!$B$31,0)</f>
        <v/>
      </c>
      <c r="F9" s="75">
        <f t="array" ref="F9">'Rounds'!S9</f>
        <v/>
      </c>
      <c r="G9" s="56">
        <f t="array" ref="G9">ROUND(F9*'Tuning'!$B$30,0)</f>
        <v/>
      </c>
      <c r="H9" s="83">
        <f t="array" ref="H9">IF(E9=0,0,G9/E9)</f>
        <v/>
      </c>
      <c r="I9" s="84">
        <f t="array" ref="I9">IF(H9&lt;1,"TIGHT",IF(H9&lt;2,"OK","EASY"))</f>
        <v/>
      </c>
    </row>
    <row r="10" ht="13.65" customHeight="1" s="90">
      <c r="A10" s="56" t="n">
        <v>6</v>
      </c>
      <c r="B10" s="96">
        <f t="array" ref="B10">'Rounds'!O10</f>
        <v/>
      </c>
      <c r="C10" s="92">
        <f t="array" ref="C10">MIN(5,A10/'Tuning'!$B$32)</f>
        <v/>
      </c>
      <c r="D10" s="92">
        <f>ROUND('Towers'!$C$13*POWER('Tuning'!$B$12/'Tuning'!$B$13,C10),1)</f>
        <v/>
      </c>
      <c r="E10" s="56">
        <f t="array" ref="E10">ROUND(B10*D10/'Tuning'!$B$31,0)</f>
        <v/>
      </c>
      <c r="F10" s="75">
        <f t="array" ref="F10">'Rounds'!S10</f>
        <v/>
      </c>
      <c r="G10" s="56">
        <f t="array" ref="G10">ROUND(F10*'Tuning'!$B$30,0)</f>
        <v/>
      </c>
      <c r="H10" s="83">
        <f t="array" ref="H10">IF(E10=0,0,G10/E10)</f>
        <v/>
      </c>
      <c r="I10" s="84">
        <f t="array" ref="I10">IF(H10&lt;1,"TIGHT",IF(H10&lt;2,"OK","EASY"))</f>
        <v/>
      </c>
    </row>
    <row r="11" ht="13.65" customHeight="1" s="90">
      <c r="A11" s="56" t="n">
        <v>7</v>
      </c>
      <c r="B11" s="96">
        <f t="array" ref="B11">'Rounds'!O11</f>
        <v/>
      </c>
      <c r="C11" s="92">
        <f t="array" ref="C11">MIN(5,A11/'Tuning'!$B$32)</f>
        <v/>
      </c>
      <c r="D11" s="92">
        <f>ROUND('Towers'!$C$13*POWER('Tuning'!$B$12/'Tuning'!$B$13,C11),1)</f>
        <v/>
      </c>
      <c r="E11" s="56">
        <f t="array" ref="E11">ROUND(B11*D11/'Tuning'!$B$31,0)</f>
        <v/>
      </c>
      <c r="F11" s="75">
        <f t="array" ref="F11">'Rounds'!S11</f>
        <v/>
      </c>
      <c r="G11" s="56">
        <f t="array" ref="G11">ROUND(F11*'Tuning'!$B$30,0)</f>
        <v/>
      </c>
      <c r="H11" s="83">
        <f t="array" ref="H11">IF(E11=0,0,G11/E11)</f>
        <v/>
      </c>
      <c r="I11" s="84">
        <f t="array" ref="I11">IF(H11&lt;1,"TIGHT",IF(H11&lt;2,"OK","EASY"))</f>
        <v/>
      </c>
    </row>
    <row r="12" ht="13.65" customHeight="1" s="90">
      <c r="A12" s="56" t="n">
        <v>8</v>
      </c>
      <c r="B12" s="96">
        <f t="array" ref="B12">'Rounds'!O12</f>
        <v/>
      </c>
      <c r="C12" s="92">
        <f t="array" ref="C12">MIN(5,A12/'Tuning'!$B$32)</f>
        <v/>
      </c>
      <c r="D12" s="92">
        <f>ROUND('Towers'!$C$13*POWER('Tuning'!$B$12/'Tuning'!$B$13,C12),1)</f>
        <v/>
      </c>
      <c r="E12" s="56">
        <f t="array" ref="E12">ROUND(B12*D12/'Tuning'!$B$31,0)</f>
        <v/>
      </c>
      <c r="F12" s="75">
        <f t="array" ref="F12">'Rounds'!S12</f>
        <v/>
      </c>
      <c r="G12" s="56">
        <f t="array" ref="G12">ROUND(F12*'Tuning'!$B$30,0)</f>
        <v/>
      </c>
      <c r="H12" s="83">
        <f t="array" ref="H12">IF(E12=0,0,G12/E12)</f>
        <v/>
      </c>
      <c r="I12" s="84">
        <f t="array" ref="I12">IF(H12&lt;1,"TIGHT",IF(H12&lt;2,"OK","EASY"))</f>
        <v/>
      </c>
    </row>
    <row r="13" ht="13.65" customHeight="1" s="90">
      <c r="A13" s="56" t="n">
        <v>9</v>
      </c>
      <c r="B13" s="96">
        <f t="array" ref="B13">'Rounds'!O13</f>
        <v/>
      </c>
      <c r="C13" s="92">
        <f t="array" ref="C13">MIN(5,A13/'Tuning'!$B$32)</f>
        <v/>
      </c>
      <c r="D13" s="92">
        <f>ROUND('Towers'!$C$13*POWER('Tuning'!$B$12/'Tuning'!$B$13,C13),1)</f>
        <v/>
      </c>
      <c r="E13" s="56">
        <f t="array" ref="E13">ROUND(B13*D13/'Tuning'!$B$31,0)</f>
        <v/>
      </c>
      <c r="F13" s="75">
        <f t="array" ref="F13">'Rounds'!S13</f>
        <v/>
      </c>
      <c r="G13" s="56">
        <f t="array" ref="G13">ROUND(F13*'Tuning'!$B$30,0)</f>
        <v/>
      </c>
      <c r="H13" s="83">
        <f t="array" ref="H13">IF(E13=0,0,G13/E13)</f>
        <v/>
      </c>
      <c r="I13" s="84">
        <f t="array" ref="I13">IF(H13&lt;1,"TIGHT",IF(H13&lt;2,"OK","EASY"))</f>
        <v/>
      </c>
    </row>
    <row r="14" ht="13.65" customHeight="1" s="90">
      <c r="A14" s="56" t="n">
        <v>10</v>
      </c>
      <c r="B14" s="96">
        <f t="array" ref="B14">'Rounds'!O14</f>
        <v/>
      </c>
      <c r="C14" s="92">
        <f t="array" ref="C14">MIN(5,A14/'Tuning'!$B$32)</f>
        <v/>
      </c>
      <c r="D14" s="92">
        <f>ROUND('Towers'!$C$13*POWER('Tuning'!$B$12/'Tuning'!$B$13,C14),1)</f>
        <v/>
      </c>
      <c r="E14" s="56">
        <f t="array" ref="E14">ROUND(B14*D14/'Tuning'!$B$31,0)</f>
        <v/>
      </c>
      <c r="F14" s="75">
        <f t="array" ref="F14">'Rounds'!S14</f>
        <v/>
      </c>
      <c r="G14" s="56">
        <f t="array" ref="G14">ROUND(F14*'Tuning'!$B$30,0)</f>
        <v/>
      </c>
      <c r="H14" s="83">
        <f t="array" ref="H14">IF(E14=0,0,G14/E14)</f>
        <v/>
      </c>
      <c r="I14" s="84">
        <f t="array" ref="I14">IF(H14&lt;1,"TIGHT",IF(H14&lt;2,"OK","EASY"))</f>
        <v/>
      </c>
    </row>
    <row r="15" ht="13.65" customHeight="1" s="90">
      <c r="A15" s="66" t="n">
        <v>11</v>
      </c>
      <c r="B15" s="97">
        <f t="array" ref="B15">'Rounds'!O15</f>
        <v/>
      </c>
      <c r="C15" s="93">
        <f t="array" ref="C15">MIN(5,A15/'Tuning'!$B$32)</f>
        <v/>
      </c>
      <c r="D15" s="93">
        <f>ROUND('Towers'!$C$13*POWER('Tuning'!$B$12/'Tuning'!$B$13,C15),1)</f>
        <v/>
      </c>
      <c r="E15" s="66">
        <f t="array" ref="E15">ROUND(B15*D15/'Tuning'!$B$31,0)</f>
        <v/>
      </c>
      <c r="F15" s="79">
        <f t="array" ref="F15">'Rounds'!S15</f>
        <v/>
      </c>
      <c r="G15" s="66">
        <f t="array" ref="G15">ROUND(F15*'Tuning'!$B$30,0)</f>
        <v/>
      </c>
      <c r="H15" s="86">
        <f t="array" ref="H15">IF(E15=0,0,G15/E15)</f>
        <v/>
      </c>
      <c r="I15" s="87">
        <f t="array" ref="I15">IF(H15&lt;1,"TIGHT",IF(H15&lt;2,"OK","EASY"))</f>
        <v/>
      </c>
    </row>
    <row r="16" ht="13.65" customHeight="1" s="90">
      <c r="A16" s="56" t="n">
        <v>12</v>
      </c>
      <c r="B16" s="96">
        <f t="array" ref="B16">'Rounds'!O16</f>
        <v/>
      </c>
      <c r="C16" s="92">
        <f t="array" ref="C16">MIN(5,A16/'Tuning'!$B$32)</f>
        <v/>
      </c>
      <c r="D16" s="92">
        <f>ROUND('Towers'!$C$13*POWER('Tuning'!$B$12/'Tuning'!$B$13,C16),1)</f>
        <v/>
      </c>
      <c r="E16" s="56">
        <f t="array" ref="E16">ROUND(B16*D16/'Tuning'!$B$31,0)</f>
        <v/>
      </c>
      <c r="F16" s="75">
        <f t="array" ref="F16">'Rounds'!S16</f>
        <v/>
      </c>
      <c r="G16" s="56">
        <f t="array" ref="G16">ROUND(F16*'Tuning'!$B$30,0)</f>
        <v/>
      </c>
      <c r="H16" s="83">
        <f t="array" ref="H16">IF(E16=0,0,G16/E16)</f>
        <v/>
      </c>
      <c r="I16" s="84">
        <f t="array" ref="I16">IF(H16&lt;1,"TIGHT",IF(H16&lt;2,"OK","EASY"))</f>
        <v/>
      </c>
    </row>
    <row r="17" ht="13.65" customHeight="1" s="90">
      <c r="A17" s="56" t="n">
        <v>13</v>
      </c>
      <c r="B17" s="96">
        <f t="array" ref="B17">'Rounds'!O17</f>
        <v/>
      </c>
      <c r="C17" s="92">
        <f t="array" ref="C17">MIN(5,A17/'Tuning'!$B$32)</f>
        <v/>
      </c>
      <c r="D17" s="92">
        <f>ROUND('Towers'!$C$13*POWER('Tuning'!$B$12/'Tuning'!$B$13,C17),1)</f>
        <v/>
      </c>
      <c r="E17" s="56">
        <f t="array" ref="E17">ROUND(B17*D17/'Tuning'!$B$31,0)</f>
        <v/>
      </c>
      <c r="F17" s="75">
        <f t="array" ref="F17">'Rounds'!S17</f>
        <v/>
      </c>
      <c r="G17" s="56">
        <f t="array" ref="G17">ROUND(F17*'Tuning'!$B$30,0)</f>
        <v/>
      </c>
      <c r="H17" s="83">
        <f t="array" ref="H17">IF(E17=0,0,G17/E17)</f>
        <v/>
      </c>
      <c r="I17" s="84">
        <f t="array" ref="I17">IF(H17&lt;1,"TIGHT",IF(H17&lt;2,"OK","EASY"))</f>
        <v/>
      </c>
    </row>
    <row r="18" ht="13.65" customHeight="1" s="90">
      <c r="A18" s="56" t="n">
        <v>14</v>
      </c>
      <c r="B18" s="96">
        <f t="array" ref="B18">'Rounds'!O18</f>
        <v/>
      </c>
      <c r="C18" s="92">
        <f t="array" ref="C18">MIN(5,A18/'Tuning'!$B$32)</f>
        <v/>
      </c>
      <c r="D18" s="92">
        <f>ROUND('Towers'!$C$13*POWER('Tuning'!$B$12/'Tuning'!$B$13,C18),1)</f>
        <v/>
      </c>
      <c r="E18" s="56">
        <f t="array" ref="E18">ROUND(B18*D18/'Tuning'!$B$31,0)</f>
        <v/>
      </c>
      <c r="F18" s="75">
        <f t="array" ref="F18">'Rounds'!S18</f>
        <v/>
      </c>
      <c r="G18" s="56">
        <f t="array" ref="G18">ROUND(F18*'Tuning'!$B$30,0)</f>
        <v/>
      </c>
      <c r="H18" s="83">
        <f t="array" ref="H18">IF(E18=0,0,G18/E18)</f>
        <v/>
      </c>
      <c r="I18" s="84">
        <f t="array" ref="I18">IF(H18&lt;1,"TIGHT",IF(H18&lt;2,"OK","EASY"))</f>
        <v/>
      </c>
    </row>
    <row r="19" ht="13.65" customHeight="1" s="90">
      <c r="A19" s="56" t="n">
        <v>15</v>
      </c>
      <c r="B19" s="96">
        <f t="array" ref="B19">'Rounds'!O19</f>
        <v/>
      </c>
      <c r="C19" s="92">
        <f t="array" ref="C19">MIN(5,A19/'Tuning'!$B$32)</f>
        <v/>
      </c>
      <c r="D19" s="92">
        <f>ROUND('Towers'!$C$13*POWER('Tuning'!$B$12/'Tuning'!$B$13,C19),1)</f>
        <v/>
      </c>
      <c r="E19" s="56">
        <f t="array" ref="E19">ROUND(B19*D19/'Tuning'!$B$31,0)</f>
        <v/>
      </c>
      <c r="F19" s="75">
        <f t="array" ref="F19">'Rounds'!S19</f>
        <v/>
      </c>
      <c r="G19" s="56">
        <f t="array" ref="G19">ROUND(F19*'Tuning'!$B$30,0)</f>
        <v/>
      </c>
      <c r="H19" s="83">
        <f t="array" ref="H19">IF(E19=0,0,G19/E19)</f>
        <v/>
      </c>
      <c r="I19" s="84">
        <f t="array" ref="I19">IF(H19&lt;1,"TIGHT",IF(H19&lt;2,"OK","EASY"))</f>
        <v/>
      </c>
    </row>
    <row r="20" ht="13.65" customHeight="1" s="90">
      <c r="A20" s="56" t="n">
        <v>16</v>
      </c>
      <c r="B20" s="96">
        <f t="array" ref="B20">'Rounds'!O20</f>
        <v/>
      </c>
      <c r="C20" s="92">
        <f t="array" ref="C20">MIN(5,A20/'Tuning'!$B$32)</f>
        <v/>
      </c>
      <c r="D20" s="92">
        <f>ROUND('Towers'!$C$13*POWER('Tuning'!$B$12/'Tuning'!$B$13,C20),1)</f>
        <v/>
      </c>
      <c r="E20" s="56">
        <f t="array" ref="E20">ROUND(B20*D20/'Tuning'!$B$31,0)</f>
        <v/>
      </c>
      <c r="F20" s="75">
        <f t="array" ref="F20">'Rounds'!S20</f>
        <v/>
      </c>
      <c r="G20" s="56">
        <f t="array" ref="G20">ROUND(F20*'Tuning'!$B$30,0)</f>
        <v/>
      </c>
      <c r="H20" s="83">
        <f t="array" ref="H20">IF(E20=0,0,G20/E20)</f>
        <v/>
      </c>
      <c r="I20" s="84">
        <f t="array" ref="I20">IF(H20&lt;1,"TIGHT",IF(H20&lt;2,"OK","EASY"))</f>
        <v/>
      </c>
    </row>
    <row r="21" ht="13.65" customHeight="1" s="90">
      <c r="A21" s="56" t="n">
        <v>17</v>
      </c>
      <c r="B21" s="96">
        <f t="array" ref="B21">'Rounds'!O21</f>
        <v/>
      </c>
      <c r="C21" s="92">
        <f t="array" ref="C21">MIN(5,A21/'Tuning'!$B$32)</f>
        <v/>
      </c>
      <c r="D21" s="92">
        <f>ROUND('Towers'!$C$13*POWER('Tuning'!$B$12/'Tuning'!$B$13,C21),1)</f>
        <v/>
      </c>
      <c r="E21" s="56">
        <f t="array" ref="E21">ROUND(B21*D21/'Tuning'!$B$31,0)</f>
        <v/>
      </c>
      <c r="F21" s="75">
        <f t="array" ref="F21">'Rounds'!S21</f>
        <v/>
      </c>
      <c r="G21" s="56">
        <f t="array" ref="G21">ROUND(F21*'Tuning'!$B$30,0)</f>
        <v/>
      </c>
      <c r="H21" s="83">
        <f t="array" ref="H21">IF(E21=0,0,G21/E21)</f>
        <v/>
      </c>
      <c r="I21" s="84">
        <f t="array" ref="I21">IF(H21&lt;1,"TIGHT",IF(H21&lt;2,"OK","EASY"))</f>
        <v/>
      </c>
    </row>
    <row r="22" ht="13.65" customHeight="1" s="90">
      <c r="A22" s="56" t="n">
        <v>18</v>
      </c>
      <c r="B22" s="96">
        <f t="array" ref="B22">'Rounds'!O22</f>
        <v/>
      </c>
      <c r="C22" s="92">
        <f t="array" ref="C22">MIN(5,A22/'Tuning'!$B$32)</f>
        <v/>
      </c>
      <c r="D22" s="92">
        <f>ROUND('Towers'!$C$13*POWER('Tuning'!$B$12/'Tuning'!$B$13,C22),1)</f>
        <v/>
      </c>
      <c r="E22" s="56">
        <f t="array" ref="E22">ROUND(B22*D22/'Tuning'!$B$31,0)</f>
        <v/>
      </c>
      <c r="F22" s="75">
        <f t="array" ref="F22">'Rounds'!S22</f>
        <v/>
      </c>
      <c r="G22" s="56">
        <f t="array" ref="G22">ROUND(F22*'Tuning'!$B$30,0)</f>
        <v/>
      </c>
      <c r="H22" s="83">
        <f t="array" ref="H22">IF(E22=0,0,G22/E22)</f>
        <v/>
      </c>
      <c r="I22" s="84">
        <f t="array" ref="I22">IF(H22&lt;1,"TIGHT",IF(H22&lt;2,"OK","EASY"))</f>
        <v/>
      </c>
    </row>
    <row r="23" ht="13.65" customHeight="1" s="90">
      <c r="A23" s="56" t="n">
        <v>19</v>
      </c>
      <c r="B23" s="96">
        <f t="array" ref="B23">'Rounds'!O23</f>
        <v/>
      </c>
      <c r="C23" s="92">
        <f t="array" ref="C23">MIN(5,A23/'Tuning'!$B$32)</f>
        <v/>
      </c>
      <c r="D23" s="92">
        <f>ROUND('Towers'!$C$13*POWER('Tuning'!$B$12/'Tuning'!$B$13,C23),1)</f>
        <v/>
      </c>
      <c r="E23" s="56">
        <f t="array" ref="E23">ROUND(B23*D23/'Tuning'!$B$31,0)</f>
        <v/>
      </c>
      <c r="F23" s="75">
        <f t="array" ref="F23">'Rounds'!S23</f>
        <v/>
      </c>
      <c r="G23" s="56">
        <f t="array" ref="G23">ROUND(F23*'Tuning'!$B$30,0)</f>
        <v/>
      </c>
      <c r="H23" s="83">
        <f t="array" ref="H23">IF(E23=0,0,G23/E23)</f>
        <v/>
      </c>
      <c r="I23" s="84">
        <f t="array" ref="I23">IF(H23&lt;1,"TIGHT",IF(H23&lt;2,"OK","EASY"))</f>
        <v/>
      </c>
    </row>
    <row r="24" ht="13.65" customHeight="1" s="90">
      <c r="A24" s="56" t="n">
        <v>20</v>
      </c>
      <c r="B24" s="96">
        <f t="array" ref="B24">'Rounds'!O24</f>
        <v/>
      </c>
      <c r="C24" s="92">
        <f t="array" ref="C24">MIN(5,A24/'Tuning'!$B$32)</f>
        <v/>
      </c>
      <c r="D24" s="92">
        <f>ROUND('Towers'!$C$13*POWER('Tuning'!$B$12/'Tuning'!$B$13,C24),1)</f>
        <v/>
      </c>
      <c r="E24" s="56">
        <f t="array" ref="E24">ROUND(B24*D24/'Tuning'!$B$31,0)</f>
        <v/>
      </c>
      <c r="F24" s="75">
        <f t="array" ref="F24">'Rounds'!S24</f>
        <v/>
      </c>
      <c r="G24" s="56">
        <f t="array" ref="G24">ROUND(F24*'Tuning'!$B$30,0)</f>
        <v/>
      </c>
      <c r="H24" s="83">
        <f t="array" ref="H24">IF(E24=0,0,G24/E24)</f>
        <v/>
      </c>
      <c r="I24" s="84">
        <f t="array" ref="I24">IF(H24&lt;1,"TIGHT",IF(H24&lt;2,"OK","EASY"))</f>
        <v/>
      </c>
    </row>
    <row r="25" ht="13.65" customHeight="1" s="90">
      <c r="A25" s="66" t="n">
        <v>21</v>
      </c>
      <c r="B25" s="97">
        <f t="array" ref="B25">'Rounds'!O25</f>
        <v/>
      </c>
      <c r="C25" s="93">
        <f t="array" ref="C25">MIN(5,A25/'Tuning'!$B$32)</f>
        <v/>
      </c>
      <c r="D25" s="93">
        <f>ROUND('Towers'!$C$13*POWER('Tuning'!$B$12/'Tuning'!$B$13,C25),1)</f>
        <v/>
      </c>
      <c r="E25" s="66">
        <f t="array" ref="E25">ROUND(B25*D25/'Tuning'!$B$31,0)</f>
        <v/>
      </c>
      <c r="F25" s="79">
        <f t="array" ref="F25">'Rounds'!S25</f>
        <v/>
      </c>
      <c r="G25" s="66">
        <f t="array" ref="G25">ROUND(F25*'Tuning'!$B$30,0)</f>
        <v/>
      </c>
      <c r="H25" s="86">
        <f t="array" ref="H25">IF(E25=0,0,G25/E25)</f>
        <v/>
      </c>
      <c r="I25" s="87">
        <f t="array" ref="I25">IF(H25&lt;1,"TIGHT",IF(H25&lt;2,"OK","EASY"))</f>
        <v/>
      </c>
    </row>
    <row r="26" ht="13.65" customHeight="1" s="90">
      <c r="A26" s="56" t="n">
        <v>22</v>
      </c>
      <c r="B26" s="96">
        <f t="array" ref="B26">'Rounds'!O26</f>
        <v/>
      </c>
      <c r="C26" s="92">
        <f t="array" ref="C26">MIN(5,A26/'Tuning'!$B$32)</f>
        <v/>
      </c>
      <c r="D26" s="92">
        <f>ROUND('Towers'!$C$13*POWER('Tuning'!$B$12/'Tuning'!$B$13,C26),1)</f>
        <v/>
      </c>
      <c r="E26" s="56">
        <f t="array" ref="E26">ROUND(B26*D26/'Tuning'!$B$31,0)</f>
        <v/>
      </c>
      <c r="F26" s="75">
        <f t="array" ref="F26">'Rounds'!S26</f>
        <v/>
      </c>
      <c r="G26" s="56">
        <f t="array" ref="G26">ROUND(F26*'Tuning'!$B$30,0)</f>
        <v/>
      </c>
      <c r="H26" s="83">
        <f t="array" ref="H26">IF(E26=0,0,G26/E26)</f>
        <v/>
      </c>
      <c r="I26" s="84">
        <f t="array" ref="I26">IF(H26&lt;1,"TIGHT",IF(H26&lt;2,"OK","EASY"))</f>
        <v/>
      </c>
    </row>
    <row r="27" ht="13.65" customHeight="1" s="90">
      <c r="A27" s="56" t="n">
        <v>23</v>
      </c>
      <c r="B27" s="96">
        <f t="array" ref="B27">'Rounds'!O27</f>
        <v/>
      </c>
      <c r="C27" s="92">
        <f t="array" ref="C27">MIN(5,A27/'Tuning'!$B$32)</f>
        <v/>
      </c>
      <c r="D27" s="92">
        <f>ROUND('Towers'!$C$13*POWER('Tuning'!$B$12/'Tuning'!$B$13,C27),1)</f>
        <v/>
      </c>
      <c r="E27" s="56">
        <f t="array" ref="E27">ROUND(B27*D27/'Tuning'!$B$31,0)</f>
        <v/>
      </c>
      <c r="F27" s="75">
        <f t="array" ref="F27">'Rounds'!S27</f>
        <v/>
      </c>
      <c r="G27" s="56">
        <f t="array" ref="G27">ROUND(F27*'Tuning'!$B$30,0)</f>
        <v/>
      </c>
      <c r="H27" s="83">
        <f t="array" ref="H27">IF(E27=0,0,G27/E27)</f>
        <v/>
      </c>
      <c r="I27" s="84">
        <f t="array" ref="I27">IF(H27&lt;1,"TIGHT",IF(H27&lt;2,"OK","EASY"))</f>
        <v/>
      </c>
    </row>
    <row r="28" ht="13.65" customHeight="1" s="90">
      <c r="A28" s="56" t="n">
        <v>24</v>
      </c>
      <c r="B28" s="96">
        <f t="array" ref="B28">'Rounds'!O28</f>
        <v/>
      </c>
      <c r="C28" s="92">
        <f t="array" ref="C28">MIN(5,A28/'Tuning'!$B$32)</f>
        <v/>
      </c>
      <c r="D28" s="92">
        <f>ROUND('Towers'!$C$13*POWER('Tuning'!$B$12/'Tuning'!$B$13,C28),1)</f>
        <v/>
      </c>
      <c r="E28" s="56">
        <f t="array" ref="E28">ROUND(B28*D28/'Tuning'!$B$31,0)</f>
        <v/>
      </c>
      <c r="F28" s="75">
        <f t="array" ref="F28">'Rounds'!S28</f>
        <v/>
      </c>
      <c r="G28" s="56">
        <f t="array" ref="G28">ROUND(F28*'Tuning'!$B$30,0)</f>
        <v/>
      </c>
      <c r="H28" s="83">
        <f t="array" ref="H28">IF(E28=0,0,G28/E28)</f>
        <v/>
      </c>
      <c r="I28" s="84">
        <f t="array" ref="I28">IF(H28&lt;1,"TIGHT",IF(H28&lt;2,"OK","EASY"))</f>
        <v/>
      </c>
    </row>
    <row r="29" ht="13.65" customHeight="1" s="90">
      <c r="A29" s="56" t="n">
        <v>25</v>
      </c>
      <c r="B29" s="96">
        <f t="array" ref="B29">'Rounds'!O29</f>
        <v/>
      </c>
      <c r="C29" s="92">
        <f t="array" ref="C29">MIN(5,A29/'Tuning'!$B$32)</f>
        <v/>
      </c>
      <c r="D29" s="92">
        <f>ROUND('Towers'!$C$13*POWER('Tuning'!$B$12/'Tuning'!$B$13,C29),1)</f>
        <v/>
      </c>
      <c r="E29" s="56">
        <f t="array" ref="E29">ROUND(B29*D29/'Tuning'!$B$31,0)</f>
        <v/>
      </c>
      <c r="F29" s="75">
        <f t="array" ref="F29">'Rounds'!S29</f>
        <v/>
      </c>
      <c r="G29" s="56">
        <f t="array" ref="G29">ROUND(F29*'Tuning'!$B$30,0)</f>
        <v/>
      </c>
      <c r="H29" s="83">
        <f t="array" ref="H29">IF(E29=0,0,G29/E29)</f>
        <v/>
      </c>
      <c r="I29" s="84">
        <f t="array" ref="I29">IF(H29&lt;1,"TIGHT",IF(H29&lt;2,"OK","EASY"))</f>
        <v/>
      </c>
    </row>
    <row r="30" ht="13.65" customHeight="1" s="90">
      <c r="A30" s="56" t="n">
        <v>26</v>
      </c>
      <c r="B30" s="96">
        <f t="array" ref="B30">'Rounds'!O30</f>
        <v/>
      </c>
      <c r="C30" s="92">
        <f t="array" ref="C30">MIN(5,A30/'Tuning'!$B$32)</f>
        <v/>
      </c>
      <c r="D30" s="92">
        <f>ROUND('Towers'!$C$13*POWER('Tuning'!$B$12/'Tuning'!$B$13,C30),1)</f>
        <v/>
      </c>
      <c r="E30" s="56">
        <f t="array" ref="E30">ROUND(B30*D30/'Tuning'!$B$31,0)</f>
        <v/>
      </c>
      <c r="F30" s="75">
        <f t="array" ref="F30">'Rounds'!S30</f>
        <v/>
      </c>
      <c r="G30" s="56">
        <f t="array" ref="G30">ROUND(F30*'Tuning'!$B$30,0)</f>
        <v/>
      </c>
      <c r="H30" s="83">
        <f t="array" ref="H30">IF(E30=0,0,G30/E30)</f>
        <v/>
      </c>
      <c r="I30" s="84">
        <f t="array" ref="I30">IF(H30&lt;1,"TIGHT",IF(H30&lt;2,"OK","EASY"))</f>
        <v/>
      </c>
    </row>
    <row r="31" ht="13.65" customHeight="1" s="90">
      <c r="A31" s="56" t="n">
        <v>27</v>
      </c>
      <c r="B31" s="96">
        <f t="array" ref="B31">'Rounds'!O31</f>
        <v/>
      </c>
      <c r="C31" s="92">
        <f t="array" ref="C31">MIN(5,A31/'Tuning'!$B$32)</f>
        <v/>
      </c>
      <c r="D31" s="92">
        <f>ROUND('Towers'!$C$13*POWER('Tuning'!$B$12/'Tuning'!$B$13,C31),1)</f>
        <v/>
      </c>
      <c r="E31" s="56">
        <f t="array" ref="E31">ROUND(B31*D31/'Tuning'!$B$31,0)</f>
        <v/>
      </c>
      <c r="F31" s="75">
        <f t="array" ref="F31">'Rounds'!S31</f>
        <v/>
      </c>
      <c r="G31" s="56">
        <f t="array" ref="G31">ROUND(F31*'Tuning'!$B$30,0)</f>
        <v/>
      </c>
      <c r="H31" s="83">
        <f t="array" ref="H31">IF(E31=0,0,G31/E31)</f>
        <v/>
      </c>
      <c r="I31" s="84">
        <f t="array" ref="I31">IF(H31&lt;1,"TIGHT",IF(H31&lt;2,"OK","EASY"))</f>
        <v/>
      </c>
    </row>
    <row r="32" ht="13.65" customHeight="1" s="90">
      <c r="A32" s="56" t="n">
        <v>28</v>
      </c>
      <c r="B32" s="96">
        <f t="array" ref="B32">'Rounds'!O32</f>
        <v/>
      </c>
      <c r="C32" s="92">
        <f t="array" ref="C32">MIN(5,A32/'Tuning'!$B$32)</f>
        <v/>
      </c>
      <c r="D32" s="92">
        <f>ROUND('Towers'!$C$13*POWER('Tuning'!$B$12/'Tuning'!$B$13,C32),1)</f>
        <v/>
      </c>
      <c r="E32" s="56">
        <f t="array" ref="E32">ROUND(B32*D32/'Tuning'!$B$31,0)</f>
        <v/>
      </c>
      <c r="F32" s="75">
        <f t="array" ref="F32">'Rounds'!S32</f>
        <v/>
      </c>
      <c r="G32" s="56">
        <f t="array" ref="G32">ROUND(F32*'Tuning'!$B$30,0)</f>
        <v/>
      </c>
      <c r="H32" s="83">
        <f t="array" ref="H32">IF(E32=0,0,G32/E32)</f>
        <v/>
      </c>
      <c r="I32" s="84">
        <f t="array" ref="I32">IF(H32&lt;1,"TIGHT",IF(H32&lt;2,"OK","EASY"))</f>
        <v/>
      </c>
    </row>
    <row r="33" ht="13.65" customHeight="1" s="90">
      <c r="A33" s="56" t="n">
        <v>29</v>
      </c>
      <c r="B33" s="96">
        <f t="array" ref="B33">'Rounds'!O33</f>
        <v/>
      </c>
      <c r="C33" s="92">
        <f t="array" ref="C33">MIN(5,A33/'Tuning'!$B$32)</f>
        <v/>
      </c>
      <c r="D33" s="92">
        <f>ROUND('Towers'!$C$13*POWER('Tuning'!$B$12/'Tuning'!$B$13,C33),1)</f>
        <v/>
      </c>
      <c r="E33" s="56">
        <f t="array" ref="E33">ROUND(B33*D33/'Tuning'!$B$31,0)</f>
        <v/>
      </c>
      <c r="F33" s="75">
        <f t="array" ref="F33">'Rounds'!S33</f>
        <v/>
      </c>
      <c r="G33" s="56">
        <f t="array" ref="G33">ROUND(F33*'Tuning'!$B$30,0)</f>
        <v/>
      </c>
      <c r="H33" s="83">
        <f t="array" ref="H33">IF(E33=0,0,G33/E33)</f>
        <v/>
      </c>
      <c r="I33" s="84">
        <f t="array" ref="I33">IF(H33&lt;1,"TIGHT",IF(H33&lt;2,"OK","EASY"))</f>
        <v/>
      </c>
    </row>
    <row r="34" ht="13.65" customHeight="1" s="90">
      <c r="A34" s="56" t="n">
        <v>30</v>
      </c>
      <c r="B34" s="96">
        <f t="array" ref="B34">'Rounds'!O34</f>
        <v/>
      </c>
      <c r="C34" s="92">
        <f t="array" ref="C34">MIN(5,A34/'Tuning'!$B$32)</f>
        <v/>
      </c>
      <c r="D34" s="92">
        <f>ROUND('Towers'!$C$13*POWER('Tuning'!$B$12/'Tuning'!$B$13,C34),1)</f>
        <v/>
      </c>
      <c r="E34" s="56">
        <f t="array" ref="E34">ROUND(B34*D34/'Tuning'!$B$31,0)</f>
        <v/>
      </c>
      <c r="F34" s="75">
        <f t="array" ref="F34">'Rounds'!S34</f>
        <v/>
      </c>
      <c r="G34" s="56">
        <f t="array" ref="G34">ROUND(F34*'Tuning'!$B$30,0)</f>
        <v/>
      </c>
      <c r="H34" s="83">
        <f t="array" ref="H34">IF(E34=0,0,G34/E34)</f>
        <v/>
      </c>
      <c r="I34" s="84">
        <f t="array" ref="I34">IF(H34&lt;1,"TIGHT",IF(H34&lt;2,"OK","EASY"))</f>
        <v/>
      </c>
    </row>
    <row r="35" ht="13.65" customHeight="1" s="90">
      <c r="A35" s="66" t="n">
        <v>31</v>
      </c>
      <c r="B35" s="97">
        <f t="array" ref="B35">'Rounds'!O35</f>
        <v/>
      </c>
      <c r="C35" s="93">
        <f t="array" ref="C35">MIN(5,A35/'Tuning'!$B$32)</f>
        <v/>
      </c>
      <c r="D35" s="93">
        <f>ROUND('Towers'!$C$13*POWER('Tuning'!$B$12/'Tuning'!$B$13,C35),1)</f>
        <v/>
      </c>
      <c r="E35" s="66">
        <f t="array" ref="E35">ROUND(B35*D35/'Tuning'!$B$31,0)</f>
        <v/>
      </c>
      <c r="F35" s="79">
        <f t="array" ref="F35">'Rounds'!S35</f>
        <v/>
      </c>
      <c r="G35" s="66">
        <f t="array" ref="G35">ROUND(F35*'Tuning'!$B$30,0)</f>
        <v/>
      </c>
      <c r="H35" s="86">
        <f t="array" ref="H35">IF(E35=0,0,G35/E35)</f>
        <v/>
      </c>
      <c r="I35" s="87">
        <f t="array" ref="I35">IF(H35&lt;1,"TIGHT",IF(H35&lt;2,"OK","EASY"))</f>
        <v/>
      </c>
    </row>
    <row r="36" ht="13.65" customHeight="1" s="90">
      <c r="A36" s="56" t="n">
        <v>32</v>
      </c>
      <c r="B36" s="96">
        <f t="array" ref="B36">'Rounds'!O36</f>
        <v/>
      </c>
      <c r="C36" s="92">
        <f t="array" ref="C36">MIN(5,A36/'Tuning'!$B$32)</f>
        <v/>
      </c>
      <c r="D36" s="92">
        <f>ROUND('Towers'!$C$13*POWER('Tuning'!$B$12/'Tuning'!$B$13,C36),1)</f>
        <v/>
      </c>
      <c r="E36" s="56">
        <f t="array" ref="E36">ROUND(B36*D36/'Tuning'!$B$31,0)</f>
        <v/>
      </c>
      <c r="F36" s="75">
        <f t="array" ref="F36">'Rounds'!S36</f>
        <v/>
      </c>
      <c r="G36" s="56">
        <f t="array" ref="G36">ROUND(F36*'Tuning'!$B$30,0)</f>
        <v/>
      </c>
      <c r="H36" s="83">
        <f t="array" ref="H36">IF(E36=0,0,G36/E36)</f>
        <v/>
      </c>
      <c r="I36" s="84">
        <f t="array" ref="I36">IF(H36&lt;1,"TIGHT",IF(H36&lt;2,"OK","EASY"))</f>
        <v/>
      </c>
    </row>
    <row r="37" ht="13.65" customHeight="1" s="90">
      <c r="A37" s="56" t="n">
        <v>33</v>
      </c>
      <c r="B37" s="96">
        <f t="array" ref="B37">'Rounds'!O37</f>
        <v/>
      </c>
      <c r="C37" s="92">
        <f t="array" ref="C37">MIN(5,A37/'Tuning'!$B$32)</f>
        <v/>
      </c>
      <c r="D37" s="92">
        <f>ROUND('Towers'!$C$13*POWER('Tuning'!$B$12/'Tuning'!$B$13,C37),1)</f>
        <v/>
      </c>
      <c r="E37" s="56">
        <f t="array" ref="E37">ROUND(B37*D37/'Tuning'!$B$31,0)</f>
        <v/>
      </c>
      <c r="F37" s="75">
        <f t="array" ref="F37">'Rounds'!S37</f>
        <v/>
      </c>
      <c r="G37" s="56">
        <f t="array" ref="G37">ROUND(F37*'Tuning'!$B$30,0)</f>
        <v/>
      </c>
      <c r="H37" s="83">
        <f t="array" ref="H37">IF(E37=0,0,G37/E37)</f>
        <v/>
      </c>
      <c r="I37" s="84">
        <f t="array" ref="I37">IF(H37&lt;1,"TIGHT",IF(H37&lt;2,"OK","EASY"))</f>
        <v/>
      </c>
    </row>
    <row r="38" ht="13.65" customHeight="1" s="90">
      <c r="A38" s="56" t="n">
        <v>34</v>
      </c>
      <c r="B38" s="96">
        <f t="array" ref="B38">'Rounds'!O38</f>
        <v/>
      </c>
      <c r="C38" s="92">
        <f t="array" ref="C38">MIN(5,A38/'Tuning'!$B$32)</f>
        <v/>
      </c>
      <c r="D38" s="92">
        <f>ROUND('Towers'!$C$13*POWER('Tuning'!$B$12/'Tuning'!$B$13,C38),1)</f>
        <v/>
      </c>
      <c r="E38" s="56">
        <f t="array" ref="E38">ROUND(B38*D38/'Tuning'!$B$31,0)</f>
        <v/>
      </c>
      <c r="F38" s="75">
        <f t="array" ref="F38">'Rounds'!S38</f>
        <v/>
      </c>
      <c r="G38" s="56">
        <f t="array" ref="G38">ROUND(F38*'Tuning'!$B$30,0)</f>
        <v/>
      </c>
      <c r="H38" s="83">
        <f t="array" ref="H38">IF(E38=0,0,G38/E38)</f>
        <v/>
      </c>
      <c r="I38" s="84">
        <f t="array" ref="I38">IF(H38&lt;1,"TIGHT",IF(H38&lt;2,"OK","EASY"))</f>
        <v/>
      </c>
    </row>
    <row r="39" ht="13.65" customHeight="1" s="90">
      <c r="A39" s="56" t="n">
        <v>35</v>
      </c>
      <c r="B39" s="96">
        <f t="array" ref="B39">'Rounds'!O39</f>
        <v/>
      </c>
      <c r="C39" s="92">
        <f t="array" ref="C39">MIN(5,A39/'Tuning'!$B$32)</f>
        <v/>
      </c>
      <c r="D39" s="92">
        <f>ROUND('Towers'!$C$13*POWER('Tuning'!$B$12/'Tuning'!$B$13,C39),1)</f>
        <v/>
      </c>
      <c r="E39" s="56">
        <f t="array" ref="E39">ROUND(B39*D39/'Tuning'!$B$31,0)</f>
        <v/>
      </c>
      <c r="F39" s="75">
        <f t="array" ref="F39">'Rounds'!S39</f>
        <v/>
      </c>
      <c r="G39" s="56">
        <f t="array" ref="G39">ROUND(F39*'Tuning'!$B$30,0)</f>
        <v/>
      </c>
      <c r="H39" s="83">
        <f t="array" ref="H39">IF(E39=0,0,G39/E39)</f>
        <v/>
      </c>
      <c r="I39" s="84">
        <f t="array" ref="I39">IF(H39&lt;1,"TIGHT",IF(H39&lt;2,"OK","EASY"))</f>
        <v/>
      </c>
    </row>
    <row r="40" ht="13.65" customHeight="1" s="90">
      <c r="A40" s="56" t="n">
        <v>36</v>
      </c>
      <c r="B40" s="96">
        <f t="array" ref="B40">'Rounds'!O40</f>
        <v/>
      </c>
      <c r="C40" s="92">
        <f t="array" ref="C40">MIN(5,A40/'Tuning'!$B$32)</f>
        <v/>
      </c>
      <c r="D40" s="92">
        <f>ROUND('Towers'!$C$13*POWER('Tuning'!$B$12/'Tuning'!$B$13,C40),1)</f>
        <v/>
      </c>
      <c r="E40" s="56">
        <f t="array" ref="E40">ROUND(B40*D40/'Tuning'!$B$31,0)</f>
        <v/>
      </c>
      <c r="F40" s="75">
        <f t="array" ref="F40">'Rounds'!S40</f>
        <v/>
      </c>
      <c r="G40" s="56">
        <f t="array" ref="G40">ROUND(F40*'Tuning'!$B$30,0)</f>
        <v/>
      </c>
      <c r="H40" s="83">
        <f t="array" ref="H40">IF(E40=0,0,G40/E40)</f>
        <v/>
      </c>
      <c r="I40" s="84">
        <f t="array" ref="I40">IF(H40&lt;1,"TIGHT",IF(H40&lt;2,"OK","EASY"))</f>
        <v/>
      </c>
    </row>
    <row r="41" ht="13.65" customHeight="1" s="90">
      <c r="A41" s="56" t="n">
        <v>37</v>
      </c>
      <c r="B41" s="96">
        <f t="array" ref="B41">'Rounds'!O41</f>
        <v/>
      </c>
      <c r="C41" s="92">
        <f t="array" ref="C41">MIN(5,A41/'Tuning'!$B$32)</f>
        <v/>
      </c>
      <c r="D41" s="92">
        <f>ROUND('Towers'!$C$13*POWER('Tuning'!$B$12/'Tuning'!$B$13,C41),1)</f>
        <v/>
      </c>
      <c r="E41" s="56">
        <f t="array" ref="E41">ROUND(B41*D41/'Tuning'!$B$31,0)</f>
        <v/>
      </c>
      <c r="F41" s="75">
        <f t="array" ref="F41">'Rounds'!S41</f>
        <v/>
      </c>
      <c r="G41" s="56">
        <f t="array" ref="G41">ROUND(F41*'Tuning'!$B$30,0)</f>
        <v/>
      </c>
      <c r="H41" s="83">
        <f t="array" ref="H41">IF(E41=0,0,G41/E41)</f>
        <v/>
      </c>
      <c r="I41" s="84">
        <f t="array" ref="I41">IF(H41&lt;1,"TIGHT",IF(H41&lt;2,"OK","EASY"))</f>
        <v/>
      </c>
    </row>
    <row r="42" ht="13.65" customHeight="1" s="90">
      <c r="A42" s="56" t="n">
        <v>38</v>
      </c>
      <c r="B42" s="96">
        <f t="array" ref="B42">'Rounds'!O42</f>
        <v/>
      </c>
      <c r="C42" s="92">
        <f t="array" ref="C42">MIN(5,A42/'Tuning'!$B$32)</f>
        <v/>
      </c>
      <c r="D42" s="92">
        <f>ROUND('Towers'!$C$13*POWER('Tuning'!$B$12/'Tuning'!$B$13,C42),1)</f>
        <v/>
      </c>
      <c r="E42" s="56">
        <f t="array" ref="E42">ROUND(B42*D42/'Tuning'!$B$31,0)</f>
        <v/>
      </c>
      <c r="F42" s="75">
        <f t="array" ref="F42">'Rounds'!S42</f>
        <v/>
      </c>
      <c r="G42" s="56">
        <f t="array" ref="G42">ROUND(F42*'Tuning'!$B$30,0)</f>
        <v/>
      </c>
      <c r="H42" s="83">
        <f t="array" ref="H42">IF(E42=0,0,G42/E42)</f>
        <v/>
      </c>
      <c r="I42" s="84">
        <f t="array" ref="I42">IF(H42&lt;1,"TIGHT",IF(H42&lt;2,"OK","EASY"))</f>
        <v/>
      </c>
    </row>
    <row r="43" ht="13.65" customHeight="1" s="90">
      <c r="A43" s="56" t="n">
        <v>39</v>
      </c>
      <c r="B43" s="96">
        <f t="array" ref="B43">'Rounds'!O43</f>
        <v/>
      </c>
      <c r="C43" s="92">
        <f t="array" ref="C43">MIN(5,A43/'Tuning'!$B$32)</f>
        <v/>
      </c>
      <c r="D43" s="92">
        <f>ROUND('Towers'!$C$13*POWER('Tuning'!$B$12/'Tuning'!$B$13,C43),1)</f>
        <v/>
      </c>
      <c r="E43" s="56">
        <f t="array" ref="E43">ROUND(B43*D43/'Tuning'!$B$31,0)</f>
        <v/>
      </c>
      <c r="F43" s="75">
        <f t="array" ref="F43">'Rounds'!S43</f>
        <v/>
      </c>
      <c r="G43" s="56">
        <f t="array" ref="G43">ROUND(F43*'Tuning'!$B$30,0)</f>
        <v/>
      </c>
      <c r="H43" s="83">
        <f t="array" ref="H43">IF(E43=0,0,G43/E43)</f>
        <v/>
      </c>
      <c r="I43" s="84">
        <f t="array" ref="I43">IF(H43&lt;1,"TIGHT",IF(H43&lt;2,"OK","EASY"))</f>
        <v/>
      </c>
    </row>
    <row r="44" ht="13.65" customHeight="1" s="90">
      <c r="A44" s="66" t="n">
        <v>40</v>
      </c>
      <c r="B44" s="97">
        <f t="array" ref="B44">'Rounds'!O44</f>
        <v/>
      </c>
      <c r="C44" s="93">
        <f t="array" ref="C44">MIN(5,A44/'Tuning'!$B$32)</f>
        <v/>
      </c>
      <c r="D44" s="93">
        <f>ROUND('Towers'!$C$13*POWER('Tuning'!$B$12/'Tuning'!$B$13,C44),1)</f>
        <v/>
      </c>
      <c r="E44" s="66">
        <f t="array" ref="E44">ROUND(B44*D44/'Tuning'!$B$31,0)</f>
        <v/>
      </c>
      <c r="F44" s="79">
        <f t="array" ref="F44">'Rounds'!S44</f>
        <v/>
      </c>
      <c r="G44" s="66">
        <f t="array" ref="G44">ROUND(F44*'Tuning'!$B$30,0)</f>
        <v/>
      </c>
      <c r="H44" s="86">
        <f t="array" ref="H44">IF(E44=0,0,G44/E44)</f>
        <v/>
      </c>
      <c r="I44" s="87">
        <f t="array" ref="I44">IF(H44&lt;1,"TIGHT",IF(H44&lt;2,"OK","EASY"))</f>
        <v/>
      </c>
    </row>
    <row r="45" ht="13.55" customHeight="1" s="90">
      <c r="A45" s="62" t="n"/>
      <c r="B45" s="49" t="n"/>
      <c r="C45" s="49" t="n"/>
      <c r="D45" s="49" t="n"/>
      <c r="E45" s="49" t="n"/>
      <c r="F45" s="49" t="n"/>
      <c r="G45" s="49" t="n"/>
      <c r="H45" s="49" t="n"/>
      <c r="I45" s="50" t="n"/>
    </row>
    <row r="46" ht="14.6" customHeight="1" s="90">
      <c r="A46" s="11" t="inlineStr">
        <is>
          <t>WHAT THIS MEASURES</t>
        </is>
      </c>
      <c r="B46" s="6" t="n"/>
      <c r="C46" s="6" t="n"/>
      <c r="D46" s="6" t="n"/>
      <c r="E46" s="6" t="n"/>
      <c r="F46" s="6" t="n"/>
      <c r="G46" s="6" t="n"/>
      <c r="H46" s="6" t="n"/>
      <c r="I46" s="7" t="n"/>
    </row>
    <row r="47" ht="13.55" customHeight="1" s="90">
      <c r="A47" s="88" t="inlineStr">
        <is>
          <t>Whether cash income keeps pace with the rising cost of the DPS each round demands. Cost per DPS climbs because tier cost growth (2.30x) outruns tier damage growth (1.90x) — that gap is the real difficulty engine, not enemy count.</t>
        </is>
      </c>
      <c r="B47" s="6" t="n"/>
      <c r="C47" s="6" t="n"/>
      <c r="D47" s="6" t="n"/>
      <c r="E47" s="6" t="n"/>
      <c r="F47" s="6" t="n"/>
      <c r="G47" s="6" t="n"/>
      <c r="H47" s="6" t="n"/>
      <c r="I47" s="7" t="n"/>
    </row>
    <row r="48" ht="13.55" customHeight="1" s="90">
      <c r="A48" s="89" t="n"/>
      <c r="B48" s="6" t="n"/>
      <c r="C48" s="6" t="n"/>
      <c r="D48" s="6" t="n"/>
      <c r="E48" s="6" t="n"/>
      <c r="F48" s="6" t="n"/>
      <c r="G48" s="6" t="n"/>
      <c r="H48" s="6" t="n"/>
      <c r="I48" s="7" t="n"/>
    </row>
    <row r="49" ht="13.55" customHeight="1" s="90">
      <c r="A49" s="88" t="inlineStr">
        <is>
          <t>TIGHT — under 1.0. The player cannot comfortably afford the DPS this round needs. Correct for the last stretch; a run of these in the midgame means the curve is broken.</t>
        </is>
      </c>
      <c r="B49" s="6" t="n"/>
      <c r="C49" s="6" t="n"/>
      <c r="D49" s="6" t="n"/>
      <c r="E49" s="6" t="n"/>
      <c r="F49" s="6" t="n"/>
      <c r="G49" s="6" t="n"/>
      <c r="H49" s="6" t="n"/>
      <c r="I49" s="7" t="n"/>
    </row>
    <row r="50" ht="13.55" customHeight="1" s="90">
      <c r="A50" s="88" t="inlineStr">
        <is>
          <t>OK — between 1.0 and 2.0. Where most rounds should sit.</t>
        </is>
      </c>
      <c r="B50" s="6" t="n"/>
      <c r="C50" s="6" t="n"/>
      <c r="D50" s="6" t="n"/>
      <c r="E50" s="6" t="n"/>
      <c r="F50" s="6" t="n"/>
      <c r="G50" s="6" t="n"/>
      <c r="H50" s="6" t="n"/>
      <c r="I50" s="7" t="n"/>
    </row>
    <row r="51" ht="13.55" customHeight="1" s="90">
      <c r="A51" s="88" t="inlineStr">
        <is>
          <t>EASY — over 2.0. Fine for the first ten rounds while players are learning. A block of these at rounds 12-20 is why people quit.</t>
        </is>
      </c>
      <c r="B51" s="6" t="n"/>
      <c r="C51" s="6" t="n"/>
      <c r="D51" s="6" t="n"/>
      <c r="E51" s="6" t="n"/>
      <c r="F51" s="6" t="n"/>
      <c r="G51" s="6" t="n"/>
      <c r="H51" s="6" t="n"/>
      <c r="I51" s="7" t="n"/>
    </row>
    <row r="52" ht="13.55" customHeight="1" s="90">
      <c r="A52" s="89" t="n"/>
      <c r="B52" s="6" t="n"/>
      <c r="C52" s="6" t="n"/>
      <c r="D52" s="6" t="n"/>
      <c r="E52" s="6" t="n"/>
      <c r="F52" s="6" t="n"/>
      <c r="G52" s="6" t="n"/>
      <c r="H52" s="6" t="n"/>
      <c r="I52" s="7" t="n"/>
    </row>
    <row r="53" ht="14.6" customHeight="1" s="90">
      <c r="A53" s="11" t="inlineStr">
        <is>
          <t>WHAT THIS CANNOT SEE</t>
        </is>
      </c>
      <c r="B53" s="6" t="n"/>
      <c r="C53" s="6" t="n"/>
      <c r="D53" s="6" t="n"/>
      <c r="E53" s="6" t="n"/>
      <c r="F53" s="6" t="n"/>
      <c r="G53" s="6" t="n"/>
      <c r="H53" s="6" t="n"/>
      <c r="I53" s="7" t="n"/>
    </row>
    <row r="54" ht="13.55" customHeight="1" s="90">
      <c r="A54" s="88" t="inlineStr">
        <is>
          <t>Tower placement, range coverage, targeting priority, path synergy, or the Chiller's slow multiplying everything near it. It also assumes one competent player buying efficiently.</t>
        </is>
      </c>
      <c r="B54" s="6" t="n"/>
      <c r="C54" s="6" t="n"/>
      <c r="D54" s="6" t="n"/>
      <c r="E54" s="6" t="n"/>
      <c r="F54" s="6" t="n"/>
      <c r="G54" s="6" t="n"/>
      <c r="H54" s="6" t="n"/>
      <c r="I54" s="7" t="n"/>
    </row>
    <row r="55" ht="13.55" customHeight="1" s="90">
      <c r="A55" s="63" t="inlineStr">
        <is>
          <t>It catches broken economies. It does not tell you whether the game is fun. Only playtesting does that.</t>
        </is>
      </c>
      <c r="B55" s="16" t="n"/>
      <c r="C55" s="16" t="n"/>
      <c r="D55" s="16" t="n"/>
      <c r="E55" s="16" t="n"/>
      <c r="F55" s="16" t="n"/>
      <c r="G55" s="16" t="n"/>
      <c r="H55" s="16" t="n"/>
      <c r="I55" s="1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style="90" min="1" max="1"/>
    <col width="9" customWidth="1" style="90" min="2" max="2"/>
    <col width="40" customWidth="1" style="90" min="3" max="3"/>
  </cols>
  <sheetData>
    <row r="1">
      <c r="A1" s="2" t="inlineStr">
        <is>
          <t>DAILY HAUL — the log-in calendar</t>
        </is>
      </c>
    </row>
    <row r="2">
      <c r="A2" s="5" t="inlineStr">
        <is>
          <t>One claim per UTC day, by hand on the Hunt Board; after the last day it loops. The exporter fails unless every day is below the Easy clear reward and the week is at most two Easy clears (DECISIONS #64, #71).</t>
        </is>
      </c>
    </row>
    <row r="4">
      <c r="A4" s="21" t="inlineStr">
        <is>
          <t>Day</t>
        </is>
      </c>
      <c r="B4" s="21" t="inlineStr">
        <is>
          <t>Amber</t>
        </is>
      </c>
      <c r="C4" s="21" t="inlineStr">
        <is>
          <t>Note</t>
        </is>
      </c>
    </row>
    <row r="5">
      <c r="A5" s="27" t="n">
        <v>1</v>
      </c>
      <c r="B5" s="27" t="n">
        <v>5</v>
      </c>
      <c r="C5" s="47" t="n"/>
    </row>
    <row r="6">
      <c r="A6" s="27" t="n">
        <v>2</v>
      </c>
      <c r="B6" s="27" t="n">
        <v>5</v>
      </c>
      <c r="C6" s="47" t="n"/>
    </row>
    <row r="7">
      <c r="A7" s="27" t="n">
        <v>3</v>
      </c>
      <c r="B7" s="27" t="n">
        <v>10</v>
      </c>
      <c r="C7" s="47" t="n"/>
    </row>
    <row r="8">
      <c r="A8" s="27" t="n">
        <v>4</v>
      </c>
      <c r="B8" s="27" t="n">
        <v>10</v>
      </c>
      <c r="C8" s="47" t="n"/>
    </row>
    <row r="9">
      <c r="A9" s="27" t="n">
        <v>5</v>
      </c>
      <c r="B9" s="27" t="n">
        <v>15</v>
      </c>
      <c r="C9" s="47" t="n"/>
    </row>
    <row r="10">
      <c r="A10" s="27" t="n">
        <v>6</v>
      </c>
      <c r="B10" s="27" t="n">
        <v>15</v>
      </c>
      <c r="C10" s="47" t="n"/>
    </row>
    <row r="11">
      <c r="A11" s="27" t="n">
        <v>7</v>
      </c>
      <c r="B11" s="27" t="n">
        <v>40</v>
      </c>
      <c r="C11" s="47" t="inlineStr">
        <is>
          <t>Big Haul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style="90" min="1" max="1"/>
    <col width="9" customWidth="1" style="90" min="2" max="2"/>
    <col width="9" customWidth="1" style="90" min="3" max="3"/>
    <col width="12" customWidth="1" style="90" min="4" max="4"/>
    <col width="10" customWidth="1" style="90" min="5" max="5"/>
    <col width="9" customWidth="1" style="90" min="6" max="6"/>
    <col width="9" customWidth="1" style="90" min="7" max="7"/>
    <col width="18" customWidth="1" style="90" min="8" max="8"/>
    <col width="36" customWidth="1" style="90" min="9" max="9"/>
  </cols>
  <sheetData>
    <row r="1">
      <c r="A1" s="2" t="inlineStr">
        <is>
          <t>BOUNTIES — the daily and weekly pools</t>
        </is>
      </c>
    </row>
    <row r="2">
      <c r="A2" s="5" t="inlineStr">
        <is>
          <t>Each day and week the Hunt Board shows one bounty per slot (Tuning, REWARDS). Slot is never shown. Target: a dino key (pop), a difficulty key = that one or harder (clear), or a round (reachRound: reach that round Count times; blank = reach round Count). {n} in Text is Count. Ids are saved in profiles: never rename one. Counts and Amber: DECISIONS #65, #71, #75.</t>
        </is>
      </c>
    </row>
    <row r="4">
      <c r="A4" s="21" t="inlineStr">
        <is>
          <t>Id</t>
        </is>
      </c>
      <c r="B4" s="21" t="inlineStr">
        <is>
          <t>Pool</t>
        </is>
      </c>
      <c r="C4" s="21" t="inlineStr">
        <is>
          <t>Slot</t>
        </is>
      </c>
      <c r="D4" s="21" t="inlineStr">
        <is>
          <t>Event</t>
        </is>
      </c>
      <c r="E4" s="21" t="inlineStr">
        <is>
          <t>Target</t>
        </is>
      </c>
      <c r="F4" s="21" t="inlineStr">
        <is>
          <t>Count</t>
        </is>
      </c>
      <c r="G4" s="21" t="inlineStr">
        <is>
          <t>Amber</t>
        </is>
      </c>
      <c r="H4" s="21" t="inlineStr">
        <is>
          <t>Title</t>
        </is>
      </c>
      <c r="I4" s="21" t="inlineStr">
        <is>
          <t>Text</t>
        </is>
      </c>
    </row>
    <row r="5">
      <c r="A5" s="43" t="inlineStr">
        <is>
          <t>D_COMPY_SWEEP</t>
        </is>
      </c>
      <c r="B5" s="43" t="inlineStr">
        <is>
          <t>daily</t>
        </is>
      </c>
      <c r="C5" s="43" t="inlineStr">
        <is>
          <t>easy</t>
        </is>
      </c>
      <c r="D5" s="43" t="inlineStr">
        <is>
          <t>pop</t>
        </is>
      </c>
      <c r="E5" s="43" t="inlineStr">
        <is>
          <t>HUSK</t>
        </is>
      </c>
      <c r="F5" s="27" t="n">
        <v>150</v>
      </c>
      <c r="G5" s="27" t="n">
        <v>10</v>
      </c>
      <c r="H5" s="43" t="inlineStr">
        <is>
          <t>Compy Sweep</t>
        </is>
      </c>
      <c r="I5" s="43" t="inlineStr">
        <is>
          <t>Take down {n} Compies</t>
        </is>
      </c>
    </row>
    <row r="6">
      <c r="A6" s="43" t="inlineStr">
        <is>
          <t>D_RAPTOR_CULL</t>
        </is>
      </c>
      <c r="B6" s="43" t="inlineStr">
        <is>
          <t>daily</t>
        </is>
      </c>
      <c r="C6" s="43" t="inlineStr">
        <is>
          <t>easy</t>
        </is>
      </c>
      <c r="D6" s="43" t="inlineStr">
        <is>
          <t>pop</t>
        </is>
      </c>
      <c r="E6" s="43" t="inlineStr">
        <is>
          <t>BRUTE</t>
        </is>
      </c>
      <c r="F6" s="27" t="n">
        <v>100</v>
      </c>
      <c r="G6" s="27" t="n">
        <v>10</v>
      </c>
      <c r="H6" s="43" t="inlineStr">
        <is>
          <t>Raptor Cull</t>
        </is>
      </c>
      <c r="I6" s="43" t="inlineStr">
        <is>
          <t>Take down {n} Raptors</t>
        </is>
      </c>
    </row>
    <row r="7">
      <c r="A7" s="43" t="inlineStr">
        <is>
          <t>D_BUSY_DAY</t>
        </is>
      </c>
      <c r="B7" s="43" t="inlineStr">
        <is>
          <t>daily</t>
        </is>
      </c>
      <c r="C7" s="43" t="inlineStr">
        <is>
          <t>easy</t>
        </is>
      </c>
      <c r="D7" s="43" t="inlineStr">
        <is>
          <t>popTotal</t>
        </is>
      </c>
      <c r="E7" s="43" t="n"/>
      <c r="F7" s="27" t="n">
        <v>300</v>
      </c>
      <c r="G7" s="27" t="n">
        <v>10</v>
      </c>
      <c r="H7" s="43" t="inlineStr">
        <is>
          <t>Busy Day</t>
        </is>
      </c>
      <c r="I7" s="43" t="inlineStr">
        <is>
          <t>Take down {n} dinos of any kind</t>
        </is>
      </c>
    </row>
    <row r="8">
      <c r="A8" s="43" t="inlineStr">
        <is>
          <t>D_GEAR_CHECK</t>
        </is>
      </c>
      <c r="B8" s="43" t="inlineStr">
        <is>
          <t>daily</t>
        </is>
      </c>
      <c r="C8" s="43" t="inlineStr">
        <is>
          <t>easy</t>
        </is>
      </c>
      <c r="D8" s="43" t="inlineStr">
        <is>
          <t>ability</t>
        </is>
      </c>
      <c r="E8" s="43" t="n"/>
      <c r="F8" s="27" t="n">
        <v>5</v>
      </c>
      <c r="G8" s="27" t="n">
        <v>10</v>
      </c>
      <c r="H8" s="43" t="inlineStr">
        <is>
          <t>Gear Check</t>
        </is>
      </c>
      <c r="I8" s="43" t="inlineStr">
        <is>
          <t>Use your ability {n} times</t>
        </is>
      </c>
    </row>
    <row r="9">
      <c r="A9" s="43" t="inlineStr">
        <is>
          <t>D_PITCH_CAMP</t>
        </is>
      </c>
      <c r="B9" s="43" t="inlineStr">
        <is>
          <t>daily</t>
        </is>
      </c>
      <c r="C9" s="43" t="inlineStr">
        <is>
          <t>easy</t>
        </is>
      </c>
      <c r="D9" s="43" t="inlineStr">
        <is>
          <t>build</t>
        </is>
      </c>
      <c r="E9" s="43" t="n"/>
      <c r="F9" s="27" t="n">
        <v>6</v>
      </c>
      <c r="G9" s="27" t="n">
        <v>10</v>
      </c>
      <c r="H9" s="43" t="inlineStr">
        <is>
          <t>Pitch Camp</t>
        </is>
      </c>
      <c r="I9" s="43" t="inlineStr">
        <is>
          <t>Build {n} towers</t>
        </is>
      </c>
    </row>
    <row r="10">
      <c r="A10" s="43" t="inlineStr">
        <is>
          <t>D_HEADBUTT_HUNT</t>
        </is>
      </c>
      <c r="B10" s="43" t="inlineStr">
        <is>
          <t>daily</t>
        </is>
      </c>
      <c r="C10" s="43" t="inlineStr">
        <is>
          <t>medium</t>
        </is>
      </c>
      <c r="D10" s="43" t="inlineStr">
        <is>
          <t>pop</t>
        </is>
      </c>
      <c r="E10" s="43" t="inlineStr">
        <is>
          <t>SHIELD</t>
        </is>
      </c>
      <c r="F10" s="27" t="n">
        <v>60</v>
      </c>
      <c r="G10" s="27" t="n">
        <v>15</v>
      </c>
      <c r="H10" s="43" t="inlineStr">
        <is>
          <t>Headbutt Hunt</t>
        </is>
      </c>
      <c r="I10" s="43" t="inlineStr">
        <is>
          <t>Take down {n} Pachycephalosaurs</t>
        </is>
      </c>
    </row>
    <row r="11">
      <c r="A11" s="43" t="inlineStr">
        <is>
          <t>D_SHELL_CRACKER</t>
        </is>
      </c>
      <c r="B11" s="43" t="inlineStr">
        <is>
          <t>daily</t>
        </is>
      </c>
      <c r="C11" s="43" t="inlineStr">
        <is>
          <t>medium</t>
        </is>
      </c>
      <c r="D11" s="43" t="inlineStr">
        <is>
          <t>pop</t>
        </is>
      </c>
      <c r="E11" s="43" t="inlineStr">
        <is>
          <t>ARMOR</t>
        </is>
      </c>
      <c r="F11" s="27" t="n">
        <v>40</v>
      </c>
      <c r="G11" s="27" t="n">
        <v>15</v>
      </c>
      <c r="H11" s="43" t="inlineStr">
        <is>
          <t>Shell Cracker</t>
        </is>
      </c>
      <c r="I11" s="43" t="inlineStr">
        <is>
          <t>Take down {n} Ankylosaurs</t>
        </is>
      </c>
    </row>
    <row r="12">
      <c r="A12" s="43" t="inlineStr">
        <is>
          <t>D_CLEAR_SKIES</t>
        </is>
      </c>
      <c r="B12" s="43" t="inlineStr">
        <is>
          <t>daily</t>
        </is>
      </c>
      <c r="C12" s="43" t="inlineStr">
        <is>
          <t>medium</t>
        </is>
      </c>
      <c r="D12" s="43" t="inlineStr">
        <is>
          <t>pop</t>
        </is>
      </c>
      <c r="E12" s="43" t="inlineStr">
        <is>
          <t>LLAMA</t>
        </is>
      </c>
      <c r="F12" s="27" t="n">
        <v>30</v>
      </c>
      <c r="G12" s="27" t="n">
        <v>15</v>
      </c>
      <c r="H12" s="43" t="inlineStr">
        <is>
          <t>Clear Skies</t>
        </is>
      </c>
      <c r="I12" s="43" t="inlineStr">
        <is>
          <t>Take down {n} Pteranodons</t>
        </is>
      </c>
    </row>
    <row r="13">
      <c r="A13" s="43" t="inlineStr">
        <is>
          <t>D_DEEP_TRAIL_15</t>
        </is>
      </c>
      <c r="B13" s="43" t="inlineStr">
        <is>
          <t>daily</t>
        </is>
      </c>
      <c r="C13" s="43" t="inlineStr">
        <is>
          <t>medium</t>
        </is>
      </c>
      <c r="D13" s="43" t="inlineStr">
        <is>
          <t>reachRound</t>
        </is>
      </c>
      <c r="E13" s="43" t="n"/>
      <c r="F13" s="27" t="n">
        <v>15</v>
      </c>
      <c r="G13" s="27" t="n">
        <v>15</v>
      </c>
      <c r="H13" s="43" t="inlineStr">
        <is>
          <t>Deep Trail</t>
        </is>
      </c>
      <c r="I13" s="43" t="inlineStr">
        <is>
          <t>Reach round {n}</t>
        </is>
      </c>
    </row>
    <row r="14">
      <c r="A14" s="43" t="inlineStr">
        <is>
          <t>D_SHARPEN_UP</t>
        </is>
      </c>
      <c r="B14" s="43" t="inlineStr">
        <is>
          <t>daily</t>
        </is>
      </c>
      <c r="C14" s="43" t="inlineStr">
        <is>
          <t>medium</t>
        </is>
      </c>
      <c r="D14" s="43" t="inlineStr">
        <is>
          <t>upgrade</t>
        </is>
      </c>
      <c r="E14" s="43" t="n"/>
      <c r="F14" s="27" t="n">
        <v>10</v>
      </c>
      <c r="G14" s="27" t="n">
        <v>15</v>
      </c>
      <c r="H14" s="43" t="inlineStr">
        <is>
          <t>Sharpen Up</t>
        </is>
      </c>
      <c r="I14" s="43" t="inlineStr">
        <is>
          <t>Upgrade towers {n} times</t>
        </is>
      </c>
    </row>
    <row r="15">
      <c r="A15" s="43" t="inlineStr">
        <is>
          <t>D_RUN_THEM_DOWN</t>
        </is>
      </c>
      <c r="B15" s="43" t="inlineStr">
        <is>
          <t>daily</t>
        </is>
      </c>
      <c r="C15" s="43" t="inlineStr">
        <is>
          <t>hard</t>
        </is>
      </c>
      <c r="D15" s="43" t="inlineStr">
        <is>
          <t>pop</t>
        </is>
      </c>
      <c r="E15" s="43" t="inlineStr">
        <is>
          <t>STORM</t>
        </is>
      </c>
      <c r="F15" s="27" t="n">
        <v>25</v>
      </c>
      <c r="G15" s="27" t="n">
        <v>20</v>
      </c>
      <c r="H15" s="43" t="inlineStr">
        <is>
          <t>Run Them Down</t>
        </is>
      </c>
      <c r="I15" s="43" t="inlineStr">
        <is>
          <t>Take down {n} Gallimimus</t>
        </is>
      </c>
    </row>
    <row r="16">
      <c r="A16" s="43" t="inlineStr">
        <is>
          <t>D_DEEP_TRAIL_25</t>
        </is>
      </c>
      <c r="B16" s="43" t="inlineStr">
        <is>
          <t>daily</t>
        </is>
      </c>
      <c r="C16" s="43" t="inlineStr">
        <is>
          <t>hard</t>
        </is>
      </c>
      <c r="D16" s="43" t="inlineStr">
        <is>
          <t>reachRound</t>
        </is>
      </c>
      <c r="E16" s="43" t="n"/>
      <c r="F16" s="27" t="n">
        <v>25</v>
      </c>
      <c r="G16" s="27" t="n">
        <v>20</v>
      </c>
      <c r="H16" s="43" t="inlineStr">
        <is>
          <t>Deeper Trail</t>
        </is>
      </c>
      <c r="I16" s="43" t="inlineStr">
        <is>
          <t>Reach round {n}</t>
        </is>
      </c>
    </row>
    <row r="17">
      <c r="A17" s="43" t="inlineStr">
        <is>
          <t>D_PATCH_JOB</t>
        </is>
      </c>
      <c r="B17" s="43" t="inlineStr">
        <is>
          <t>daily</t>
        </is>
      </c>
      <c r="C17" s="43" t="inlineStr">
        <is>
          <t>hard</t>
        </is>
      </c>
      <c r="D17" s="43" t="inlineStr">
        <is>
          <t>repair</t>
        </is>
      </c>
      <c r="E17" s="43" t="n"/>
      <c r="F17" s="27" t="n">
        <v>2</v>
      </c>
      <c r="G17" s="27" t="n">
        <v>20</v>
      </c>
      <c r="H17" s="43" t="inlineStr">
        <is>
          <t>Patch Job</t>
        </is>
      </c>
      <c r="I17" s="43" t="inlineStr">
        <is>
          <t>Repair {n} trampled towers</t>
        </is>
      </c>
    </row>
    <row r="18">
      <c r="A18" s="43" t="inlineStr">
        <is>
          <t>D_CLEAN_SWEEP</t>
        </is>
      </c>
      <c r="B18" s="43" t="inlineStr">
        <is>
          <t>daily</t>
        </is>
      </c>
      <c r="C18" s="43" t="inlineStr">
        <is>
          <t>hard</t>
        </is>
      </c>
      <c r="D18" s="43" t="inlineStr">
        <is>
          <t>clear</t>
        </is>
      </c>
      <c r="E18" s="43" t="n"/>
      <c r="F18" s="27" t="n">
        <v>1</v>
      </c>
      <c r="G18" s="27" t="n">
        <v>20</v>
      </c>
      <c r="H18" s="43" t="inlineStr">
        <is>
          <t>Clean Sweep</t>
        </is>
      </c>
      <c r="I18" s="43" t="inlineStr">
        <is>
          <t>Clear any track</t>
        </is>
      </c>
    </row>
    <row r="19">
      <c r="A19" s="43" t="inlineStr">
        <is>
          <t>W_STAMPEDE</t>
        </is>
      </c>
      <c r="B19" s="43" t="inlineStr">
        <is>
          <t>weekly</t>
        </is>
      </c>
      <c r="C19" s="43" t="inlineStr">
        <is>
          <t>easy</t>
        </is>
      </c>
      <c r="D19" s="43" t="inlineStr">
        <is>
          <t>popTotal</t>
        </is>
      </c>
      <c r="E19" s="43" t="n"/>
      <c r="F19" s="27" t="n">
        <v>1500</v>
      </c>
      <c r="G19" s="27" t="n">
        <v>40</v>
      </c>
      <c r="H19" s="43" t="inlineStr">
        <is>
          <t>Stampede</t>
        </is>
      </c>
      <c r="I19" s="43" t="inlineStr">
        <is>
          <t>Take down {n} dinos of any kind</t>
        </is>
      </c>
    </row>
    <row r="20">
      <c r="A20" s="43" t="inlineStr">
        <is>
          <t>W_GEAR_CHECK</t>
        </is>
      </c>
      <c r="B20" s="43" t="inlineStr">
        <is>
          <t>weekly</t>
        </is>
      </c>
      <c r="C20" s="43" t="inlineStr">
        <is>
          <t>easy</t>
        </is>
      </c>
      <c r="D20" s="43" t="inlineStr">
        <is>
          <t>ability</t>
        </is>
      </c>
      <c r="E20" s="43" t="n"/>
      <c r="F20" s="27" t="n">
        <v>30</v>
      </c>
      <c r="G20" s="27" t="n">
        <v>40</v>
      </c>
      <c r="H20" s="43" t="inlineStr">
        <is>
          <t>Gear Check</t>
        </is>
      </c>
      <c r="I20" s="43" t="inlineStr">
        <is>
          <t>Use your ability {n} times</t>
        </is>
      </c>
    </row>
    <row r="21">
      <c r="A21" s="43" t="inlineStr">
        <is>
          <t>W_DEEP_TRAIL_2</t>
        </is>
      </c>
      <c r="B21" s="43" t="inlineStr">
        <is>
          <t>weekly</t>
        </is>
      </c>
      <c r="C21" s="43" t="inlineStr">
        <is>
          <t>easy</t>
        </is>
      </c>
      <c r="D21" s="43" t="inlineStr">
        <is>
          <t>reachRound</t>
        </is>
      </c>
      <c r="E21" s="27" t="n">
        <v>31</v>
      </c>
      <c r="F21" s="27" t="n">
        <v>2</v>
      </c>
      <c r="G21" s="27" t="n">
        <v>40</v>
      </c>
      <c r="H21" s="43" t="inlineStr">
        <is>
          <t>Long Trail</t>
        </is>
      </c>
      <c r="I21" s="43" t="inlineStr">
        <is>
          <t>Reach round 31 {n} times</t>
        </is>
      </c>
    </row>
    <row r="22">
      <c r="A22" s="43" t="inlineStr">
        <is>
          <t>W_CLEAN_SWEEP</t>
        </is>
      </c>
      <c r="B22" s="43" t="inlineStr">
        <is>
          <t>weekly</t>
        </is>
      </c>
      <c r="C22" s="43" t="inlineStr">
        <is>
          <t>medium</t>
        </is>
      </c>
      <c r="D22" s="43" t="inlineStr">
        <is>
          <t>clear</t>
        </is>
      </c>
      <c r="E22" s="43" t="n"/>
      <c r="F22" s="27" t="n">
        <v>3</v>
      </c>
      <c r="G22" s="27" t="n">
        <v>60</v>
      </c>
      <c r="H22" s="43" t="inlineStr">
        <is>
          <t>Clean Sweep</t>
        </is>
      </c>
      <c r="I22" s="43" t="inlineStr">
        <is>
          <t>Clear any track {n} times</t>
        </is>
      </c>
    </row>
    <row r="23">
      <c r="A23" s="43" t="inlineStr">
        <is>
          <t>W_ROUGH_COUNTRY</t>
        </is>
      </c>
      <c r="B23" s="43" t="inlineStr">
        <is>
          <t>weekly</t>
        </is>
      </c>
      <c r="C23" s="43" t="inlineStr">
        <is>
          <t>medium</t>
        </is>
      </c>
      <c r="D23" s="43" t="inlineStr">
        <is>
          <t>clear</t>
        </is>
      </c>
      <c r="E23" s="43" t="inlineStr">
        <is>
          <t>NORMAL</t>
        </is>
      </c>
      <c r="F23" s="27" t="n">
        <v>1</v>
      </c>
      <c r="G23" s="27" t="n">
        <v>60</v>
      </c>
      <c r="H23" s="43" t="inlineStr">
        <is>
          <t>Rough Country</t>
        </is>
      </c>
      <c r="I23" s="43" t="inlineStr">
        <is>
          <t>Clear a track on Normal or harder</t>
        </is>
      </c>
    </row>
    <row r="24">
      <c r="A24" s="43" t="inlineStr">
        <is>
          <t>W_HORN_BREAKER</t>
        </is>
      </c>
      <c r="B24" s="43" t="inlineStr">
        <is>
          <t>weekly</t>
        </is>
      </c>
      <c r="C24" s="43" t="inlineStr">
        <is>
          <t>medium</t>
        </is>
      </c>
      <c r="D24" s="43" t="inlineStr">
        <is>
          <t>pop</t>
        </is>
      </c>
      <c r="E24" s="43" t="inlineStr">
        <is>
          <t>ZEP</t>
        </is>
      </c>
      <c r="F24" s="27" t="n">
        <v>10</v>
      </c>
      <c r="G24" s="27" t="n">
        <v>60</v>
      </c>
      <c r="H24" s="43" t="inlineStr">
        <is>
          <t>Horn Breaker</t>
        </is>
      </c>
      <c r="I24" s="43" t="inlineStr">
        <is>
          <t>Take down {n} Triceratops (team take-downs count)</t>
        </is>
      </c>
    </row>
    <row r="25">
      <c r="A25" s="43" t="inlineStr">
        <is>
          <t>W_PATCH_JOB</t>
        </is>
      </c>
      <c r="B25" s="43" t="inlineStr">
        <is>
          <t>weekly</t>
        </is>
      </c>
      <c r="C25" s="43" t="inlineStr">
        <is>
          <t>medium</t>
        </is>
      </c>
      <c r="D25" s="43" t="inlineStr">
        <is>
          <t>repair</t>
        </is>
      </c>
      <c r="E25" s="43" t="n"/>
      <c r="F25" s="27" t="n">
        <v>10</v>
      </c>
      <c r="G25" s="27" t="n">
        <v>60</v>
      </c>
      <c r="H25" s="43" t="inlineStr">
        <is>
          <t>Patch Job</t>
        </is>
      </c>
      <c r="I25" s="43" t="inlineStr">
        <is>
          <t>Repair {n} trampled towers</t>
        </is>
      </c>
    </row>
    <row r="26">
      <c r="A26" s="43" t="inlineStr">
        <is>
          <t>W_BADLANDS</t>
        </is>
      </c>
      <c r="B26" s="43" t="inlineStr">
        <is>
          <t>weekly</t>
        </is>
      </c>
      <c r="C26" s="43" t="inlineStr">
        <is>
          <t>hard</t>
        </is>
      </c>
      <c r="D26" s="43" t="inlineStr">
        <is>
          <t>clear</t>
        </is>
      </c>
      <c r="E26" s="43" t="inlineStr">
        <is>
          <t>HARD</t>
        </is>
      </c>
      <c r="F26" s="27" t="n">
        <v>1</v>
      </c>
      <c r="G26" s="27" t="n">
        <v>80</v>
      </c>
      <c r="H26" s="43" t="inlineStr">
        <is>
          <t>Badlands</t>
        </is>
      </c>
      <c r="I26" s="43" t="inlineStr">
        <is>
          <t>Clear a track on Hard or harder</t>
        </is>
      </c>
    </row>
    <row r="27">
      <c r="A27" s="43" t="inlineStr">
        <is>
          <t>W_TYRANTS_END</t>
        </is>
      </c>
      <c r="B27" s="43" t="inlineStr">
        <is>
          <t>weekly</t>
        </is>
      </c>
      <c r="C27" s="43" t="inlineStr">
        <is>
          <t>hard</t>
        </is>
      </c>
      <c r="D27" s="43" t="inlineStr">
        <is>
          <t>pop</t>
        </is>
      </c>
      <c r="E27" s="43" t="inlineStr">
        <is>
          <t>BARGE</t>
        </is>
      </c>
      <c r="F27" s="27" t="n">
        <v>1</v>
      </c>
      <c r="G27" s="27" t="n">
        <v>80</v>
      </c>
      <c r="H27" s="43" t="inlineStr">
        <is>
          <t>Tyrant's End</t>
        </is>
      </c>
      <c r="I27" s="43" t="inlineStr">
        <is>
          <t>Take down a T-Rex (team take-downs count)</t>
        </is>
      </c>
    </row>
    <row r="28">
      <c r="A28" s="43" t="inlineStr">
        <is>
          <t>W_DEEP_TRAIL_4</t>
        </is>
      </c>
      <c r="B28" s="43" t="inlineStr">
        <is>
          <t>weekly</t>
        </is>
      </c>
      <c r="C28" s="43" t="inlineStr">
        <is>
          <t>hard</t>
        </is>
      </c>
      <c r="D28" s="43" t="inlineStr">
        <is>
          <t>reachRound</t>
        </is>
      </c>
      <c r="E28" s="27" t="n">
        <v>31</v>
      </c>
      <c r="F28" s="27" t="n">
        <v>4</v>
      </c>
      <c r="G28" s="27" t="n">
        <v>80</v>
      </c>
      <c r="H28" s="43" t="inlineStr">
        <is>
          <t>Longest Trail</t>
        </is>
      </c>
      <c r="I28" s="43" t="inlineStr">
        <is>
          <t>Reach round 31 {n} times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style="90" min="1" max="1"/>
    <col width="14" customWidth="1" style="90" min="2" max="2"/>
    <col width="18" customWidth="1" style="90" min="3" max="3"/>
    <col width="70" customWidth="1" style="90" min="4" max="4"/>
    <col width="18" customWidth="1" style="90" min="5" max="5"/>
    <col width="18" customWidth="1" style="90" min="6" max="6"/>
    <col width="18" customWidth="1" style="90" min="7" max="7"/>
    <col width="18" customWidth="1" style="90" min="8" max="8"/>
    <col width="18" customWidth="1" style="90" min="9" max="9"/>
    <col width="18" customWidth="1" style="90" min="10" max="10"/>
    <col width="18" customWidth="1" style="90" min="11" max="11"/>
    <col width="18" customWidth="1" style="90" min="12" max="12"/>
  </cols>
  <sheetData>
    <row r="1">
      <c r="A1" s="2" t="inlineStr">
        <is>
          <t>MASTERY PERKS — a level-10 and a level-15 ability perk per hunter</t>
        </is>
      </c>
    </row>
    <row r="2">
      <c r="A2" s="5" t="inlineStr">
        <is>
          <t>A hunter with mastery at or above the level has the perk (15 has both). Values are added to the hero's base ability value (Heroes sheet) before path multipliers. Blank = 0. Worth % = 100 x (seconds / base + radius / base + power / base + extra marks x extra mark power) + burn % per s x burn seconds: level 15 must be worth more than level 10, both at most Tuning 'Mastery perk worth cap'. Abilities only: no stun time, no gun damage (DECISIONS #97-#99).</t>
        </is>
      </c>
    </row>
    <row r="4">
      <c r="A4" s="21" t="inlineStr">
        <is>
          <t>Hero key</t>
        </is>
      </c>
      <c r="B4" s="21" t="inlineStr">
        <is>
          <t>Mastery level</t>
        </is>
      </c>
      <c r="C4" s="21" t="inlineStr">
        <is>
          <t>Name</t>
        </is>
      </c>
      <c r="D4" s="21" t="inlineStr">
        <is>
          <t>Text</t>
        </is>
      </c>
      <c r="E4" s="21" t="inlineStr">
        <is>
          <t>Ability seconds +</t>
        </is>
      </c>
      <c r="F4" s="21" t="inlineStr">
        <is>
          <t>Ability radius +</t>
        </is>
      </c>
      <c r="G4" s="21" t="inlineStr">
        <is>
          <t>Ability power +</t>
        </is>
      </c>
      <c r="H4" s="21" t="inlineStr">
        <is>
          <t>Extra marks</t>
        </is>
      </c>
      <c r="I4" s="21" t="inlineStr">
        <is>
          <t>Extra mark power x</t>
        </is>
      </c>
      <c r="J4" s="21" t="inlineStr">
        <is>
          <t>Extra mark reach</t>
        </is>
      </c>
      <c r="K4" s="21" t="inlineStr">
        <is>
          <t>Strike burn % per s</t>
        </is>
      </c>
      <c r="L4" s="21" t="inlineStr">
        <is>
          <t>Strike burn (s)</t>
        </is>
      </c>
    </row>
    <row r="5">
      <c r="A5" s="43" t="inlineStr">
        <is>
          <t>PISTOL</t>
        </is>
      </c>
      <c r="B5" s="27" t="n">
        <v>10</v>
      </c>
      <c r="C5" s="43" t="inlineStr">
        <is>
          <t>Sticky Dart</t>
        </is>
      </c>
      <c r="D5" s="43" t="inlineStr">
        <is>
          <t>Tracking Dart lasts 2s longer</t>
        </is>
      </c>
      <c r="E5" s="27" t="n">
        <v>2</v>
      </c>
    </row>
    <row r="6">
      <c r="A6" s="43" t="inlineStr">
        <is>
          <t>PISTOL</t>
        </is>
      </c>
      <c r="B6" s="27" t="n">
        <v>15</v>
      </c>
      <c r="C6" s="43" t="inlineStr">
        <is>
          <t>Spare Dart</t>
        </is>
      </c>
      <c r="D6" s="43" t="inlineStr">
        <is>
          <t>Tracking Dart also marks the nearest dino within 10 studs at 40% strength</t>
        </is>
      </c>
      <c r="H6" s="27" t="n">
        <v>1</v>
      </c>
      <c r="I6" s="27" t="n">
        <v>0.4</v>
      </c>
      <c r="J6" s="27" t="n">
        <v>10</v>
      </c>
    </row>
    <row r="7">
      <c r="A7" s="43" t="inlineStr">
        <is>
          <t>RIFLE</t>
        </is>
      </c>
      <c r="B7" s="27" t="n">
        <v>10</v>
      </c>
      <c r="C7" s="43" t="inlineStr">
        <is>
          <t>Hunting Horn</t>
        </is>
      </c>
      <c r="D7" s="43" t="inlineStr">
        <is>
          <t>Rally Cry reaches 6 studs further</t>
        </is>
      </c>
      <c r="F7" s="27" t="n">
        <v>6</v>
      </c>
    </row>
    <row r="8">
      <c r="A8" s="43" t="inlineStr">
        <is>
          <t>RIFLE</t>
        </is>
      </c>
      <c r="B8" s="27" t="n">
        <v>15</v>
      </c>
      <c r="C8" s="43" t="inlineStr">
        <is>
          <t>Long Rally</t>
        </is>
      </c>
      <c r="D8" s="43" t="inlineStr">
        <is>
          <t>Rally Cry lasts 3.5s longer</t>
        </is>
      </c>
      <c r="E8" s="27" t="n">
        <v>3.5</v>
      </c>
    </row>
    <row r="9">
      <c r="A9" s="43" t="inlineStr">
        <is>
          <t>SHOTGUN</t>
        </is>
      </c>
      <c r="B9" s="27" t="n">
        <v>10</v>
      </c>
      <c r="C9" s="43" t="inlineStr">
        <is>
          <t>Wide Flare</t>
        </is>
      </c>
      <c r="D9" s="43" t="inlineStr">
        <is>
          <t>Flare Strike reaches 2.5 studs further</t>
        </is>
      </c>
      <c r="F9" s="27" t="n">
        <v>2.5</v>
      </c>
    </row>
    <row r="10">
      <c r="A10" s="43" t="inlineStr">
        <is>
          <t>SHOTGUN</t>
        </is>
      </c>
      <c r="B10" s="27" t="n">
        <v>15</v>
      </c>
      <c r="C10" s="43" t="inlineStr">
        <is>
          <t>Smoulder</t>
        </is>
      </c>
      <c r="D10" s="43" t="inlineStr">
        <is>
          <t>Flare Strike leaves burning ground for 3s (12% of the strike's damage each second)</t>
        </is>
      </c>
      <c r="K10" s="27" t="n">
        <v>12</v>
      </c>
      <c r="L10" s="27" t="n">
        <v>3</v>
      </c>
    </row>
    <row r="11">
      <c r="A11" s="43" t="inlineStr">
        <is>
          <t>MEDIC</t>
        </is>
      </c>
      <c r="B11" s="27" t="n">
        <v>10</v>
      </c>
      <c r="C11" s="43" t="inlineStr">
        <is>
          <t>Far Reach</t>
        </is>
      </c>
      <c r="D11" s="43" t="inlineStr">
        <is>
          <t>Triage Kit reaches 5 studs further</t>
        </is>
      </c>
      <c r="F11" s="27" t="n">
        <v>5</v>
      </c>
    </row>
    <row r="12">
      <c r="A12" s="43" t="inlineStr">
        <is>
          <t>MEDIC</t>
        </is>
      </c>
      <c r="B12" s="27" t="n">
        <v>15</v>
      </c>
      <c r="C12" s="43" t="inlineStr">
        <is>
          <t>Stocked Kit</t>
        </is>
      </c>
      <c r="D12" s="43" t="inlineStr">
        <is>
          <t>Triage Kit heals 14 more HP</t>
        </is>
      </c>
      <c r="G12" s="27" t="n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16" customWidth="1" style="90" min="1" max="1"/>
    <col width="8" customWidth="1" style="90" min="2" max="2"/>
    <col width="20" customWidth="1" style="90" min="3" max="3"/>
    <col width="22" customWidth="1" style="90" min="4" max="4"/>
    <col width="11" customWidth="1" style="90" min="5" max="5"/>
    <col width="10" customWidth="1" style="90" min="6" max="6"/>
    <col width="14" customWidth="1" style="90" min="7" max="7"/>
    <col width="10" customWidth="1" style="90" min="8" max="8"/>
    <col width="13" customWidth="1" style="90" min="9" max="9"/>
  </cols>
  <sheetData>
    <row r="1">
      <c r="A1" s="107" t="inlineStr">
        <is>
          <t>COSMETICS — player level rewards (names are working names, Dino review T59)</t>
        </is>
      </c>
    </row>
    <row r="2">
      <c r="A2" s="108" t="inlineStr">
        <is>
          <t>One row per reward. Levels 2-99 except multiples of 10: one common each (name colour, gun tint, tracer colour, crosshair colour, tower flag, leaderboard banner). Every 10 to 100: a rare (hunting hat, gun pattern, hit-marker, sprint trail) + a title. 150 and 200: an animated set (legendary) + a title. Nothing else up to 200. Past 200: the row with 'Repeat every' gives a title every N levels, forever ({n} in its name = the level). Cosmetic only: no gameplay effect. No gold: gold is mastery 20's alone (DECISIONS #121). Colour = #RRGGBB; Material = a Roblox material; Pattern: hat Brim/Cap/Crest, hit-marker Cross/Plus/Diamond/Star, set Pulse/Cycle.</t>
        </is>
      </c>
    </row>
    <row r="4">
      <c r="A4" s="104" t="inlineStr">
        <is>
          <t>Id</t>
        </is>
      </c>
      <c r="B4" s="104" t="inlineStr">
        <is>
          <t>Level</t>
        </is>
      </c>
      <c r="C4" s="104" t="inlineStr">
        <is>
          <t>Kind</t>
        </is>
      </c>
      <c r="D4" s="104" t="inlineStr">
        <is>
          <t>Name</t>
        </is>
      </c>
      <c r="E4" s="104" t="inlineStr">
        <is>
          <t>Rarity</t>
        </is>
      </c>
      <c r="F4" s="104" t="inlineStr">
        <is>
          <t>Colour</t>
        </is>
      </c>
      <c r="G4" s="104" t="inlineStr">
        <is>
          <t>Material</t>
        </is>
      </c>
      <c r="H4" s="104" t="inlineStr">
        <is>
          <t>Pattern</t>
        </is>
      </c>
      <c r="I4" s="104" t="inlineStr">
        <is>
          <t>Repeat every</t>
        </is>
      </c>
    </row>
    <row r="5">
      <c r="A5" s="81" t="inlineStr">
        <is>
          <t>NAME_FERN</t>
        </is>
      </c>
      <c r="B5" s="81" t="n">
        <v>2</v>
      </c>
      <c r="C5" s="81" t="inlineStr">
        <is>
          <t>Name colour</t>
        </is>
      </c>
      <c r="D5" s="81" t="inlineStr">
        <is>
          <t>Fern Name</t>
        </is>
      </c>
      <c r="E5" s="81" t="inlineStr">
        <is>
          <t>common</t>
        </is>
      </c>
      <c r="F5" s="81" t="inlineStr">
        <is>
          <t>#4F7942</t>
        </is>
      </c>
    </row>
    <row r="6">
      <c r="A6" s="81" t="inlineStr">
        <is>
          <t>TINT_OCHRE</t>
        </is>
      </c>
      <c r="B6" s="81" t="n">
        <v>3</v>
      </c>
      <c r="C6" s="81" t="inlineStr">
        <is>
          <t>Gun tint</t>
        </is>
      </c>
      <c r="D6" s="81" t="inlineStr">
        <is>
          <t>Ochre Tint</t>
        </is>
      </c>
      <c r="E6" s="81" t="inlineStr">
        <is>
          <t>common</t>
        </is>
      </c>
      <c r="F6" s="81" t="inlineStr">
        <is>
          <t>#CC7722</t>
        </is>
      </c>
    </row>
    <row r="7">
      <c r="A7" s="81" t="inlineStr">
        <is>
          <t>TRACER_ASH</t>
        </is>
      </c>
      <c r="B7" s="81" t="n">
        <v>4</v>
      </c>
      <c r="C7" s="81" t="inlineStr">
        <is>
          <t>Tracer colour</t>
        </is>
      </c>
      <c r="D7" s="81" t="inlineStr">
        <is>
          <t>Ash Tracers</t>
        </is>
      </c>
      <c r="E7" s="81" t="inlineStr">
        <is>
          <t>common</t>
        </is>
      </c>
      <c r="F7" s="81" t="inlineStr">
        <is>
          <t>#B2B2B2</t>
        </is>
      </c>
    </row>
    <row r="8">
      <c r="A8" s="81" t="inlineStr">
        <is>
          <t>SIGHT_SKY</t>
        </is>
      </c>
      <c r="B8" s="81" t="n">
        <v>5</v>
      </c>
      <c r="C8" s="81" t="inlineStr">
        <is>
          <t>Crosshair colour</t>
        </is>
      </c>
      <c r="D8" s="81" t="inlineStr">
        <is>
          <t>Sky Sights</t>
        </is>
      </c>
      <c r="E8" s="81" t="inlineStr">
        <is>
          <t>common</t>
        </is>
      </c>
      <c r="F8" s="81" t="inlineStr">
        <is>
          <t>#78B4E6</t>
        </is>
      </c>
    </row>
    <row r="9">
      <c r="A9" s="81" t="inlineStr">
        <is>
          <t>FLAG_ROSE</t>
        </is>
      </c>
      <c r="B9" s="81" t="n">
        <v>6</v>
      </c>
      <c r="C9" s="81" t="inlineStr">
        <is>
          <t>Tower flag</t>
        </is>
      </c>
      <c r="D9" s="81" t="inlineStr">
        <is>
          <t>Rose Flag</t>
        </is>
      </c>
      <c r="E9" s="81" t="inlineStr">
        <is>
          <t>common</t>
        </is>
      </c>
      <c r="F9" s="81" t="inlineStr">
        <is>
          <t>#DC8296</t>
        </is>
      </c>
    </row>
    <row r="10">
      <c r="A10" s="81" t="inlineStr">
        <is>
          <t>BANNER_FERN</t>
        </is>
      </c>
      <c r="B10" s="81" t="n">
        <v>7</v>
      </c>
      <c r="C10" s="81" t="inlineStr">
        <is>
          <t>Leaderboard banner</t>
        </is>
      </c>
      <c r="D10" s="81" t="inlineStr">
        <is>
          <t>Fern Banner</t>
        </is>
      </c>
      <c r="E10" s="81" t="inlineStr">
        <is>
          <t>common</t>
        </is>
      </c>
      <c r="F10" s="81" t="inlineStr">
        <is>
          <t>#4F7942</t>
        </is>
      </c>
    </row>
    <row r="11">
      <c r="A11" s="81" t="inlineStr">
        <is>
          <t>NAME_MOSS</t>
        </is>
      </c>
      <c r="B11" s="81" t="n">
        <v>8</v>
      </c>
      <c r="C11" s="81" t="inlineStr">
        <is>
          <t>Name colour</t>
        </is>
      </c>
      <c r="D11" s="81" t="inlineStr">
        <is>
          <t>Moss Name</t>
        </is>
      </c>
      <c r="E11" s="81" t="inlineStr">
        <is>
          <t>common</t>
        </is>
      </c>
      <c r="F11" s="81" t="inlineStr">
        <is>
          <t>#8A9A5B</t>
        </is>
      </c>
    </row>
    <row r="12">
      <c r="A12" s="81" t="inlineStr">
        <is>
          <t>TINT_RUST</t>
        </is>
      </c>
      <c r="B12" s="81" t="n">
        <v>9</v>
      </c>
      <c r="C12" s="81" t="inlineStr">
        <is>
          <t>Gun tint</t>
        </is>
      </c>
      <c r="D12" s="81" t="inlineStr">
        <is>
          <t>Rust Tint</t>
        </is>
      </c>
      <c r="E12" s="81" t="inlineStr">
        <is>
          <t>common</t>
        </is>
      </c>
      <c r="F12" s="81" t="inlineStr">
        <is>
          <t>#A04828</t>
        </is>
      </c>
    </row>
    <row r="13">
      <c r="A13" s="81" t="inlineStr">
        <is>
          <t>HAT_BUSH</t>
        </is>
      </c>
      <c r="B13" s="81" t="n">
        <v>10</v>
      </c>
      <c r="C13" s="81" t="inlineStr">
        <is>
          <t>Hunting hat</t>
        </is>
      </c>
      <c r="D13" s="81" t="inlineStr">
        <is>
          <t>Bush Hat</t>
        </is>
      </c>
      <c r="E13" s="81" t="inlineStr">
        <is>
          <t>rare</t>
        </is>
      </c>
      <c r="F13" s="81" t="inlineStr">
        <is>
          <t>#6E7846</t>
        </is>
      </c>
      <c r="G13" s="81" t="inlineStr">
        <is>
          <t>Fabric</t>
        </is>
      </c>
      <c r="H13" s="81" t="inlineStr">
        <is>
          <t>Brim</t>
        </is>
      </c>
    </row>
    <row r="14">
      <c r="A14" s="81" t="inlineStr">
        <is>
          <t>TITLE_10</t>
        </is>
      </c>
      <c r="B14" s="81" t="n">
        <v>10</v>
      </c>
      <c r="C14" s="81" t="inlineStr">
        <is>
          <t>Title</t>
        </is>
      </c>
      <c r="D14" s="81" t="inlineStr">
        <is>
          <t>Greenhorn</t>
        </is>
      </c>
      <c r="E14" s="81" t="inlineStr">
        <is>
          <t>title</t>
        </is>
      </c>
    </row>
    <row r="15">
      <c r="A15" s="81" t="inlineStr">
        <is>
          <t>TRACER_SLATE</t>
        </is>
      </c>
      <c r="B15" s="81" t="n">
        <v>11</v>
      </c>
      <c r="C15" s="81" t="inlineStr">
        <is>
          <t>Tracer colour</t>
        </is>
      </c>
      <c r="D15" s="81" t="inlineStr">
        <is>
          <t>Slate Tracers</t>
        </is>
      </c>
      <c r="E15" s="81" t="inlineStr">
        <is>
          <t>common</t>
        </is>
      </c>
      <c r="F15" s="81" t="inlineStr">
        <is>
          <t>#586373</t>
        </is>
      </c>
    </row>
    <row r="16">
      <c r="A16" s="81" t="inlineStr">
        <is>
          <t>SIGHT_DUSK</t>
        </is>
      </c>
      <c r="B16" s="81" t="n">
        <v>12</v>
      </c>
      <c r="C16" s="81" t="inlineStr">
        <is>
          <t>Crosshair colour</t>
        </is>
      </c>
      <c r="D16" s="81" t="inlineStr">
        <is>
          <t>Dusk Sights</t>
        </is>
      </c>
      <c r="E16" s="81" t="inlineStr">
        <is>
          <t>common</t>
        </is>
      </c>
      <c r="F16" s="81" t="inlineStr">
        <is>
          <t>#62508C</t>
        </is>
      </c>
    </row>
    <row r="17">
      <c r="A17" s="81" t="inlineStr">
        <is>
          <t>FLAG_EMBER</t>
        </is>
      </c>
      <c r="B17" s="81" t="n">
        <v>13</v>
      </c>
      <c r="C17" s="81" t="inlineStr">
        <is>
          <t>Tower flag</t>
        </is>
      </c>
      <c r="D17" s="81" t="inlineStr">
        <is>
          <t>Ember Flag</t>
        </is>
      </c>
      <c r="E17" s="81" t="inlineStr">
        <is>
          <t>common</t>
        </is>
      </c>
      <c r="F17" s="81" t="inlineStr">
        <is>
          <t>#E65A32</t>
        </is>
      </c>
    </row>
    <row r="18">
      <c r="A18" s="81" t="inlineStr">
        <is>
          <t>BANNER_MOSS</t>
        </is>
      </c>
      <c r="B18" s="81" t="n">
        <v>14</v>
      </c>
      <c r="C18" s="81" t="inlineStr">
        <is>
          <t>Leaderboard banner</t>
        </is>
      </c>
      <c r="D18" s="81" t="inlineStr">
        <is>
          <t>Moss Banner</t>
        </is>
      </c>
      <c r="E18" s="81" t="inlineStr">
        <is>
          <t>common</t>
        </is>
      </c>
      <c r="F18" s="81" t="inlineStr">
        <is>
          <t>#8A9A5B</t>
        </is>
      </c>
    </row>
    <row r="19">
      <c r="A19" s="81" t="inlineStr">
        <is>
          <t>NAME_CLAY</t>
        </is>
      </c>
      <c r="B19" s="81" t="n">
        <v>15</v>
      </c>
      <c r="C19" s="81" t="inlineStr">
        <is>
          <t>Name colour</t>
        </is>
      </c>
      <c r="D19" s="81" t="inlineStr">
        <is>
          <t>Clay Name</t>
        </is>
      </c>
      <c r="E19" s="81" t="inlineStr">
        <is>
          <t>common</t>
        </is>
      </c>
      <c r="F19" s="81" t="inlineStr">
        <is>
          <t>#B0684A</t>
        </is>
      </c>
    </row>
    <row r="20">
      <c r="A20" s="81" t="inlineStr">
        <is>
          <t>TINT_BONE</t>
        </is>
      </c>
      <c r="B20" s="81" t="n">
        <v>16</v>
      </c>
      <c r="C20" s="81" t="inlineStr">
        <is>
          <t>Gun tint</t>
        </is>
      </c>
      <c r="D20" s="81" t="inlineStr">
        <is>
          <t>Bone Tint</t>
        </is>
      </c>
      <c r="E20" s="81" t="inlineStr">
        <is>
          <t>common</t>
        </is>
      </c>
      <c r="F20" s="81" t="inlineStr">
        <is>
          <t>#E3DAC9</t>
        </is>
      </c>
    </row>
    <row r="21">
      <c r="A21" s="81" t="inlineStr">
        <is>
          <t>TRACER_TEAL</t>
        </is>
      </c>
      <c r="B21" s="81" t="n">
        <v>17</v>
      </c>
      <c r="C21" s="81" t="inlineStr">
        <is>
          <t>Tracer colour</t>
        </is>
      </c>
      <c r="D21" s="81" t="inlineStr">
        <is>
          <t>Teal Tracers</t>
        </is>
      </c>
      <c r="E21" s="81" t="inlineStr">
        <is>
          <t>common</t>
        </is>
      </c>
      <c r="F21" s="81" t="inlineStr">
        <is>
          <t>#288080</t>
        </is>
      </c>
    </row>
    <row r="22">
      <c r="A22" s="81" t="inlineStr">
        <is>
          <t>SIGHT_PLUM</t>
        </is>
      </c>
      <c r="B22" s="81" t="n">
        <v>18</v>
      </c>
      <c r="C22" s="81" t="inlineStr">
        <is>
          <t>Crosshair colour</t>
        </is>
      </c>
      <c r="D22" s="81" t="inlineStr">
        <is>
          <t>Plum Sights</t>
        </is>
      </c>
      <c r="E22" s="81" t="inlineStr">
        <is>
          <t>common</t>
        </is>
      </c>
      <c r="F22" s="81" t="inlineStr">
        <is>
          <t>#823C64</t>
        </is>
      </c>
    </row>
    <row r="23">
      <c r="A23" s="81" t="inlineStr">
        <is>
          <t>FLAG_SAND</t>
        </is>
      </c>
      <c r="B23" s="81" t="n">
        <v>19</v>
      </c>
      <c r="C23" s="81" t="inlineStr">
        <is>
          <t>Tower flag</t>
        </is>
      </c>
      <c r="D23" s="81" t="inlineStr">
        <is>
          <t>Sand Flag</t>
        </is>
      </c>
      <c r="E23" s="81" t="inlineStr">
        <is>
          <t>common</t>
        </is>
      </c>
      <c r="F23" s="81" t="inlineStr">
        <is>
          <t>#C2B280</t>
        </is>
      </c>
    </row>
    <row r="24">
      <c r="A24" s="81" t="inlineStr">
        <is>
          <t>GUN_IRONWOOD</t>
        </is>
      </c>
      <c r="B24" s="81" t="n">
        <v>20</v>
      </c>
      <c r="C24" s="81" t="inlineStr">
        <is>
          <t>Gun pattern</t>
        </is>
      </c>
      <c r="D24" s="81" t="inlineStr">
        <is>
          <t>Ironwood Stock</t>
        </is>
      </c>
      <c r="E24" s="81" t="inlineStr">
        <is>
          <t>rare</t>
        </is>
      </c>
      <c r="F24" s="81" t="inlineStr">
        <is>
          <t>#785032</t>
        </is>
      </c>
      <c r="G24" s="81" t="inlineStr">
        <is>
          <t>Wood</t>
        </is>
      </c>
    </row>
    <row r="25">
      <c r="A25" s="81" t="inlineStr">
        <is>
          <t>TITLE_20</t>
        </is>
      </c>
      <c r="B25" s="81" t="n">
        <v>20</v>
      </c>
      <c r="C25" s="81" t="inlineStr">
        <is>
          <t>Title</t>
        </is>
      </c>
      <c r="D25" s="81" t="inlineStr">
        <is>
          <t>Trapper</t>
        </is>
      </c>
      <c r="E25" s="81" t="inlineStr">
        <is>
          <t>title</t>
        </is>
      </c>
    </row>
    <row r="26">
      <c r="A26" s="81" t="inlineStr">
        <is>
          <t>BANNER_CLAY</t>
        </is>
      </c>
      <c r="B26" s="81" t="n">
        <v>21</v>
      </c>
      <c r="C26" s="81" t="inlineStr">
        <is>
          <t>Leaderboard banner</t>
        </is>
      </c>
      <c r="D26" s="81" t="inlineStr">
        <is>
          <t>Clay Banner</t>
        </is>
      </c>
      <c r="E26" s="81" t="inlineStr">
        <is>
          <t>common</t>
        </is>
      </c>
      <c r="F26" s="81" t="inlineStr">
        <is>
          <t>#B0684A</t>
        </is>
      </c>
    </row>
    <row r="27">
      <c r="A27" s="81" t="inlineStr">
        <is>
          <t>NAME_OCHRE</t>
        </is>
      </c>
      <c r="B27" s="81" t="n">
        <v>22</v>
      </c>
      <c r="C27" s="81" t="inlineStr">
        <is>
          <t>Name colour</t>
        </is>
      </c>
      <c r="D27" s="81" t="inlineStr">
        <is>
          <t>Ochre Name</t>
        </is>
      </c>
      <c r="E27" s="81" t="inlineStr">
        <is>
          <t>common</t>
        </is>
      </c>
      <c r="F27" s="81" t="inlineStr">
        <is>
          <t>#CC7722</t>
        </is>
      </c>
    </row>
    <row r="28">
      <c r="A28" s="81" t="inlineStr">
        <is>
          <t>TINT_ASH</t>
        </is>
      </c>
      <c r="B28" s="81" t="n">
        <v>23</v>
      </c>
      <c r="C28" s="81" t="inlineStr">
        <is>
          <t>Gun tint</t>
        </is>
      </c>
      <c r="D28" s="81" t="inlineStr">
        <is>
          <t>Ash Tint</t>
        </is>
      </c>
      <c r="E28" s="81" t="inlineStr">
        <is>
          <t>common</t>
        </is>
      </c>
      <c r="F28" s="81" t="inlineStr">
        <is>
          <t>#B2B2B2</t>
        </is>
      </c>
    </row>
    <row r="29">
      <c r="A29" s="81" t="inlineStr">
        <is>
          <t>TRACER_SKY</t>
        </is>
      </c>
      <c r="B29" s="81" t="n">
        <v>24</v>
      </c>
      <c r="C29" s="81" t="inlineStr">
        <is>
          <t>Tracer colour</t>
        </is>
      </c>
      <c r="D29" s="81" t="inlineStr">
        <is>
          <t>Sky Tracers</t>
        </is>
      </c>
      <c r="E29" s="81" t="inlineStr">
        <is>
          <t>common</t>
        </is>
      </c>
      <c r="F29" s="81" t="inlineStr">
        <is>
          <t>#78B4E6</t>
        </is>
      </c>
    </row>
    <row r="30">
      <c r="A30" s="81" t="inlineStr">
        <is>
          <t>SIGHT_ROSE</t>
        </is>
      </c>
      <c r="B30" s="81" t="n">
        <v>25</v>
      </c>
      <c r="C30" s="81" t="inlineStr">
        <is>
          <t>Crosshair colour</t>
        </is>
      </c>
      <c r="D30" s="81" t="inlineStr">
        <is>
          <t>Rose Sights</t>
        </is>
      </c>
      <c r="E30" s="81" t="inlineStr">
        <is>
          <t>common</t>
        </is>
      </c>
      <c r="F30" s="81" t="inlineStr">
        <is>
          <t>#DC8296</t>
        </is>
      </c>
    </row>
    <row r="31">
      <c r="A31" s="81" t="inlineStr">
        <is>
          <t>FLAG_FERN</t>
        </is>
      </c>
      <c r="B31" s="81" t="n">
        <v>26</v>
      </c>
      <c r="C31" s="81" t="inlineStr">
        <is>
          <t>Tower flag</t>
        </is>
      </c>
      <c r="D31" s="81" t="inlineStr">
        <is>
          <t>Fern Flag</t>
        </is>
      </c>
      <c r="E31" s="81" t="inlineStr">
        <is>
          <t>common</t>
        </is>
      </c>
      <c r="F31" s="81" t="inlineStr">
        <is>
          <t>#4F7942</t>
        </is>
      </c>
    </row>
    <row r="32">
      <c r="A32" s="81" t="inlineStr">
        <is>
          <t>BANNER_OCHRE</t>
        </is>
      </c>
      <c r="B32" s="81" t="n">
        <v>27</v>
      </c>
      <c r="C32" s="81" t="inlineStr">
        <is>
          <t>Leaderboard banner</t>
        </is>
      </c>
      <c r="D32" s="81" t="inlineStr">
        <is>
          <t>Ochre Banner</t>
        </is>
      </c>
      <c r="E32" s="81" t="inlineStr">
        <is>
          <t>common</t>
        </is>
      </c>
      <c r="F32" s="81" t="inlineStr">
        <is>
          <t>#CC7722</t>
        </is>
      </c>
    </row>
    <row r="33">
      <c r="A33" s="81" t="inlineStr">
        <is>
          <t>NAME_RUST</t>
        </is>
      </c>
      <c r="B33" s="81" t="n">
        <v>28</v>
      </c>
      <c r="C33" s="81" t="inlineStr">
        <is>
          <t>Name colour</t>
        </is>
      </c>
      <c r="D33" s="81" t="inlineStr">
        <is>
          <t>Rust Name</t>
        </is>
      </c>
      <c r="E33" s="81" t="inlineStr">
        <is>
          <t>common</t>
        </is>
      </c>
      <c r="F33" s="81" t="inlineStr">
        <is>
          <t>#A04828</t>
        </is>
      </c>
    </row>
    <row r="34">
      <c r="A34" s="81" t="inlineStr">
        <is>
          <t>TINT_SLATE</t>
        </is>
      </c>
      <c r="B34" s="81" t="n">
        <v>29</v>
      </c>
      <c r="C34" s="81" t="inlineStr">
        <is>
          <t>Gun tint</t>
        </is>
      </c>
      <c r="D34" s="81" t="inlineStr">
        <is>
          <t>Slate Tint</t>
        </is>
      </c>
      <c r="E34" s="81" t="inlineStr">
        <is>
          <t>common</t>
        </is>
      </c>
      <c r="F34" s="81" t="inlineStr">
        <is>
          <t>#586373</t>
        </is>
      </c>
    </row>
    <row r="35">
      <c r="A35" s="81" t="inlineStr">
        <is>
          <t>MARK_TOOTH</t>
        </is>
      </c>
      <c r="B35" s="81" t="n">
        <v>30</v>
      </c>
      <c r="C35" s="81" t="inlineStr">
        <is>
          <t>Hit-marker</t>
        </is>
      </c>
      <c r="D35" s="81" t="inlineStr">
        <is>
          <t>Tooth Marker</t>
        </is>
      </c>
      <c r="E35" s="81" t="inlineStr">
        <is>
          <t>rare</t>
        </is>
      </c>
      <c r="F35" s="81" t="inlineStr">
        <is>
          <t>#EBE1BE</t>
        </is>
      </c>
      <c r="H35" s="81" t="inlineStr">
        <is>
          <t>Diamond</t>
        </is>
      </c>
    </row>
    <row r="36">
      <c r="A36" s="81" t="inlineStr">
        <is>
          <t>TITLE_30</t>
        </is>
      </c>
      <c r="B36" s="81" t="n">
        <v>30</v>
      </c>
      <c r="C36" s="81" t="inlineStr">
        <is>
          <t>Title</t>
        </is>
      </c>
      <c r="D36" s="81" t="inlineStr">
        <is>
          <t>Trailblazer</t>
        </is>
      </c>
      <c r="E36" s="81" t="inlineStr">
        <is>
          <t>title</t>
        </is>
      </c>
    </row>
    <row r="37">
      <c r="A37" s="81" t="inlineStr">
        <is>
          <t>TRACER_DUSK</t>
        </is>
      </c>
      <c r="B37" s="81" t="n">
        <v>31</v>
      </c>
      <c r="C37" s="81" t="inlineStr">
        <is>
          <t>Tracer colour</t>
        </is>
      </c>
      <c r="D37" s="81" t="inlineStr">
        <is>
          <t>Dusk Tracers</t>
        </is>
      </c>
      <c r="E37" s="81" t="inlineStr">
        <is>
          <t>common</t>
        </is>
      </c>
      <c r="F37" s="81" t="inlineStr">
        <is>
          <t>#62508C</t>
        </is>
      </c>
    </row>
    <row r="38">
      <c r="A38" s="81" t="inlineStr">
        <is>
          <t>SIGHT_EMBER</t>
        </is>
      </c>
      <c r="B38" s="81" t="n">
        <v>32</v>
      </c>
      <c r="C38" s="81" t="inlineStr">
        <is>
          <t>Crosshair colour</t>
        </is>
      </c>
      <c r="D38" s="81" t="inlineStr">
        <is>
          <t>Ember Sights</t>
        </is>
      </c>
      <c r="E38" s="81" t="inlineStr">
        <is>
          <t>common</t>
        </is>
      </c>
      <c r="F38" s="81" t="inlineStr">
        <is>
          <t>#E65A32</t>
        </is>
      </c>
    </row>
    <row r="39">
      <c r="A39" s="81" t="inlineStr">
        <is>
          <t>FLAG_MOSS</t>
        </is>
      </c>
      <c r="B39" s="81" t="n">
        <v>33</v>
      </c>
      <c r="C39" s="81" t="inlineStr">
        <is>
          <t>Tower flag</t>
        </is>
      </c>
      <c r="D39" s="81" t="inlineStr">
        <is>
          <t>Moss Flag</t>
        </is>
      </c>
      <c r="E39" s="81" t="inlineStr">
        <is>
          <t>common</t>
        </is>
      </c>
      <c r="F39" s="81" t="inlineStr">
        <is>
          <t>#8A9A5B</t>
        </is>
      </c>
    </row>
    <row r="40">
      <c r="A40" s="81" t="inlineStr">
        <is>
          <t>BANNER_RUST</t>
        </is>
      </c>
      <c r="B40" s="81" t="n">
        <v>34</v>
      </c>
      <c r="C40" s="81" t="inlineStr">
        <is>
          <t>Leaderboard banner</t>
        </is>
      </c>
      <c r="D40" s="81" t="inlineStr">
        <is>
          <t>Rust Banner</t>
        </is>
      </c>
      <c r="E40" s="81" t="inlineStr">
        <is>
          <t>common</t>
        </is>
      </c>
      <c r="F40" s="81" t="inlineStr">
        <is>
          <t>#A04828</t>
        </is>
      </c>
    </row>
    <row r="41">
      <c r="A41" s="81" t="inlineStr">
        <is>
          <t>NAME_BONE</t>
        </is>
      </c>
      <c r="B41" s="81" t="n">
        <v>35</v>
      </c>
      <c r="C41" s="81" t="inlineStr">
        <is>
          <t>Name colour</t>
        </is>
      </c>
      <c r="D41" s="81" t="inlineStr">
        <is>
          <t>Bone Name</t>
        </is>
      </c>
      <c r="E41" s="81" t="inlineStr">
        <is>
          <t>common</t>
        </is>
      </c>
      <c r="F41" s="81" t="inlineStr">
        <is>
          <t>#E3DAC9</t>
        </is>
      </c>
    </row>
    <row r="42">
      <c r="A42" s="81" t="inlineStr">
        <is>
          <t>TINT_TEAL</t>
        </is>
      </c>
      <c r="B42" s="81" t="n">
        <v>36</v>
      </c>
      <c r="C42" s="81" t="inlineStr">
        <is>
          <t>Gun tint</t>
        </is>
      </c>
      <c r="D42" s="81" t="inlineStr">
        <is>
          <t>Teal Tint</t>
        </is>
      </c>
      <c r="E42" s="81" t="inlineStr">
        <is>
          <t>common</t>
        </is>
      </c>
      <c r="F42" s="81" t="inlineStr">
        <is>
          <t>#288080</t>
        </is>
      </c>
    </row>
    <row r="43">
      <c r="A43" s="81" t="inlineStr">
        <is>
          <t>TRACER_PLUM</t>
        </is>
      </c>
      <c r="B43" s="81" t="n">
        <v>37</v>
      </c>
      <c r="C43" s="81" t="inlineStr">
        <is>
          <t>Tracer colour</t>
        </is>
      </c>
      <c r="D43" s="81" t="inlineStr">
        <is>
          <t>Plum Tracers</t>
        </is>
      </c>
      <c r="E43" s="81" t="inlineStr">
        <is>
          <t>common</t>
        </is>
      </c>
      <c r="F43" s="81" t="inlineStr">
        <is>
          <t>#823C64</t>
        </is>
      </c>
    </row>
    <row r="44">
      <c r="A44" s="81" t="inlineStr">
        <is>
          <t>SIGHT_SAND</t>
        </is>
      </c>
      <c r="B44" s="81" t="n">
        <v>38</v>
      </c>
      <c r="C44" s="81" t="inlineStr">
        <is>
          <t>Crosshair colour</t>
        </is>
      </c>
      <c r="D44" s="81" t="inlineStr">
        <is>
          <t>Sand Sights</t>
        </is>
      </c>
      <c r="E44" s="81" t="inlineStr">
        <is>
          <t>common</t>
        </is>
      </c>
      <c r="F44" s="81" t="inlineStr">
        <is>
          <t>#C2B280</t>
        </is>
      </c>
    </row>
    <row r="45">
      <c r="A45" s="81" t="inlineStr">
        <is>
          <t>FLAG_CLAY</t>
        </is>
      </c>
      <c r="B45" s="81" t="n">
        <v>39</v>
      </c>
      <c r="C45" s="81" t="inlineStr">
        <is>
          <t>Tower flag</t>
        </is>
      </c>
      <c r="D45" s="81" t="inlineStr">
        <is>
          <t>Clay Flag</t>
        </is>
      </c>
      <c r="E45" s="81" t="inlineStr">
        <is>
          <t>common</t>
        </is>
      </c>
      <c r="F45" s="81" t="inlineStr">
        <is>
          <t>#B0684A</t>
        </is>
      </c>
    </row>
    <row r="46">
      <c r="A46" s="81" t="inlineStr">
        <is>
          <t>TRAIL_DUST</t>
        </is>
      </c>
      <c r="B46" s="81" t="n">
        <v>40</v>
      </c>
      <c r="C46" s="81" t="inlineStr">
        <is>
          <t>Sprint trail</t>
        </is>
      </c>
      <c r="D46" s="81" t="inlineStr">
        <is>
          <t>Dust Trail</t>
        </is>
      </c>
      <c r="E46" s="81" t="inlineStr">
        <is>
          <t>rare</t>
        </is>
      </c>
      <c r="F46" s="81" t="inlineStr">
        <is>
          <t>#C2A078</t>
        </is>
      </c>
    </row>
    <row r="47">
      <c r="A47" s="81" t="inlineStr">
        <is>
          <t>TITLE_40</t>
        </is>
      </c>
      <c r="B47" s="81" t="n">
        <v>40</v>
      </c>
      <c r="C47" s="81" t="inlineStr">
        <is>
          <t>Title</t>
        </is>
      </c>
      <c r="D47" s="81" t="inlineStr">
        <is>
          <t>Ranger</t>
        </is>
      </c>
      <c r="E47" s="81" t="inlineStr">
        <is>
          <t>title</t>
        </is>
      </c>
    </row>
    <row r="48">
      <c r="A48" s="81" t="inlineStr">
        <is>
          <t>BANNER_BONE</t>
        </is>
      </c>
      <c r="B48" s="81" t="n">
        <v>41</v>
      </c>
      <c r="C48" s="81" t="inlineStr">
        <is>
          <t>Leaderboard banner</t>
        </is>
      </c>
      <c r="D48" s="81" t="inlineStr">
        <is>
          <t>Bone Banner</t>
        </is>
      </c>
      <c r="E48" s="81" t="inlineStr">
        <is>
          <t>common</t>
        </is>
      </c>
      <c r="F48" s="81" t="inlineStr">
        <is>
          <t>#E3DAC9</t>
        </is>
      </c>
    </row>
    <row r="49">
      <c r="A49" s="81" t="inlineStr">
        <is>
          <t>NAME_ASH</t>
        </is>
      </c>
      <c r="B49" s="81" t="n">
        <v>42</v>
      </c>
      <c r="C49" s="81" t="inlineStr">
        <is>
          <t>Name colour</t>
        </is>
      </c>
      <c r="D49" s="81" t="inlineStr">
        <is>
          <t>Ash Name</t>
        </is>
      </c>
      <c r="E49" s="81" t="inlineStr">
        <is>
          <t>common</t>
        </is>
      </c>
      <c r="F49" s="81" t="inlineStr">
        <is>
          <t>#B2B2B2</t>
        </is>
      </c>
    </row>
    <row r="50">
      <c r="A50" s="81" t="inlineStr">
        <is>
          <t>TINT_SKY</t>
        </is>
      </c>
      <c r="B50" s="81" t="n">
        <v>43</v>
      </c>
      <c r="C50" s="81" t="inlineStr">
        <is>
          <t>Gun tint</t>
        </is>
      </c>
      <c r="D50" s="81" t="inlineStr">
        <is>
          <t>Sky Tint</t>
        </is>
      </c>
      <c r="E50" s="81" t="inlineStr">
        <is>
          <t>common</t>
        </is>
      </c>
      <c r="F50" s="81" t="inlineStr">
        <is>
          <t>#78B4E6</t>
        </is>
      </c>
    </row>
    <row r="51">
      <c r="A51" s="81" t="inlineStr">
        <is>
          <t>TRACER_ROSE</t>
        </is>
      </c>
      <c r="B51" s="81" t="n">
        <v>44</v>
      </c>
      <c r="C51" s="81" t="inlineStr">
        <is>
          <t>Tracer colour</t>
        </is>
      </c>
      <c r="D51" s="81" t="inlineStr">
        <is>
          <t>Rose Tracers</t>
        </is>
      </c>
      <c r="E51" s="81" t="inlineStr">
        <is>
          <t>common</t>
        </is>
      </c>
      <c r="F51" s="81" t="inlineStr">
        <is>
          <t>#DC8296</t>
        </is>
      </c>
    </row>
    <row r="52">
      <c r="A52" s="81" t="inlineStr">
        <is>
          <t>SIGHT_FERN</t>
        </is>
      </c>
      <c r="B52" s="81" t="n">
        <v>45</v>
      </c>
      <c r="C52" s="81" t="inlineStr">
        <is>
          <t>Crosshair colour</t>
        </is>
      </c>
      <c r="D52" s="81" t="inlineStr">
        <is>
          <t>Fern Sights</t>
        </is>
      </c>
      <c r="E52" s="81" t="inlineStr">
        <is>
          <t>common</t>
        </is>
      </c>
      <c r="F52" s="81" t="inlineStr">
        <is>
          <t>#4F7942</t>
        </is>
      </c>
    </row>
    <row r="53">
      <c r="A53" s="81" t="inlineStr">
        <is>
          <t>FLAG_OCHRE</t>
        </is>
      </c>
      <c r="B53" s="81" t="n">
        <v>46</v>
      </c>
      <c r="C53" s="81" t="inlineStr">
        <is>
          <t>Tower flag</t>
        </is>
      </c>
      <c r="D53" s="81" t="inlineStr">
        <is>
          <t>Ochre Flag</t>
        </is>
      </c>
      <c r="E53" s="81" t="inlineStr">
        <is>
          <t>common</t>
        </is>
      </c>
      <c r="F53" s="81" t="inlineStr">
        <is>
          <t>#CC7722</t>
        </is>
      </c>
    </row>
    <row r="54">
      <c r="A54" s="81" t="inlineStr">
        <is>
          <t>BANNER_ASH</t>
        </is>
      </c>
      <c r="B54" s="81" t="n">
        <v>47</v>
      </c>
      <c r="C54" s="81" t="inlineStr">
        <is>
          <t>Leaderboard banner</t>
        </is>
      </c>
      <c r="D54" s="81" t="inlineStr">
        <is>
          <t>Ash Banner</t>
        </is>
      </c>
      <c r="E54" s="81" t="inlineStr">
        <is>
          <t>common</t>
        </is>
      </c>
      <c r="F54" s="81" t="inlineStr">
        <is>
          <t>#B2B2B2</t>
        </is>
      </c>
    </row>
    <row r="55">
      <c r="A55" s="81" t="inlineStr">
        <is>
          <t>NAME_SLATE</t>
        </is>
      </c>
      <c r="B55" s="81" t="n">
        <v>48</v>
      </c>
      <c r="C55" s="81" t="inlineStr">
        <is>
          <t>Name colour</t>
        </is>
      </c>
      <c r="D55" s="81" t="inlineStr">
        <is>
          <t>Slate Name</t>
        </is>
      </c>
      <c r="E55" s="81" t="inlineStr">
        <is>
          <t>common</t>
        </is>
      </c>
      <c r="F55" s="81" t="inlineStr">
        <is>
          <t>#586373</t>
        </is>
      </c>
    </row>
    <row r="56">
      <c r="A56" s="81" t="inlineStr">
        <is>
          <t>TINT_DUSK</t>
        </is>
      </c>
      <c r="B56" s="81" t="n">
        <v>49</v>
      </c>
      <c r="C56" s="81" t="inlineStr">
        <is>
          <t>Gun tint</t>
        </is>
      </c>
      <c r="D56" s="81" t="inlineStr">
        <is>
          <t>Dusk Tint</t>
        </is>
      </c>
      <c r="E56" s="81" t="inlineStr">
        <is>
          <t>common</t>
        </is>
      </c>
      <c r="F56" s="81" t="inlineStr">
        <is>
          <t>#62508C</t>
        </is>
      </c>
    </row>
    <row r="57">
      <c r="A57" s="81" t="inlineStr">
        <is>
          <t>HAT_RANGER</t>
        </is>
      </c>
      <c r="B57" s="81" t="n">
        <v>50</v>
      </c>
      <c r="C57" s="81" t="inlineStr">
        <is>
          <t>Hunting hat</t>
        </is>
      </c>
      <c r="D57" s="81" t="inlineStr">
        <is>
          <t>Ranger Cap</t>
        </is>
      </c>
      <c r="E57" s="81" t="inlineStr">
        <is>
          <t>rare</t>
        </is>
      </c>
      <c r="F57" s="81" t="inlineStr">
        <is>
          <t>#963C32</t>
        </is>
      </c>
      <c r="G57" s="81" t="inlineStr">
        <is>
          <t>Fabric</t>
        </is>
      </c>
      <c r="H57" s="81" t="inlineStr">
        <is>
          <t>Cap</t>
        </is>
      </c>
    </row>
    <row r="58">
      <c r="A58" s="81" t="inlineStr">
        <is>
          <t>TITLE_50</t>
        </is>
      </c>
      <c r="B58" s="81" t="n">
        <v>50</v>
      </c>
      <c r="C58" s="81" t="inlineStr">
        <is>
          <t>Title</t>
        </is>
      </c>
      <c r="D58" s="81" t="inlineStr">
        <is>
          <t>Veteran Hunter</t>
        </is>
      </c>
      <c r="E58" s="81" t="inlineStr">
        <is>
          <t>title</t>
        </is>
      </c>
    </row>
    <row r="59">
      <c r="A59" s="81" t="inlineStr">
        <is>
          <t>TRACER_EMBER</t>
        </is>
      </c>
      <c r="B59" s="81" t="n">
        <v>51</v>
      </c>
      <c r="C59" s="81" t="inlineStr">
        <is>
          <t>Tracer colour</t>
        </is>
      </c>
      <c r="D59" s="81" t="inlineStr">
        <is>
          <t>Ember Tracers</t>
        </is>
      </c>
      <c r="E59" s="81" t="inlineStr">
        <is>
          <t>common</t>
        </is>
      </c>
      <c r="F59" s="81" t="inlineStr">
        <is>
          <t>#E65A32</t>
        </is>
      </c>
    </row>
    <row r="60">
      <c r="A60" s="81" t="inlineStr">
        <is>
          <t>SIGHT_MOSS</t>
        </is>
      </c>
      <c r="B60" s="81" t="n">
        <v>52</v>
      </c>
      <c r="C60" s="81" t="inlineStr">
        <is>
          <t>Crosshair colour</t>
        </is>
      </c>
      <c r="D60" s="81" t="inlineStr">
        <is>
          <t>Moss Sights</t>
        </is>
      </c>
      <c r="E60" s="81" t="inlineStr">
        <is>
          <t>common</t>
        </is>
      </c>
      <c r="F60" s="81" t="inlineStr">
        <is>
          <t>#8A9A5B</t>
        </is>
      </c>
    </row>
    <row r="61">
      <c r="A61" s="81" t="inlineStr">
        <is>
          <t>FLAG_RUST</t>
        </is>
      </c>
      <c r="B61" s="81" t="n">
        <v>53</v>
      </c>
      <c r="C61" s="81" t="inlineStr">
        <is>
          <t>Tower flag</t>
        </is>
      </c>
      <c r="D61" s="81" t="inlineStr">
        <is>
          <t>Rust Flag</t>
        </is>
      </c>
      <c r="E61" s="81" t="inlineStr">
        <is>
          <t>common</t>
        </is>
      </c>
      <c r="F61" s="81" t="inlineStr">
        <is>
          <t>#A04828</t>
        </is>
      </c>
    </row>
    <row r="62">
      <c r="A62" s="81" t="inlineStr">
        <is>
          <t>BANNER_SLATE</t>
        </is>
      </c>
      <c r="B62" s="81" t="n">
        <v>54</v>
      </c>
      <c r="C62" s="81" t="inlineStr">
        <is>
          <t>Leaderboard banner</t>
        </is>
      </c>
      <c r="D62" s="81" t="inlineStr">
        <is>
          <t>Slate Banner</t>
        </is>
      </c>
      <c r="E62" s="81" t="inlineStr">
        <is>
          <t>common</t>
        </is>
      </c>
      <c r="F62" s="81" t="inlineStr">
        <is>
          <t>#586373</t>
        </is>
      </c>
    </row>
    <row r="63">
      <c r="A63" s="81" t="inlineStr">
        <is>
          <t>NAME_TEAL</t>
        </is>
      </c>
      <c r="B63" s="81" t="n">
        <v>55</v>
      </c>
      <c r="C63" s="81" t="inlineStr">
        <is>
          <t>Name colour</t>
        </is>
      </c>
      <c r="D63" s="81" t="inlineStr">
        <is>
          <t>Teal Name</t>
        </is>
      </c>
      <c r="E63" s="81" t="inlineStr">
        <is>
          <t>common</t>
        </is>
      </c>
      <c r="F63" s="81" t="inlineStr">
        <is>
          <t>#288080</t>
        </is>
      </c>
    </row>
    <row r="64">
      <c r="A64" s="81" t="inlineStr">
        <is>
          <t>TINT_PLUM</t>
        </is>
      </c>
      <c r="B64" s="81" t="n">
        <v>56</v>
      </c>
      <c r="C64" s="81" t="inlineStr">
        <is>
          <t>Gun tint</t>
        </is>
      </c>
      <c r="D64" s="81" t="inlineStr">
        <is>
          <t>Plum Tint</t>
        </is>
      </c>
      <c r="E64" s="81" t="inlineStr">
        <is>
          <t>common</t>
        </is>
      </c>
      <c r="F64" s="81" t="inlineStr">
        <is>
          <t>#823C64</t>
        </is>
      </c>
    </row>
    <row r="65">
      <c r="A65" s="81" t="inlineStr">
        <is>
          <t>TRACER_SAND</t>
        </is>
      </c>
      <c r="B65" s="81" t="n">
        <v>57</v>
      </c>
      <c r="C65" s="81" t="inlineStr">
        <is>
          <t>Tracer colour</t>
        </is>
      </c>
      <c r="D65" s="81" t="inlineStr">
        <is>
          <t>Sand Tracers</t>
        </is>
      </c>
      <c r="E65" s="81" t="inlineStr">
        <is>
          <t>common</t>
        </is>
      </c>
      <c r="F65" s="81" t="inlineStr">
        <is>
          <t>#C2B280</t>
        </is>
      </c>
    </row>
    <row r="66">
      <c r="A66" s="81" t="inlineStr">
        <is>
          <t>SIGHT_CLAY</t>
        </is>
      </c>
      <c r="B66" s="81" t="n">
        <v>58</v>
      </c>
      <c r="C66" s="81" t="inlineStr">
        <is>
          <t>Crosshair colour</t>
        </is>
      </c>
      <c r="D66" s="81" t="inlineStr">
        <is>
          <t>Clay Sights</t>
        </is>
      </c>
      <c r="E66" s="81" t="inlineStr">
        <is>
          <t>common</t>
        </is>
      </c>
      <c r="F66" s="81" t="inlineStr">
        <is>
          <t>#B0684A</t>
        </is>
      </c>
    </row>
    <row r="67">
      <c r="A67" s="81" t="inlineStr">
        <is>
          <t>FLAG_BONE</t>
        </is>
      </c>
      <c r="B67" s="81" t="n">
        <v>59</v>
      </c>
      <c r="C67" s="81" t="inlineStr">
        <is>
          <t>Tower flag</t>
        </is>
      </c>
      <c r="D67" s="81" t="inlineStr">
        <is>
          <t>Bone Flag</t>
        </is>
      </c>
      <c r="E67" s="81" t="inlineStr">
        <is>
          <t>common</t>
        </is>
      </c>
      <c r="F67" s="81" t="inlineStr">
        <is>
          <t>#E3DAC9</t>
        </is>
      </c>
    </row>
    <row r="68">
      <c r="A68" s="81" t="inlineStr">
        <is>
          <t>GUN_BONE</t>
        </is>
      </c>
      <c r="B68" s="81" t="n">
        <v>60</v>
      </c>
      <c r="C68" s="81" t="inlineStr">
        <is>
          <t>Gun pattern</t>
        </is>
      </c>
      <c r="D68" s="81" t="inlineStr">
        <is>
          <t>Bone Inlay</t>
        </is>
      </c>
      <c r="E68" s="81" t="inlineStr">
        <is>
          <t>rare</t>
        </is>
      </c>
      <c r="F68" s="81" t="inlineStr">
        <is>
          <t>#E6DECD</t>
        </is>
      </c>
      <c r="G68" s="81" t="inlineStr">
        <is>
          <t>Marble</t>
        </is>
      </c>
    </row>
    <row r="69">
      <c r="A69" s="81" t="inlineStr">
        <is>
          <t>TITLE_60</t>
        </is>
      </c>
      <c r="B69" s="81" t="n">
        <v>60</v>
      </c>
      <c r="C69" s="81" t="inlineStr">
        <is>
          <t>Title</t>
        </is>
      </c>
      <c r="D69" s="81" t="inlineStr">
        <is>
          <t>Game Warden</t>
        </is>
      </c>
      <c r="E69" s="81" t="inlineStr">
        <is>
          <t>title</t>
        </is>
      </c>
    </row>
    <row r="70">
      <c r="A70" s="81" t="inlineStr">
        <is>
          <t>BANNER_TEAL</t>
        </is>
      </c>
      <c r="B70" s="81" t="n">
        <v>61</v>
      </c>
      <c r="C70" s="81" t="inlineStr">
        <is>
          <t>Leaderboard banner</t>
        </is>
      </c>
      <c r="D70" s="81" t="inlineStr">
        <is>
          <t>Teal Banner</t>
        </is>
      </c>
      <c r="E70" s="81" t="inlineStr">
        <is>
          <t>common</t>
        </is>
      </c>
      <c r="F70" s="81" t="inlineStr">
        <is>
          <t>#288080</t>
        </is>
      </c>
    </row>
    <row r="71">
      <c r="A71" s="81" t="inlineStr">
        <is>
          <t>NAME_SKY</t>
        </is>
      </c>
      <c r="B71" s="81" t="n">
        <v>62</v>
      </c>
      <c r="C71" s="81" t="inlineStr">
        <is>
          <t>Name colour</t>
        </is>
      </c>
      <c r="D71" s="81" t="inlineStr">
        <is>
          <t>Sky Name</t>
        </is>
      </c>
      <c r="E71" s="81" t="inlineStr">
        <is>
          <t>common</t>
        </is>
      </c>
      <c r="F71" s="81" t="inlineStr">
        <is>
          <t>#78B4E6</t>
        </is>
      </c>
    </row>
    <row r="72">
      <c r="A72" s="81" t="inlineStr">
        <is>
          <t>TINT_ROSE</t>
        </is>
      </c>
      <c r="B72" s="81" t="n">
        <v>63</v>
      </c>
      <c r="C72" s="81" t="inlineStr">
        <is>
          <t>Gun tint</t>
        </is>
      </c>
      <c r="D72" s="81" t="inlineStr">
        <is>
          <t>Rose Tint</t>
        </is>
      </c>
      <c r="E72" s="81" t="inlineStr">
        <is>
          <t>common</t>
        </is>
      </c>
      <c r="F72" s="81" t="inlineStr">
        <is>
          <t>#DC8296</t>
        </is>
      </c>
    </row>
    <row r="73">
      <c r="A73" s="81" t="inlineStr">
        <is>
          <t>TRACER_FERN</t>
        </is>
      </c>
      <c r="B73" s="81" t="n">
        <v>64</v>
      </c>
      <c r="C73" s="81" t="inlineStr">
        <is>
          <t>Tracer colour</t>
        </is>
      </c>
      <c r="D73" s="81" t="inlineStr">
        <is>
          <t>Fern Tracers</t>
        </is>
      </c>
      <c r="E73" s="81" t="inlineStr">
        <is>
          <t>common</t>
        </is>
      </c>
      <c r="F73" s="81" t="inlineStr">
        <is>
          <t>#4F7942</t>
        </is>
      </c>
    </row>
    <row r="74">
      <c r="A74" s="81" t="inlineStr">
        <is>
          <t>SIGHT_OCHRE</t>
        </is>
      </c>
      <c r="B74" s="81" t="n">
        <v>65</v>
      </c>
      <c r="C74" s="81" t="inlineStr">
        <is>
          <t>Crosshair colour</t>
        </is>
      </c>
      <c r="D74" s="81" t="inlineStr">
        <is>
          <t>Ochre Sights</t>
        </is>
      </c>
      <c r="E74" s="81" t="inlineStr">
        <is>
          <t>common</t>
        </is>
      </c>
      <c r="F74" s="81" t="inlineStr">
        <is>
          <t>#CC7722</t>
        </is>
      </c>
    </row>
    <row r="75">
      <c r="A75" s="81" t="inlineStr">
        <is>
          <t>FLAG_ASH</t>
        </is>
      </c>
      <c r="B75" s="81" t="n">
        <v>66</v>
      </c>
      <c r="C75" s="81" t="inlineStr">
        <is>
          <t>Tower flag</t>
        </is>
      </c>
      <c r="D75" s="81" t="inlineStr">
        <is>
          <t>Ash Flag</t>
        </is>
      </c>
      <c r="E75" s="81" t="inlineStr">
        <is>
          <t>common</t>
        </is>
      </c>
      <c r="F75" s="81" t="inlineStr">
        <is>
          <t>#B2B2B2</t>
        </is>
      </c>
    </row>
    <row r="76">
      <c r="A76" s="81" t="inlineStr">
        <is>
          <t>BANNER_SKY</t>
        </is>
      </c>
      <c r="B76" s="81" t="n">
        <v>67</v>
      </c>
      <c r="C76" s="81" t="inlineStr">
        <is>
          <t>Leaderboard banner</t>
        </is>
      </c>
      <c r="D76" s="81" t="inlineStr">
        <is>
          <t>Sky Banner</t>
        </is>
      </c>
      <c r="E76" s="81" t="inlineStr">
        <is>
          <t>common</t>
        </is>
      </c>
      <c r="F76" s="81" t="inlineStr">
        <is>
          <t>#78B4E6</t>
        </is>
      </c>
    </row>
    <row r="77">
      <c r="A77" s="81" t="inlineStr">
        <is>
          <t>NAME_DUSK</t>
        </is>
      </c>
      <c r="B77" s="81" t="n">
        <v>68</v>
      </c>
      <c r="C77" s="81" t="inlineStr">
        <is>
          <t>Name colour</t>
        </is>
      </c>
      <c r="D77" s="81" t="inlineStr">
        <is>
          <t>Dusk Name</t>
        </is>
      </c>
      <c r="E77" s="81" t="inlineStr">
        <is>
          <t>common</t>
        </is>
      </c>
      <c r="F77" s="81" t="inlineStr">
        <is>
          <t>#62508C</t>
        </is>
      </c>
    </row>
    <row r="78">
      <c r="A78" s="81" t="inlineStr">
        <is>
          <t>TINT_EMBER</t>
        </is>
      </c>
      <c r="B78" s="81" t="n">
        <v>69</v>
      </c>
      <c r="C78" s="81" t="inlineStr">
        <is>
          <t>Gun tint</t>
        </is>
      </c>
      <c r="D78" s="81" t="inlineStr">
        <is>
          <t>Ember Tint</t>
        </is>
      </c>
      <c r="E78" s="81" t="inlineStr">
        <is>
          <t>common</t>
        </is>
      </c>
      <c r="F78" s="81" t="inlineStr">
        <is>
          <t>#E65A32</t>
        </is>
      </c>
    </row>
    <row r="79">
      <c r="A79" s="81" t="inlineStr">
        <is>
          <t>MARK_STAR</t>
        </is>
      </c>
      <c r="B79" s="81" t="n">
        <v>70</v>
      </c>
      <c r="C79" s="81" t="inlineStr">
        <is>
          <t>Hit-marker</t>
        </is>
      </c>
      <c r="D79" s="81" t="inlineStr">
        <is>
          <t>Claw Marker</t>
        </is>
      </c>
      <c r="E79" s="81" t="inlineStr">
        <is>
          <t>rare</t>
        </is>
      </c>
      <c r="F79" s="81" t="inlineStr">
        <is>
          <t>#78C8F0</t>
        </is>
      </c>
      <c r="H79" s="81" t="inlineStr">
        <is>
          <t>Star</t>
        </is>
      </c>
    </row>
    <row r="80">
      <c r="A80" s="81" t="inlineStr">
        <is>
          <t>TITLE_70</t>
        </is>
      </c>
      <c r="B80" s="81" t="n">
        <v>70</v>
      </c>
      <c r="C80" s="81" t="inlineStr">
        <is>
          <t>Title</t>
        </is>
      </c>
      <c r="D80" s="81" t="inlineStr">
        <is>
          <t>Pathfinder</t>
        </is>
      </c>
      <c r="E80" s="81" t="inlineStr">
        <is>
          <t>title</t>
        </is>
      </c>
    </row>
    <row r="81">
      <c r="A81" s="81" t="inlineStr">
        <is>
          <t>TRACER_MOSS</t>
        </is>
      </c>
      <c r="B81" s="81" t="n">
        <v>71</v>
      </c>
      <c r="C81" s="81" t="inlineStr">
        <is>
          <t>Tracer colour</t>
        </is>
      </c>
      <c r="D81" s="81" t="inlineStr">
        <is>
          <t>Moss Tracers</t>
        </is>
      </c>
      <c r="E81" s="81" t="inlineStr">
        <is>
          <t>common</t>
        </is>
      </c>
      <c r="F81" s="81" t="inlineStr">
        <is>
          <t>#8A9A5B</t>
        </is>
      </c>
    </row>
    <row r="82">
      <c r="A82" s="81" t="inlineStr">
        <is>
          <t>SIGHT_RUST</t>
        </is>
      </c>
      <c r="B82" s="81" t="n">
        <v>72</v>
      </c>
      <c r="C82" s="81" t="inlineStr">
        <is>
          <t>Crosshair colour</t>
        </is>
      </c>
      <c r="D82" s="81" t="inlineStr">
        <is>
          <t>Rust Sights</t>
        </is>
      </c>
      <c r="E82" s="81" t="inlineStr">
        <is>
          <t>common</t>
        </is>
      </c>
      <c r="F82" s="81" t="inlineStr">
        <is>
          <t>#A04828</t>
        </is>
      </c>
    </row>
    <row r="83">
      <c r="A83" s="81" t="inlineStr">
        <is>
          <t>FLAG_SLATE</t>
        </is>
      </c>
      <c r="B83" s="81" t="n">
        <v>73</v>
      </c>
      <c r="C83" s="81" t="inlineStr">
        <is>
          <t>Tower flag</t>
        </is>
      </c>
      <c r="D83" s="81" t="inlineStr">
        <is>
          <t>Slate Flag</t>
        </is>
      </c>
      <c r="E83" s="81" t="inlineStr">
        <is>
          <t>common</t>
        </is>
      </c>
      <c r="F83" s="81" t="inlineStr">
        <is>
          <t>#586373</t>
        </is>
      </c>
    </row>
    <row r="84">
      <c r="A84" s="81" t="inlineStr">
        <is>
          <t>BANNER_DUSK</t>
        </is>
      </c>
      <c r="B84" s="81" t="n">
        <v>74</v>
      </c>
      <c r="C84" s="81" t="inlineStr">
        <is>
          <t>Leaderboard banner</t>
        </is>
      </c>
      <c r="D84" s="81" t="inlineStr">
        <is>
          <t>Dusk Banner</t>
        </is>
      </c>
      <c r="E84" s="81" t="inlineStr">
        <is>
          <t>common</t>
        </is>
      </c>
      <c r="F84" s="81" t="inlineStr">
        <is>
          <t>#62508C</t>
        </is>
      </c>
    </row>
    <row r="85">
      <c r="A85" s="81" t="inlineStr">
        <is>
          <t>NAME_PLUM</t>
        </is>
      </c>
      <c r="B85" s="81" t="n">
        <v>75</v>
      </c>
      <c r="C85" s="81" t="inlineStr">
        <is>
          <t>Name colour</t>
        </is>
      </c>
      <c r="D85" s="81" t="inlineStr">
        <is>
          <t>Plum Name</t>
        </is>
      </c>
      <c r="E85" s="81" t="inlineStr">
        <is>
          <t>common</t>
        </is>
      </c>
      <c r="F85" s="81" t="inlineStr">
        <is>
          <t>#823C64</t>
        </is>
      </c>
    </row>
    <row r="86">
      <c r="A86" s="81" t="inlineStr">
        <is>
          <t>TINT_SAND</t>
        </is>
      </c>
      <c r="B86" s="81" t="n">
        <v>76</v>
      </c>
      <c r="C86" s="81" t="inlineStr">
        <is>
          <t>Gun tint</t>
        </is>
      </c>
      <c r="D86" s="81" t="inlineStr">
        <is>
          <t>Sand Tint</t>
        </is>
      </c>
      <c r="E86" s="81" t="inlineStr">
        <is>
          <t>common</t>
        </is>
      </c>
      <c r="F86" s="81" t="inlineStr">
        <is>
          <t>#C2B280</t>
        </is>
      </c>
    </row>
    <row r="87">
      <c r="A87" s="81" t="inlineStr">
        <is>
          <t>TRACER_CLAY</t>
        </is>
      </c>
      <c r="B87" s="81" t="n">
        <v>77</v>
      </c>
      <c r="C87" s="81" t="inlineStr">
        <is>
          <t>Tracer colour</t>
        </is>
      </c>
      <c r="D87" s="81" t="inlineStr">
        <is>
          <t>Clay Tracers</t>
        </is>
      </c>
      <c r="E87" s="81" t="inlineStr">
        <is>
          <t>common</t>
        </is>
      </c>
      <c r="F87" s="81" t="inlineStr">
        <is>
          <t>#B0684A</t>
        </is>
      </c>
    </row>
    <row r="88">
      <c r="A88" s="81" t="inlineStr">
        <is>
          <t>SIGHT_BONE</t>
        </is>
      </c>
      <c r="B88" s="81" t="n">
        <v>78</v>
      </c>
      <c r="C88" s="81" t="inlineStr">
        <is>
          <t>Crosshair colour</t>
        </is>
      </c>
      <c r="D88" s="81" t="inlineStr">
        <is>
          <t>Bone Sights</t>
        </is>
      </c>
      <c r="E88" s="81" t="inlineStr">
        <is>
          <t>common</t>
        </is>
      </c>
      <c r="F88" s="81" t="inlineStr">
        <is>
          <t>#E3DAC9</t>
        </is>
      </c>
    </row>
    <row r="89">
      <c r="A89" s="81" t="inlineStr">
        <is>
          <t>FLAG_TEAL</t>
        </is>
      </c>
      <c r="B89" s="81" t="n">
        <v>79</v>
      </c>
      <c r="C89" s="81" t="inlineStr">
        <is>
          <t>Tower flag</t>
        </is>
      </c>
      <c r="D89" s="81" t="inlineStr">
        <is>
          <t>Teal Flag</t>
        </is>
      </c>
      <c r="E89" s="81" t="inlineStr">
        <is>
          <t>common</t>
        </is>
      </c>
      <c r="F89" s="81" t="inlineStr">
        <is>
          <t>#288080</t>
        </is>
      </c>
    </row>
    <row r="90">
      <c r="A90" s="81" t="inlineStr">
        <is>
          <t>TRAIL_FERN</t>
        </is>
      </c>
      <c r="B90" s="81" t="n">
        <v>80</v>
      </c>
      <c r="C90" s="81" t="inlineStr">
        <is>
          <t>Sprint trail</t>
        </is>
      </c>
      <c r="D90" s="81" t="inlineStr">
        <is>
          <t>Footprint Trail</t>
        </is>
      </c>
      <c r="E90" s="81" t="inlineStr">
        <is>
          <t>rare</t>
        </is>
      </c>
      <c r="F90" s="81" t="inlineStr">
        <is>
          <t>#64AA5A</t>
        </is>
      </c>
    </row>
    <row r="91">
      <c r="A91" s="81" t="inlineStr">
        <is>
          <t>TITLE_80</t>
        </is>
      </c>
      <c r="B91" s="81" t="n">
        <v>80</v>
      </c>
      <c r="C91" s="81" t="inlineStr">
        <is>
          <t>Title</t>
        </is>
      </c>
      <c r="D91" s="81" t="inlineStr">
        <is>
          <t>Raptor Bane</t>
        </is>
      </c>
      <c r="E91" s="81" t="inlineStr">
        <is>
          <t>title</t>
        </is>
      </c>
    </row>
    <row r="92">
      <c r="A92" s="81" t="inlineStr">
        <is>
          <t>BANNER_PLUM</t>
        </is>
      </c>
      <c r="B92" s="81" t="n">
        <v>81</v>
      </c>
      <c r="C92" s="81" t="inlineStr">
        <is>
          <t>Leaderboard banner</t>
        </is>
      </c>
      <c r="D92" s="81" t="inlineStr">
        <is>
          <t>Plum Banner</t>
        </is>
      </c>
      <c r="E92" s="81" t="inlineStr">
        <is>
          <t>common</t>
        </is>
      </c>
      <c r="F92" s="81" t="inlineStr">
        <is>
          <t>#823C64</t>
        </is>
      </c>
    </row>
    <row r="93">
      <c r="A93" s="81" t="inlineStr">
        <is>
          <t>NAME_ROSE</t>
        </is>
      </c>
      <c r="B93" s="81" t="n">
        <v>82</v>
      </c>
      <c r="C93" s="81" t="inlineStr">
        <is>
          <t>Name colour</t>
        </is>
      </c>
      <c r="D93" s="81" t="inlineStr">
        <is>
          <t>Rose Name</t>
        </is>
      </c>
      <c r="E93" s="81" t="inlineStr">
        <is>
          <t>common</t>
        </is>
      </c>
      <c r="F93" s="81" t="inlineStr">
        <is>
          <t>#DC8296</t>
        </is>
      </c>
    </row>
    <row r="94">
      <c r="A94" s="81" t="inlineStr">
        <is>
          <t>TINT_FERN</t>
        </is>
      </c>
      <c r="B94" s="81" t="n">
        <v>83</v>
      </c>
      <c r="C94" s="81" t="inlineStr">
        <is>
          <t>Gun tint</t>
        </is>
      </c>
      <c r="D94" s="81" t="inlineStr">
        <is>
          <t>Fern Tint</t>
        </is>
      </c>
      <c r="E94" s="81" t="inlineStr">
        <is>
          <t>common</t>
        </is>
      </c>
      <c r="F94" s="81" t="inlineStr">
        <is>
          <t>#4F7942</t>
        </is>
      </c>
    </row>
    <row r="95">
      <c r="A95" s="81" t="inlineStr">
        <is>
          <t>TRACER_OCHRE</t>
        </is>
      </c>
      <c r="B95" s="81" t="n">
        <v>84</v>
      </c>
      <c r="C95" s="81" t="inlineStr">
        <is>
          <t>Tracer colour</t>
        </is>
      </c>
      <c r="D95" s="81" t="inlineStr">
        <is>
          <t>Ochre Tracers</t>
        </is>
      </c>
      <c r="E95" s="81" t="inlineStr">
        <is>
          <t>common</t>
        </is>
      </c>
      <c r="F95" s="81" t="inlineStr">
        <is>
          <t>#CC7722</t>
        </is>
      </c>
    </row>
    <row r="96">
      <c r="A96" s="81" t="inlineStr">
        <is>
          <t>SIGHT_ASH</t>
        </is>
      </c>
      <c r="B96" s="81" t="n">
        <v>85</v>
      </c>
      <c r="C96" s="81" t="inlineStr">
        <is>
          <t>Crosshair colour</t>
        </is>
      </c>
      <c r="D96" s="81" t="inlineStr">
        <is>
          <t>Ash Sights</t>
        </is>
      </c>
      <c r="E96" s="81" t="inlineStr">
        <is>
          <t>common</t>
        </is>
      </c>
      <c r="F96" s="81" t="inlineStr">
        <is>
          <t>#B2B2B2</t>
        </is>
      </c>
    </row>
    <row r="97">
      <c r="A97" s="81" t="inlineStr">
        <is>
          <t>FLAG_SKY</t>
        </is>
      </c>
      <c r="B97" s="81" t="n">
        <v>86</v>
      </c>
      <c r="C97" s="81" t="inlineStr">
        <is>
          <t>Tower flag</t>
        </is>
      </c>
      <c r="D97" s="81" t="inlineStr">
        <is>
          <t>Sky Flag</t>
        </is>
      </c>
      <c r="E97" s="81" t="inlineStr">
        <is>
          <t>common</t>
        </is>
      </c>
      <c r="F97" s="81" t="inlineStr">
        <is>
          <t>#78B4E6</t>
        </is>
      </c>
    </row>
    <row r="98">
      <c r="A98" s="81" t="inlineStr">
        <is>
          <t>BANNER_ROSE</t>
        </is>
      </c>
      <c r="B98" s="81" t="n">
        <v>87</v>
      </c>
      <c r="C98" s="81" t="inlineStr">
        <is>
          <t>Leaderboard banner</t>
        </is>
      </c>
      <c r="D98" s="81" t="inlineStr">
        <is>
          <t>Rose Banner</t>
        </is>
      </c>
      <c r="E98" s="81" t="inlineStr">
        <is>
          <t>common</t>
        </is>
      </c>
      <c r="F98" s="81" t="inlineStr">
        <is>
          <t>#DC8296</t>
        </is>
      </c>
    </row>
    <row r="99">
      <c r="A99" s="81" t="inlineStr">
        <is>
          <t>NAME_EMBER</t>
        </is>
      </c>
      <c r="B99" s="81" t="n">
        <v>88</v>
      </c>
      <c r="C99" s="81" t="inlineStr">
        <is>
          <t>Name colour</t>
        </is>
      </c>
      <c r="D99" s="81" t="inlineStr">
        <is>
          <t>Ember Name</t>
        </is>
      </c>
      <c r="E99" s="81" t="inlineStr">
        <is>
          <t>common</t>
        </is>
      </c>
      <c r="F99" s="81" t="inlineStr">
        <is>
          <t>#E65A32</t>
        </is>
      </c>
    </row>
    <row r="100">
      <c r="A100" s="81" t="inlineStr">
        <is>
          <t>TINT_MOSS</t>
        </is>
      </c>
      <c r="B100" s="81" t="n">
        <v>89</v>
      </c>
      <c r="C100" s="81" t="inlineStr">
        <is>
          <t>Gun tint</t>
        </is>
      </c>
      <c r="D100" s="81" t="inlineStr">
        <is>
          <t>Moss Tint</t>
        </is>
      </c>
      <c r="E100" s="81" t="inlineStr">
        <is>
          <t>common</t>
        </is>
      </c>
      <c r="F100" s="81" t="inlineStr">
        <is>
          <t>#8A9A5B</t>
        </is>
      </c>
    </row>
    <row r="101">
      <c r="A101" s="81" t="inlineStr">
        <is>
          <t>HAT_CREST</t>
        </is>
      </c>
      <c r="B101" s="81" t="n">
        <v>90</v>
      </c>
      <c r="C101" s="81" t="inlineStr">
        <is>
          <t>Hunting hat</t>
        </is>
      </c>
      <c r="D101" s="81" t="inlineStr">
        <is>
          <t>Crest Helm</t>
        </is>
      </c>
      <c r="E101" s="81" t="inlineStr">
        <is>
          <t>rare</t>
        </is>
      </c>
      <c r="F101" s="81" t="inlineStr">
        <is>
          <t>#6E737D</t>
        </is>
      </c>
      <c r="G101" s="81" t="inlineStr">
        <is>
          <t>Metal</t>
        </is>
      </c>
      <c r="H101" s="81" t="inlineStr">
        <is>
          <t>Crest</t>
        </is>
      </c>
    </row>
    <row r="102">
      <c r="A102" s="81" t="inlineStr">
        <is>
          <t>TITLE_90</t>
        </is>
      </c>
      <c r="B102" s="81" t="n">
        <v>90</v>
      </c>
      <c r="C102" s="81" t="inlineStr">
        <is>
          <t>Title</t>
        </is>
      </c>
      <c r="D102" s="81" t="inlineStr">
        <is>
          <t>Rex Wrangler</t>
        </is>
      </c>
      <c r="E102" s="81" t="inlineStr">
        <is>
          <t>title</t>
        </is>
      </c>
    </row>
    <row r="103">
      <c r="A103" s="81" t="inlineStr">
        <is>
          <t>TRACER_RUST</t>
        </is>
      </c>
      <c r="B103" s="81" t="n">
        <v>91</v>
      </c>
      <c r="C103" s="81" t="inlineStr">
        <is>
          <t>Tracer colour</t>
        </is>
      </c>
      <c r="D103" s="81" t="inlineStr">
        <is>
          <t>Rust Tracers</t>
        </is>
      </c>
      <c r="E103" s="81" t="inlineStr">
        <is>
          <t>common</t>
        </is>
      </c>
      <c r="F103" s="81" t="inlineStr">
        <is>
          <t>#A04828</t>
        </is>
      </c>
    </row>
    <row r="104">
      <c r="A104" s="81" t="inlineStr">
        <is>
          <t>SIGHT_SLATE</t>
        </is>
      </c>
      <c r="B104" s="81" t="n">
        <v>92</v>
      </c>
      <c r="C104" s="81" t="inlineStr">
        <is>
          <t>Crosshair colour</t>
        </is>
      </c>
      <c r="D104" s="81" t="inlineStr">
        <is>
          <t>Slate Sights</t>
        </is>
      </c>
      <c r="E104" s="81" t="inlineStr">
        <is>
          <t>common</t>
        </is>
      </c>
      <c r="F104" s="81" t="inlineStr">
        <is>
          <t>#586373</t>
        </is>
      </c>
    </row>
    <row r="105">
      <c r="A105" s="81" t="inlineStr">
        <is>
          <t>FLAG_DUSK</t>
        </is>
      </c>
      <c r="B105" s="81" t="n">
        <v>93</v>
      </c>
      <c r="C105" s="81" t="inlineStr">
        <is>
          <t>Tower flag</t>
        </is>
      </c>
      <c r="D105" s="81" t="inlineStr">
        <is>
          <t>Dusk Flag</t>
        </is>
      </c>
      <c r="E105" s="81" t="inlineStr">
        <is>
          <t>common</t>
        </is>
      </c>
      <c r="F105" s="81" t="inlineStr">
        <is>
          <t>#62508C</t>
        </is>
      </c>
    </row>
    <row r="106">
      <c r="A106" s="81" t="inlineStr">
        <is>
          <t>BANNER_EMBER</t>
        </is>
      </c>
      <c r="B106" s="81" t="n">
        <v>94</v>
      </c>
      <c r="C106" s="81" t="inlineStr">
        <is>
          <t>Leaderboard banner</t>
        </is>
      </c>
      <c r="D106" s="81" t="inlineStr">
        <is>
          <t>Ember Banner</t>
        </is>
      </c>
      <c r="E106" s="81" t="inlineStr">
        <is>
          <t>common</t>
        </is>
      </c>
      <c r="F106" s="81" t="inlineStr">
        <is>
          <t>#E65A32</t>
        </is>
      </c>
    </row>
    <row r="107">
      <c r="A107" s="81" t="inlineStr">
        <is>
          <t>NAME_SAND</t>
        </is>
      </c>
      <c r="B107" s="81" t="n">
        <v>95</v>
      </c>
      <c r="C107" s="81" t="inlineStr">
        <is>
          <t>Name colour</t>
        </is>
      </c>
      <c r="D107" s="81" t="inlineStr">
        <is>
          <t>Sand Name</t>
        </is>
      </c>
      <c r="E107" s="81" t="inlineStr">
        <is>
          <t>common</t>
        </is>
      </c>
      <c r="F107" s="81" t="inlineStr">
        <is>
          <t>#C2B280</t>
        </is>
      </c>
    </row>
    <row r="108">
      <c r="A108" s="81" t="inlineStr">
        <is>
          <t>TINT_CLAY</t>
        </is>
      </c>
      <c r="B108" s="81" t="n">
        <v>96</v>
      </c>
      <c r="C108" s="81" t="inlineStr">
        <is>
          <t>Gun tint</t>
        </is>
      </c>
      <c r="D108" s="81" t="inlineStr">
        <is>
          <t>Clay Tint</t>
        </is>
      </c>
      <c r="E108" s="81" t="inlineStr">
        <is>
          <t>common</t>
        </is>
      </c>
      <c r="F108" s="81" t="inlineStr">
        <is>
          <t>#B0684A</t>
        </is>
      </c>
    </row>
    <row r="109">
      <c r="A109" s="81" t="inlineStr">
        <is>
          <t>TRACER_BONE</t>
        </is>
      </c>
      <c r="B109" s="81" t="n">
        <v>97</v>
      </c>
      <c r="C109" s="81" t="inlineStr">
        <is>
          <t>Tracer colour</t>
        </is>
      </c>
      <c r="D109" s="81" t="inlineStr">
        <is>
          <t>Bone Tracers</t>
        </is>
      </c>
      <c r="E109" s="81" t="inlineStr">
        <is>
          <t>common</t>
        </is>
      </c>
      <c r="F109" s="81" t="inlineStr">
        <is>
          <t>#E3DAC9</t>
        </is>
      </c>
    </row>
    <row r="110">
      <c r="A110" s="81" t="inlineStr">
        <is>
          <t>SIGHT_TEAL</t>
        </is>
      </c>
      <c r="B110" s="81" t="n">
        <v>98</v>
      </c>
      <c r="C110" s="81" t="inlineStr">
        <is>
          <t>Crosshair colour</t>
        </is>
      </c>
      <c r="D110" s="81" t="inlineStr">
        <is>
          <t>Teal Sights</t>
        </is>
      </c>
      <c r="E110" s="81" t="inlineStr">
        <is>
          <t>common</t>
        </is>
      </c>
      <c r="F110" s="81" t="inlineStr">
        <is>
          <t>#288080</t>
        </is>
      </c>
    </row>
    <row r="111">
      <c r="A111" s="81" t="inlineStr">
        <is>
          <t>FLAG_PLUM</t>
        </is>
      </c>
      <c r="B111" s="81" t="n">
        <v>99</v>
      </c>
      <c r="C111" s="81" t="inlineStr">
        <is>
          <t>Tower flag</t>
        </is>
      </c>
      <c r="D111" s="81" t="inlineStr">
        <is>
          <t>Plum Flag</t>
        </is>
      </c>
      <c r="E111" s="81" t="inlineStr">
        <is>
          <t>common</t>
        </is>
      </c>
      <c r="F111" s="81" t="inlineStr">
        <is>
          <t>#823C64</t>
        </is>
      </c>
    </row>
    <row r="112">
      <c r="A112" s="81" t="inlineStr">
        <is>
          <t>GUN_SCALE</t>
        </is>
      </c>
      <c r="B112" s="81" t="n">
        <v>100</v>
      </c>
      <c r="C112" s="81" t="inlineStr">
        <is>
          <t>Gun pattern</t>
        </is>
      </c>
      <c r="D112" s="81" t="inlineStr">
        <is>
          <t>Raptor Scale</t>
        </is>
      </c>
      <c r="E112" s="81" t="inlineStr">
        <is>
          <t>rare</t>
        </is>
      </c>
      <c r="F112" s="81" t="inlineStr">
        <is>
          <t>#3C6E5A</t>
        </is>
      </c>
      <c r="G112" s="81" t="inlineStr">
        <is>
          <t>Slate</t>
        </is>
      </c>
    </row>
    <row r="113">
      <c r="A113" s="81" t="inlineStr">
        <is>
          <t>TITLE_100</t>
        </is>
      </c>
      <c r="B113" s="81" t="n">
        <v>100</v>
      </c>
      <c r="C113" s="81" t="inlineStr">
        <is>
          <t>Title</t>
        </is>
      </c>
      <c r="D113" s="81" t="inlineStr">
        <is>
          <t>Master Hunter</t>
        </is>
      </c>
      <c r="E113" s="81" t="inlineStr">
        <is>
          <t>title</t>
        </is>
      </c>
    </row>
    <row r="114">
      <c r="A114" s="81" t="inlineStr">
        <is>
          <t>SET_TARPIT</t>
        </is>
      </c>
      <c r="B114" s="81" t="n">
        <v>150</v>
      </c>
      <c r="C114" s="81" t="inlineStr">
        <is>
          <t>Animated set</t>
        </is>
      </c>
      <c r="D114" s="81" t="inlineStr">
        <is>
          <t>Volcano Set</t>
        </is>
      </c>
      <c r="E114" s="81" t="inlineStr">
        <is>
          <t>legendary</t>
        </is>
      </c>
      <c r="F114" s="81" t="inlineStr">
        <is>
          <t>#281E32</t>
        </is>
      </c>
      <c r="G114" s="81" t="inlineStr">
        <is>
          <t>Foil</t>
        </is>
      </c>
      <c r="H114" s="81" t="inlineStr">
        <is>
          <t>Pulse</t>
        </is>
      </c>
    </row>
    <row r="115">
      <c r="A115" s="81" t="inlineStr">
        <is>
          <t>TITLE_150</t>
        </is>
      </c>
      <c r="B115" s="81" t="n">
        <v>150</v>
      </c>
      <c r="C115" s="81" t="inlineStr">
        <is>
          <t>Title</t>
        </is>
      </c>
      <c r="D115" s="81" t="inlineStr">
        <is>
          <t>Fossil Legend</t>
        </is>
      </c>
      <c r="E115" s="81" t="inlineStr">
        <is>
          <t>title</t>
        </is>
      </c>
    </row>
    <row r="116">
      <c r="A116" s="81" t="inlineStr">
        <is>
          <t>SET_METEOR</t>
        </is>
      </c>
      <c r="B116" s="81" t="n">
        <v>200</v>
      </c>
      <c r="C116" s="81" t="inlineStr">
        <is>
          <t>Animated set</t>
        </is>
      </c>
      <c r="D116" s="81" t="inlineStr">
        <is>
          <t>Meteor Set</t>
        </is>
      </c>
      <c r="E116" s="81" t="inlineStr">
        <is>
          <t>legendary</t>
        </is>
      </c>
      <c r="F116" s="81" t="inlineStr">
        <is>
          <t>#FF6E28</t>
        </is>
      </c>
      <c r="G116" s="81" t="inlineStr">
        <is>
          <t>Glass</t>
        </is>
      </c>
      <c r="H116" s="81" t="inlineStr">
        <is>
          <t>Cycle</t>
        </is>
      </c>
    </row>
    <row r="117">
      <c r="A117" s="81" t="inlineStr">
        <is>
          <t>TITLE_200</t>
        </is>
      </c>
      <c r="B117" s="81" t="n">
        <v>200</v>
      </c>
      <c r="C117" s="81" t="inlineStr">
        <is>
          <t>Title</t>
        </is>
      </c>
      <c r="D117" s="81" t="inlineStr">
        <is>
          <t>Meteor Hunter</t>
        </is>
      </c>
      <c r="E117" s="81" t="inlineStr">
        <is>
          <t>title</t>
        </is>
      </c>
    </row>
    <row r="118">
      <c r="A118" s="81" t="inlineStr">
        <is>
          <t>TITLE_ELDER</t>
        </is>
      </c>
      <c r="B118" s="81" t="n">
        <v>250</v>
      </c>
      <c r="C118" s="81" t="inlineStr">
        <is>
          <t>Title</t>
        </is>
      </c>
      <c r="D118" s="81" t="inlineStr">
        <is>
          <t>Elder Hunter {n}</t>
        </is>
      </c>
      <c r="E118" s="81" t="inlineStr">
        <is>
          <t>title</t>
        </is>
      </c>
      <c r="I118" s="81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style="90" min="1" max="1"/>
    <col width="24" customWidth="1" style="90" min="2" max="2"/>
    <col width="10" customWidth="1" style="90" min="3" max="3"/>
    <col width="20" customWidth="1" style="90" min="4" max="4"/>
  </cols>
  <sheetData>
    <row r="1">
      <c r="A1" s="2" t="inlineStr">
        <is>
          <t>ARENAS — ranked Trophy gates (names: Dino review Round 16, DECISIONS #229; PLAN T81)</t>
        </is>
      </c>
    </row>
    <row r="2">
      <c r="A2" s="5" t="inlineStr">
        <is>
          <t>One row per arena, lowest first. Floor = the Trophies that reach it; you never drop below the floor of the best arena you've reached, and never below 0 (DECISIONS #218). Floors run up from 0. Reward = a Cosmetics Id unlocked the first time you reach it, or blank (cosmetic or title only, never power). Keys are saved in profiles: never rename one.</t>
        </is>
      </c>
    </row>
    <row r="4">
      <c r="A4" s="21" t="inlineStr">
        <is>
          <t>Key</t>
        </is>
      </c>
      <c r="B4" s="21" t="inlineStr">
        <is>
          <t>Name</t>
        </is>
      </c>
      <c r="C4" s="21" t="inlineStr">
        <is>
          <t>Floor</t>
        </is>
      </c>
      <c r="D4" s="21" t="inlineStr">
        <is>
          <t>Reward</t>
        </is>
      </c>
    </row>
    <row r="5">
      <c r="A5" s="81" t="inlineStr">
        <is>
          <t>ARENA_1</t>
        </is>
      </c>
      <c r="B5" s="81" t="inlineStr">
        <is>
          <t>Fern Gully</t>
        </is>
      </c>
      <c r="C5" s="81" t="n">
        <v>0</v>
      </c>
    </row>
    <row r="6">
      <c r="A6" s="81" t="inlineStr">
        <is>
          <t>ARENA_2</t>
        </is>
      </c>
      <c r="B6" s="81" t="inlineStr">
        <is>
          <t>Raptor Ridge</t>
        </is>
      </c>
      <c r="C6" s="81" t="n">
        <v>300</v>
      </c>
    </row>
    <row r="7">
      <c r="A7" s="81" t="inlineStr">
        <is>
          <t>ARENA_3</t>
        </is>
      </c>
      <c r="B7" s="81" t="inlineStr">
        <is>
          <t>Muddy Springs</t>
        </is>
      </c>
      <c r="C7" s="81" t="n">
        <v>600</v>
      </c>
    </row>
    <row r="8">
      <c r="A8" s="81" t="inlineStr">
        <is>
          <t>ARENA_4</t>
        </is>
      </c>
      <c r="B8" s="81" t="inlineStr">
        <is>
          <t>Horn Canyon</t>
        </is>
      </c>
      <c r="C8" s="81" t="n">
        <v>1000</v>
      </c>
    </row>
    <row r="9">
      <c r="A9" s="81" t="inlineStr">
        <is>
          <t>ARENA_5</t>
        </is>
      </c>
      <c r="B9" s="81" t="inlineStr">
        <is>
          <t>Volcano Rim</t>
        </is>
      </c>
      <c r="C9" s="81" t="n">
        <v>1500</v>
      </c>
    </row>
    <row r="10">
      <c r="A10" s="81" t="inlineStr">
        <is>
          <t>ARENA_6</t>
        </is>
      </c>
      <c r="B10" s="81" t="inlineStr">
        <is>
          <t>Sky Cliffs</t>
        </is>
      </c>
      <c r="C10" s="81" t="n">
        <v>2000</v>
      </c>
    </row>
    <row r="11">
      <c r="A11" s="81" t="inlineStr">
        <is>
          <t>ARENA_7</t>
        </is>
      </c>
      <c r="B11" s="81" t="inlineStr">
        <is>
          <t>Misty Jungle</t>
        </is>
      </c>
      <c r="C11" s="81" t="n">
        <v>3000</v>
      </c>
    </row>
    <row r="12">
      <c r="A12" s="81" t="inlineStr">
        <is>
          <t>ARENA_8</t>
        </is>
      </c>
      <c r="B12" s="81" t="inlineStr">
        <is>
          <t>Rex Kingdom</t>
        </is>
      </c>
      <c r="C12" s="8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2026-09-29T03:48:55Z</dcterms:created>
  <dcterms:modified xsi:type="dcterms:W3CDTF">2026-10-15T17:02:03Z</dcterms:modified>
</cp:coreProperties>
</file>