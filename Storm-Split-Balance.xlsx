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t="inlineStr">
        <is>
          <t>RAPTOR PEN</t>
        </is>
      </c>
    </row>
    <row r="211">
      <c r="A211" t="inlineStr">
        <is>
          <t>Raptor HP</t>
        </is>
      </c>
      <c r="B211" t="n">
        <v>60</v>
      </c>
      <c r="C211" t="inlineStr">
        <is>
          <t>a raptor's HP (x Walker HP x x (1 + Tower HP per tier x tiers bought), as towers; Shared/Walker)</t>
        </is>
      </c>
    </row>
    <row r="212">
      <c r="A212" t="inlineStr">
        <is>
          <t>Raptor speed</t>
        </is>
      </c>
      <c r="B212" t="n">
        <v>30</v>
      </c>
      <c r="C212" t="inlineStr">
        <is>
          <t>studs/s a raptor runs along the track (home at x1.5)</t>
        </is>
      </c>
    </row>
    <row r="213">
      <c r="A213" t="inlineStr">
        <is>
          <t>Raptor reach</t>
        </is>
      </c>
      <c r="B213" t="n">
        <v>4</v>
      </c>
      <c r="C213" t="inlineStr">
        <is>
          <t>studs: a raptor this close to its target pounces / bites</t>
        </is>
      </c>
    </row>
    <row r="214">
      <c r="A214" t="inlineStr">
        <is>
          <t>Pounce hold (s)</t>
        </is>
      </c>
      <c r="B214" t="n">
        <v>0.5</v>
      </c>
      <c r="C214" t="inlineStr">
        <is>
          <t>s a pounce holds a non-boss when the build sets no Hold (s)</t>
        </is>
      </c>
    </row>
    <row r="215">
      <c r="A215" t="inlineStr">
        <is>
          <t>Retreat HP share</t>
        </is>
      </c>
      <c r="B215" t="n">
        <v>0.3</v>
      </c>
      <c r="C215" t="inlineStr">
        <is>
          <t>a raptor at or below this share of its HP runs home</t>
        </is>
      </c>
    </row>
    <row r="216">
      <c r="A216" t="inlineStr">
        <is>
          <t>Raptor respawn (s)</t>
        </is>
      </c>
      <c r="B216" t="n">
        <v>8</v>
      </c>
      <c r="C216" t="inlineStr">
        <is>
          <t>s a raptor bitten to 0 HP is gone (x Walker respawn x)</t>
        </is>
      </c>
    </row>
    <row r="217">
      <c r="A217" t="inlineStr">
        <is>
          <t>Pen heal (HP/s)</t>
        </is>
      </c>
      <c r="B217" t="n">
        <v>15</v>
      </c>
      <c r="C217" t="inlineStr">
        <is>
          <t>HP/s a raptor heals at home (it runs out again at 80 %)</t>
        </is>
      </c>
    </row>
    <row r="218">
      <c r="A218" t="inlineStr">
        <is>
          <t>Leash x</t>
        </is>
      </c>
      <c r="B218" t="n">
        <v>1.5</v>
      </c>
      <c r="C218" t="inlineStr">
        <is>
          <t>x range: a target further than this from the pen is let go</t>
        </is>
      </c>
    </row>
    <row r="219">
      <c r="A219" t="inlineStr">
        <is>
          <t>Trample size</t>
        </is>
      </c>
      <c r="B219" t="n">
        <v>3</v>
      </c>
      <c r="C219" t="inlineStr">
        <is>
          <t>a dino with at least this many sizes left tramples a raptor in its path</t>
        </is>
      </c>
    </row>
    <row r="220">
      <c r="A220" t="inlineStr">
        <is>
          <t>Trample share</t>
        </is>
      </c>
      <c r="B220" t="n">
        <v>0.25</v>
      </c>
      <c r="C220" t="inlineStr">
        <is>
          <t>x a raptor's max HP a trample takes (once per dino)</t>
        </is>
      </c>
    </row>
    <row r="221">
      <c r="A221" t="inlineStr">
        <is>
          <t>Dodge every (s)</t>
        </is>
      </c>
      <c r="B221" t="n">
        <v>3</v>
      </c>
      <c r="C221" t="inlineStr">
        <is>
          <t>Clever Girls: a raptor ignores one bite per this many s</t>
        </is>
      </c>
    </row>
    <row r="222">
      <c r="A222" t="inlineStr">
        <is>
          <t>Swarm raptors</t>
        </is>
      </c>
      <c r="B222" t="n">
        <v>10</v>
      </c>
      <c r="C222" t="inlineStr">
        <is>
          <t>Raptor Swarm: small raptors that pour out once a round</t>
        </is>
      </c>
    </row>
    <row r="223">
      <c r="A223" t="inlineStr">
        <is>
          <t>Swarm share</t>
        </is>
      </c>
      <c r="B223" t="n">
        <v>0.4</v>
      </c>
      <c r="C223" t="inlineStr">
        <is>
          <t>x a raptor's HP and bite for a Swarm raptor</t>
        </is>
      </c>
    </row>
    <row r="224">
      <c r="A224" t="inlineStr">
        <is>
          <t>Swarm (s)</t>
        </is>
      </c>
      <c r="B224" t="n">
        <v>15</v>
      </c>
      <c r="C224" t="inlineStr">
        <is>
          <t>s the Swarm hunts anywhere on your side's track, then vanishes</t>
        </is>
      </c>
    </row>
    <row r="225">
      <c r="A225" t="inlineStr">
        <is>
          <t>Charge knockback (studs)</t>
        </is>
      </c>
      <c r="B225" t="n">
        <v>6</v>
      </c>
      <c r="C225" t="inlineStr">
        <is>
          <t>Raptor Charge: small dinos a charging raptor passes are knocked back this far (not bosses)</t>
        </is>
      </c>
    </row>
    <row r="226">
      <c r="A226" t="inlineStr">
        <is>
          <t>Guard reach (studs)</t>
        </is>
      </c>
      <c r="B226" t="n">
        <v>10</v>
      </c>
      <c r="C226" t="inlineStr">
        <is>
          <t>Guard Raptors: a dino this close to a guarded tower that bites or throws at it is attacked</t>
        </is>
      </c>
    </row>
    <row r="227">
      <c r="A227" t="inlineStr">
        <is>
          <t>Roar reach (studs)</t>
        </is>
      </c>
      <c r="B227" t="n">
        <v>10</v>
      </c>
      <c r="C227" t="inlineStr">
        <is>
          <t>Rex Tamer: small dinos this close to the alpha are stunned by its roar</t>
        </is>
      </c>
    </row>
    <row r="228">
      <c r="A228" t="inlineStr">
        <is>
          <t>Hungry Alpha cap %</t>
        </is>
      </c>
      <c r="B228" t="n">
        <v>50</v>
      </c>
      <c r="C228" t="inlineStr">
        <is>
          <t>Hungry Alpha: the most its take-down stack adds this round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t="inlineStr">
        <is>
          <t>Raptor Pen</t>
        </is>
      </c>
      <c r="B20" t="inlineStr">
        <is>
          <t>Tamed raptors: they run out, bite and come back</t>
        </is>
      </c>
      <c r="C20" t="n">
        <v>850</v>
      </c>
      <c r="D20" t="n">
        <v>10</v>
      </c>
      <c r="E20" t="n">
        <v>1.5</v>
      </c>
      <c r="F20" t="n">
        <v>1</v>
      </c>
      <c r="G20">
        <f>D20*E20*F20</f>
        <v/>
      </c>
      <c r="H20" t="n">
        <v>22</v>
      </c>
      <c r="I20" t="inlineStr">
        <is>
          <t>No</t>
        </is>
      </c>
      <c r="J20" t="n">
        <v>0</v>
      </c>
      <c r="K20" t="inlineStr">
        <is>
          <t>Tamed raptors sprint out, pounce, bite and come back; they can be bitten. TOWERS_LATER.md.</t>
        </is>
      </c>
      <c r="L20" t="n">
        <v>0</v>
      </c>
      <c r="M20" t="n">
        <v>0</v>
      </c>
      <c r="N20" t="n">
        <v>500</v>
      </c>
      <c r="O20" t="inlineStr">
        <is>
          <t>RAPTOR</t>
        </is>
      </c>
      <c r="P20" t="n">
        <v>150</v>
      </c>
      <c r="Q20" t="n">
        <v>0</v>
      </c>
      <c r="R20" t="n">
        <v>0</v>
      </c>
      <c r="Z20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G3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t="inlineStr">
        <is>
          <t>Walkers</t>
        </is>
      </c>
      <c r="DO4" t="inlineStr">
        <is>
          <t>Walker HP x</t>
        </is>
      </c>
      <c r="DP4" t="inlineStr">
        <is>
          <t>Walker speed x</t>
        </is>
      </c>
      <c r="DQ4" t="inlineStr">
        <is>
          <t>Walker resist %</t>
        </is>
      </c>
      <c r="DR4" t="inlineStr">
        <is>
          <t>Walker respawn x</t>
        </is>
      </c>
      <c r="DS4" t="inlineStr">
        <is>
          <t>Hold (s)</t>
        </is>
      </c>
      <c r="DT4" t="inlineStr">
        <is>
          <t>Boss hold (s)</t>
        </is>
      </c>
      <c r="DU4" t="inlineStr">
        <is>
          <t>Flanking</t>
        </is>
      </c>
      <c r="DV4" t="inlineStr">
        <is>
          <t>Targets first</t>
        </is>
      </c>
      <c r="DW4" t="inlineStr">
        <is>
          <t>Hits air</t>
        </is>
      </c>
      <c r="DX4" t="inlineStr">
        <is>
          <t>Heals between rounds</t>
        </is>
      </c>
      <c r="DY4" t="inlineStr">
        <is>
          <t>Dodge</t>
        </is>
      </c>
      <c r="DZ4" t="inlineStr">
        <is>
          <t>Alpha</t>
        </is>
      </c>
      <c r="EA4" t="inlineStr">
        <is>
          <t>Swarm</t>
        </is>
      </c>
      <c r="EB4" t="inlineStr">
        <is>
          <t>Charge</t>
        </is>
      </c>
      <c r="EC4" t="inlineStr">
        <is>
          <t>Guard</t>
        </is>
      </c>
      <c r="ED4" t="inlineStr">
        <is>
          <t>Stun roar every (s)</t>
        </is>
      </c>
      <c r="EE4" t="inlineStr">
        <is>
          <t>Take-down stack %</t>
        </is>
      </c>
      <c r="EF4" t="inlineStr">
        <is>
          <t>Avenger x</t>
        </is>
      </c>
      <c r="EG4" t="inlineStr">
        <is>
          <t>Hunter damage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4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16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32</v>
      </c>
      <c r="CI310" s="81" t="inlineStr">
        <is>
          <t>A</t>
        </is>
      </c>
      <c r="CJ310" s="81" t="inlineStr">
        <is>
          <t>Fossils pay double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t="inlineStr">
        <is>
          <t>Raptor Pen</t>
        </is>
      </c>
      <c r="B329" t="inlineStr">
        <is>
          <t>Pack</t>
        </is>
      </c>
      <c r="C329" t="inlineStr">
        <is>
          <t>pack damage</t>
        </is>
      </c>
      <c r="D329" t="n">
        <v>1</v>
      </c>
      <c r="E329">
        <f>ROUND('Towers'!$C$20*POWER('Tuning'!$B$12,D329),0)</f>
        <v/>
      </c>
      <c r="F329">
        <f>'Towers'!$C$20+E329</f>
        <v/>
      </c>
      <c r="G329" s="110" t="n">
        <v>1</v>
      </c>
      <c r="H329" s="110" t="n">
        <v>1</v>
      </c>
      <c r="I329" s="110" t="n">
        <v>1</v>
      </c>
      <c r="J329">
        <f>'Towers'!$G$20*G329*H329*I329</f>
        <v/>
      </c>
      <c r="K329">
        <f>IF(J329=0,0,F329/J329)</f>
        <v/>
      </c>
      <c r="L329" s="110" t="n">
        <v>1</v>
      </c>
      <c r="M329" t="inlineStr">
        <is>
          <t>Second Raptor</t>
        </is>
      </c>
      <c r="DN329" t="n">
        <v>2</v>
      </c>
    </row>
    <row r="330">
      <c r="A330" t="inlineStr">
        <is>
          <t>Raptor Pen</t>
        </is>
      </c>
      <c r="B330" t="inlineStr">
        <is>
          <t>Pack</t>
        </is>
      </c>
      <c r="C330" t="inlineStr">
        <is>
          <t>pack damage</t>
        </is>
      </c>
      <c r="D330" t="n">
        <v>2</v>
      </c>
      <c r="E330">
        <f>ROUND('Towers'!$C$20*POWER('Tuning'!$B$12,D330),0)</f>
        <v/>
      </c>
      <c r="F330">
        <f>F329+E330</f>
        <v/>
      </c>
      <c r="G330" s="110" t="n">
        <v>1.4</v>
      </c>
      <c r="H330" s="110" t="n">
        <v>1</v>
      </c>
      <c r="I330" s="110" t="n">
        <v>1</v>
      </c>
      <c r="J330">
        <f>'Towers'!$G$20*G330*H330*I330</f>
        <v/>
      </c>
      <c r="K330">
        <f>IF(J330=0,0,F330/J330)</f>
        <v/>
      </c>
      <c r="L330" s="110" t="n">
        <v>1</v>
      </c>
      <c r="M330" t="inlineStr">
        <is>
          <t>Quick Whistle</t>
        </is>
      </c>
      <c r="DN330" t="n">
        <v>2</v>
      </c>
      <c r="DP330" t="n">
        <v>1.3</v>
      </c>
      <c r="DR330" t="n">
        <v>0.7</v>
      </c>
    </row>
    <row r="331">
      <c r="A331" t="inlineStr">
        <is>
          <t>Raptor Pen</t>
        </is>
      </c>
      <c r="B331" t="inlineStr">
        <is>
          <t>Pack</t>
        </is>
      </c>
      <c r="C331" t="inlineStr">
        <is>
          <t>pack damage</t>
        </is>
      </c>
      <c r="D331" t="n">
        <v>3</v>
      </c>
      <c r="E331">
        <f>ROUND('Towers'!$C$20*POWER('Tuning'!$B$12,D331),0)</f>
        <v/>
      </c>
      <c r="F331">
        <f>F330+E331</f>
        <v/>
      </c>
      <c r="G331" s="110" t="n">
        <v>1.4</v>
      </c>
      <c r="H331" s="110" t="n">
        <v>1</v>
      </c>
      <c r="I331" s="110" t="n">
        <v>1</v>
      </c>
      <c r="J331">
        <f>'Towers'!$G$20*G331*H331*I331</f>
        <v/>
      </c>
      <c r="K331">
        <f>IF(J331=0,0,F331/J331)</f>
        <v/>
      </c>
      <c r="L331" s="110" t="n">
        <v>1</v>
      </c>
      <c r="M331" t="inlineStr">
        <is>
          <t>Pack of Five</t>
        </is>
      </c>
      <c r="DN331" t="n">
        <v>5</v>
      </c>
      <c r="DP331" t="n">
        <v>1.3</v>
      </c>
      <c r="DR331" t="n">
        <v>0.7</v>
      </c>
    </row>
    <row r="332">
      <c r="A332" t="inlineStr">
        <is>
          <t>Raptor Pen</t>
        </is>
      </c>
      <c r="B332" t="inlineStr">
        <is>
          <t>Pack</t>
        </is>
      </c>
      <c r="C332" t="inlineStr">
        <is>
          <t>pack damage</t>
        </is>
      </c>
      <c r="D332" t="n">
        <v>4</v>
      </c>
      <c r="E332">
        <f>ROUND('Towers'!$C$20*POWER('Tuning'!$B$12,D332),0)</f>
        <v/>
      </c>
      <c r="F332">
        <f>F331+E332</f>
        <v/>
      </c>
      <c r="G332" s="110" t="n">
        <v>1.75</v>
      </c>
      <c r="H332" s="110" t="n">
        <v>1</v>
      </c>
      <c r="I332" s="110" t="n">
        <v>1</v>
      </c>
      <c r="J332">
        <f>J331*G332*H332*I332</f>
        <v/>
      </c>
      <c r="K332">
        <f>IF(J332=0,0,F332/J332)</f>
        <v/>
      </c>
      <c r="L332" s="110" t="n">
        <v>1</v>
      </c>
      <c r="M332" t="inlineStr">
        <is>
          <t>Hide Rippers</t>
        </is>
      </c>
      <c r="N332" t="inlineStr">
        <is>
          <t>Yes</t>
        </is>
      </c>
      <c r="CI332" t="inlineStr">
        <is>
          <t>A</t>
        </is>
      </c>
      <c r="CJ332" t="inlineStr">
        <is>
          <t>Raptors bite through armour</t>
        </is>
      </c>
    </row>
    <row r="333">
      <c r="A333" t="inlineStr">
        <is>
          <t>Raptor Pen</t>
        </is>
      </c>
      <c r="B333" t="inlineStr">
        <is>
          <t>Pack</t>
        </is>
      </c>
      <c r="C333" t="inlineStr">
        <is>
          <t>pack damage</t>
        </is>
      </c>
      <c r="D333" t="n">
        <v>5</v>
      </c>
      <c r="E333">
        <f>ROUND('Towers'!$C$20*POWER('Tuning'!$B$12,D333),0)</f>
        <v/>
      </c>
      <c r="F333">
        <f>F332+E333</f>
        <v/>
      </c>
      <c r="G333" s="110" t="n">
        <v>1.7</v>
      </c>
      <c r="H333" s="110" t="n">
        <v>1</v>
      </c>
      <c r="I333" s="110" t="n">
        <v>1</v>
      </c>
      <c r="J333">
        <f>J332*G333*H333*I333</f>
        <v/>
      </c>
      <c r="K333">
        <f>IF(J333=0,0,F333/J333)</f>
        <v/>
      </c>
      <c r="L333" s="110" t="n">
        <v>1</v>
      </c>
      <c r="M333" t="inlineStr">
        <is>
          <t>Raptor Swarm</t>
        </is>
      </c>
      <c r="CI333" t="inlineStr">
        <is>
          <t>A</t>
        </is>
      </c>
      <c r="CJ333" t="inlineStr">
        <is>
          <t>10 small raptors flood the track once a round</t>
        </is>
      </c>
      <c r="EA333" t="inlineStr">
        <is>
          <t>Yes</t>
        </is>
      </c>
    </row>
    <row r="334">
      <c r="A334" t="inlineStr">
        <is>
          <t>Raptor Pen</t>
        </is>
      </c>
      <c r="B334" t="inlineStr">
        <is>
          <t>Alpha</t>
        </is>
      </c>
      <c r="C334" t="inlineStr">
        <is>
          <t>one big hunter</t>
        </is>
      </c>
      <c r="D334" t="n">
        <v>1</v>
      </c>
      <c r="E334">
        <f>ROUND('Towers'!$C$20*POWER('Tuning'!$B$12,D334),0)</f>
        <v/>
      </c>
      <c r="F334">
        <f>'Towers'!$C$20+E334</f>
        <v/>
      </c>
      <c r="G334" s="110" t="n">
        <v>1.9</v>
      </c>
      <c r="H334" s="110" t="n">
        <v>1</v>
      </c>
      <c r="I334" s="110" t="n">
        <v>1</v>
      </c>
      <c r="J334">
        <f>'Towers'!$G$20*G334*H334*I334</f>
        <v/>
      </c>
      <c r="K334">
        <f>IF(J334=0,0,F334/J334)</f>
        <v/>
      </c>
      <c r="L334" s="110" t="n">
        <v>1</v>
      </c>
      <c r="M334" t="inlineStr">
        <is>
          <t>Sharp Claws</t>
        </is>
      </c>
    </row>
    <row r="335">
      <c r="A335" t="inlineStr">
        <is>
          <t>Raptor Pen</t>
        </is>
      </c>
      <c r="B335" t="inlineStr">
        <is>
          <t>Alpha</t>
        </is>
      </c>
      <c r="C335" t="inlineStr">
        <is>
          <t>one big hunter</t>
        </is>
      </c>
      <c r="D335" t="n">
        <v>2</v>
      </c>
      <c r="E335">
        <f>ROUND('Towers'!$C$20*POWER('Tuning'!$B$12,D335),0)</f>
        <v/>
      </c>
      <c r="F335">
        <f>F334+E335</f>
        <v/>
      </c>
      <c r="G335" s="110" t="n">
        <v>3.6</v>
      </c>
      <c r="H335" s="110" t="n">
        <v>1</v>
      </c>
      <c r="I335" s="110" t="n">
        <v>1</v>
      </c>
      <c r="J335">
        <f>'Towers'!$G$20*G335*H335*I335</f>
        <v/>
      </c>
      <c r="K335">
        <f>IF(J335=0,0,F335/J335)</f>
        <v/>
      </c>
      <c r="L335" s="110" t="n">
        <v>1</v>
      </c>
      <c r="M335" t="inlineStr">
        <is>
          <t>Thick Hide</t>
        </is>
      </c>
      <c r="DO335" t="n">
        <v>1.6</v>
      </c>
      <c r="DQ335" t="n">
        <v>25</v>
      </c>
    </row>
    <row r="336">
      <c r="A336" t="inlineStr">
        <is>
          <t>Raptor Pen</t>
        </is>
      </c>
      <c r="B336" t="inlineStr">
        <is>
          <t>Alpha</t>
        </is>
      </c>
      <c r="C336" t="inlineStr">
        <is>
          <t>one big hunter</t>
        </is>
      </c>
      <c r="D336" t="n">
        <v>3</v>
      </c>
      <c r="E336">
        <f>ROUND('Towers'!$C$20*POWER('Tuning'!$B$12,D336),0)</f>
        <v/>
      </c>
      <c r="F336">
        <f>F335+E336</f>
        <v/>
      </c>
      <c r="G336" s="110" t="n">
        <v>7</v>
      </c>
      <c r="H336" s="110" t="n">
        <v>1</v>
      </c>
      <c r="I336" s="110" t="n">
        <v>1</v>
      </c>
      <c r="J336">
        <f>'Towers'!$G$20*G336*H336*I336</f>
        <v/>
      </c>
      <c r="K336">
        <f>IF(J336=0,0,F336/J336)</f>
        <v/>
      </c>
      <c r="L336" s="110" t="n">
        <v>1</v>
      </c>
      <c r="M336" t="inlineStr">
        <is>
          <t>Alpha Raptor</t>
        </is>
      </c>
      <c r="BJ336" t="n">
        <v>2</v>
      </c>
      <c r="DO336" t="n">
        <v>3</v>
      </c>
      <c r="DQ336" t="n">
        <v>25</v>
      </c>
      <c r="DS336" t="n">
        <v>1</v>
      </c>
      <c r="DZ336" t="inlineStr">
        <is>
          <t>Yes</t>
        </is>
      </c>
    </row>
    <row r="337">
      <c r="A337" t="inlineStr">
        <is>
          <t>Raptor Pen</t>
        </is>
      </c>
      <c r="B337" t="inlineStr">
        <is>
          <t>Alpha</t>
        </is>
      </c>
      <c r="C337" t="inlineStr">
        <is>
          <t>one big hunter</t>
        </is>
      </c>
      <c r="D337" t="n">
        <v>4</v>
      </c>
      <c r="E337">
        <f>ROUND('Towers'!$C$20*POWER('Tuning'!$B$12,D337),0)</f>
        <v/>
      </c>
      <c r="F337">
        <f>F336+E337</f>
        <v/>
      </c>
      <c r="G337" s="110" t="n">
        <v>1.8</v>
      </c>
      <c r="H337" s="110" t="n">
        <v>1</v>
      </c>
      <c r="I337" s="110" t="n">
        <v>1</v>
      </c>
      <c r="J337">
        <f>J336*G337*H337*I337</f>
        <v/>
      </c>
      <c r="K337">
        <f>IF(J337=0,0,F337/J337)</f>
        <v/>
      </c>
      <c r="L337" s="110" t="n">
        <v>1</v>
      </c>
      <c r="M337" t="inlineStr">
        <is>
          <t>Sickle Claw</t>
        </is>
      </c>
      <c r="BJ337" t="n">
        <v>3</v>
      </c>
      <c r="CI337" t="inlineStr">
        <is>
          <t>A</t>
        </is>
      </c>
      <c r="CJ337" t="inlineStr">
        <is>
          <t>×3 on its target, breaks 3</t>
        </is>
      </c>
    </row>
    <row r="338">
      <c r="A338" t="inlineStr">
        <is>
          <t>Raptor Pen</t>
        </is>
      </c>
      <c r="B338" t="inlineStr">
        <is>
          <t>Alpha</t>
        </is>
      </c>
      <c r="C338" t="inlineStr">
        <is>
          <t>one big hunter</t>
        </is>
      </c>
      <c r="D338" t="n">
        <v>5</v>
      </c>
      <c r="E338">
        <f>ROUND('Towers'!$C$20*POWER('Tuning'!$B$12,D338),0)</f>
        <v/>
      </c>
      <c r="F338">
        <f>F337+E338</f>
        <v/>
      </c>
      <c r="G338" s="110" t="n">
        <v>1.9</v>
      </c>
      <c r="H338" s="110" t="n">
        <v>1</v>
      </c>
      <c r="I338" s="110" t="n">
        <v>1</v>
      </c>
      <c r="J338">
        <f>J337*G338*H338*I338</f>
        <v/>
      </c>
      <c r="K338">
        <f>IF(J338=0,0,F338/J338)</f>
        <v/>
      </c>
      <c r="L338" s="110" t="n">
        <v>1</v>
      </c>
      <c r="M338" t="inlineStr">
        <is>
          <t>King of the Pack</t>
        </is>
      </c>
      <c r="BJ338" t="n">
        <v>4</v>
      </c>
      <c r="CI338" t="inlineStr">
        <is>
          <t>A</t>
        </is>
      </c>
      <c r="CJ338" t="inlineStr">
        <is>
          <t>A giant raptor, half damage taken</t>
        </is>
      </c>
      <c r="DO338" t="n">
        <v>1.5</v>
      </c>
      <c r="DQ338" t="n">
        <v>50</v>
      </c>
    </row>
    <row r="339">
      <c r="A339" t="inlineStr">
        <is>
          <t>Raptor Pen</t>
        </is>
      </c>
      <c r="B339" t="inlineStr">
        <is>
          <t>Trainer</t>
        </is>
      </c>
      <c r="C339" t="inlineStr">
        <is>
          <t>support</t>
        </is>
      </c>
      <c r="D339" t="n">
        <v>1</v>
      </c>
      <c r="E339">
        <f>ROUND('Towers'!$C$20*POWER('Tuning'!$B$12,D339),0)</f>
        <v/>
      </c>
      <c r="F339">
        <f>'Towers'!$C$20+E339</f>
        <v/>
      </c>
      <c r="G339" s="110" t="n">
        <v>1.3</v>
      </c>
      <c r="H339" s="110" t="n">
        <v>1</v>
      </c>
      <c r="I339" s="110" t="n">
        <v>1</v>
      </c>
      <c r="J339">
        <f>'Towers'!$G$20*G339*H339*I339</f>
        <v/>
      </c>
      <c r="K339">
        <f>IF(J339=0,0,F339/J339)</f>
        <v/>
      </c>
      <c r="L339" s="110" t="n">
        <v>1.15</v>
      </c>
      <c r="M339" t="inlineStr">
        <is>
          <t>Tracking Nose</t>
        </is>
      </c>
      <c r="DV339" t="inlineStr">
        <is>
          <t>Yes</t>
        </is>
      </c>
    </row>
    <row r="340">
      <c r="A340" t="inlineStr">
        <is>
          <t>Raptor Pen</t>
        </is>
      </c>
      <c r="B340" t="inlineStr">
        <is>
          <t>Trainer</t>
        </is>
      </c>
      <c r="C340" t="inlineStr">
        <is>
          <t>support</t>
        </is>
      </c>
      <c r="D340" t="n">
        <v>2</v>
      </c>
      <c r="E340">
        <f>ROUND('Towers'!$C$20*POWER('Tuning'!$B$12,D340),0)</f>
        <v/>
      </c>
      <c r="F340">
        <f>F339+E340</f>
        <v/>
      </c>
      <c r="G340" s="110" t="n">
        <v>1.6</v>
      </c>
      <c r="H340" s="110" t="n">
        <v>1</v>
      </c>
      <c r="I340" s="110" t="n">
        <v>1</v>
      </c>
      <c r="J340">
        <f>'Towers'!$G$20*G340*H340*I340</f>
        <v/>
      </c>
      <c r="K340">
        <f>IF(J340=0,0,F340/J340)</f>
        <v/>
      </c>
      <c r="L340" s="110" t="n">
        <v>1.15</v>
      </c>
      <c r="M340" t="inlineStr">
        <is>
          <t>Herding Call</t>
        </is>
      </c>
      <c r="AE340" t="n">
        <v>20</v>
      </c>
      <c r="AF340" t="n">
        <v>1</v>
      </c>
      <c r="DV340" t="inlineStr">
        <is>
          <t>Yes</t>
        </is>
      </c>
    </row>
    <row r="341">
      <c r="A341" t="inlineStr">
        <is>
          <t>Raptor Pen</t>
        </is>
      </c>
      <c r="B341" t="inlineStr">
        <is>
          <t>Trainer</t>
        </is>
      </c>
      <c r="C341" t="inlineStr">
        <is>
          <t>support</t>
        </is>
      </c>
      <c r="D341" t="n">
        <v>3</v>
      </c>
      <c r="E341">
        <f>ROUND('Towers'!$C$20*POWER('Tuning'!$B$12,D341),0)</f>
        <v/>
      </c>
      <c r="F341">
        <f>F340+E341</f>
        <v/>
      </c>
      <c r="G341" s="110" t="n">
        <v>2.2</v>
      </c>
      <c r="H341" s="110" t="n">
        <v>1</v>
      </c>
      <c r="I341" s="110" t="n">
        <v>1</v>
      </c>
      <c r="J341">
        <f>'Towers'!$G$20*G341*H341*I341</f>
        <v/>
      </c>
      <c r="K341">
        <f>IF(J341=0,0,F341/J341)</f>
        <v/>
      </c>
      <c r="L341" s="110" t="n">
        <v>1.15</v>
      </c>
      <c r="M341" t="inlineStr">
        <is>
          <t>Pack Howl</t>
        </is>
      </c>
      <c r="AE341" t="n">
        <v>20</v>
      </c>
      <c r="AF341" t="n">
        <v>1</v>
      </c>
      <c r="BY341" t="n">
        <v>15</v>
      </c>
      <c r="DN341" t="n">
        <v>2</v>
      </c>
      <c r="DV341" t="inlineStr">
        <is>
          <t>Yes</t>
        </is>
      </c>
    </row>
    <row r="342">
      <c r="A342" t="inlineStr">
        <is>
          <t>Raptor Pen</t>
        </is>
      </c>
      <c r="B342" t="inlineStr">
        <is>
          <t>Trainer</t>
        </is>
      </c>
      <c r="C342" t="inlineStr">
        <is>
          <t>support</t>
        </is>
      </c>
      <c r="D342" t="n">
        <v>4</v>
      </c>
      <c r="E342">
        <f>ROUND('Towers'!$C$20*POWER('Tuning'!$B$12,D342),0)</f>
        <v/>
      </c>
      <c r="F342">
        <f>F341+E342</f>
        <v/>
      </c>
      <c r="G342" s="110" t="n">
        <v>1.4</v>
      </c>
      <c r="H342" s="110" t="n">
        <v>1</v>
      </c>
      <c r="I342" s="110" t="n">
        <v>1</v>
      </c>
      <c r="J342">
        <f>J341*G342*H342*I342</f>
        <v/>
      </c>
      <c r="K342">
        <f>IF(J342=0,0,F342/J342)</f>
        <v/>
      </c>
      <c r="L342" s="110" t="n">
        <v>1</v>
      </c>
      <c r="M342" t="inlineStr">
        <is>
          <t>Treat Bag</t>
        </is>
      </c>
      <c r="CI342" t="inlineStr">
        <is>
          <t>A</t>
        </is>
      </c>
      <c r="CJ342" t="inlineStr">
        <is>
          <t>Raptors heal and return faster</t>
        </is>
      </c>
      <c r="DR342" t="n">
        <v>0.5</v>
      </c>
      <c r="DX342" t="inlineStr">
        <is>
          <t>Yes</t>
        </is>
      </c>
    </row>
    <row r="343">
      <c r="A343" t="inlineStr">
        <is>
          <t>Raptor Pen</t>
        </is>
      </c>
      <c r="B343" t="inlineStr">
        <is>
          <t>Trainer</t>
        </is>
      </c>
      <c r="C343" t="inlineStr">
        <is>
          <t>support</t>
        </is>
      </c>
      <c r="D343" t="n">
        <v>5</v>
      </c>
      <c r="E343">
        <f>ROUND('Towers'!$C$20*POWER('Tuning'!$B$12,D343),0)</f>
        <v/>
      </c>
      <c r="F343">
        <f>F342+E343</f>
        <v/>
      </c>
      <c r="G343" s="110" t="n">
        <v>1.5</v>
      </c>
      <c r="H343" s="110" t="n">
        <v>1</v>
      </c>
      <c r="I343" s="110" t="n">
        <v>1</v>
      </c>
      <c r="J343">
        <f>J342*G343*H343*I343</f>
        <v/>
      </c>
      <c r="K343">
        <f>IF(J343=0,0,F343/J343)</f>
        <v/>
      </c>
      <c r="L343" s="110" t="n">
        <v>1</v>
      </c>
      <c r="M343" t="inlineStr">
        <is>
          <t>Raptor Charge</t>
        </is>
      </c>
      <c r="CI343" t="inlineStr">
        <is>
          <t>A</t>
        </is>
      </c>
      <c r="CJ343" t="inlineStr">
        <is>
          <t>Every raptor charges the track once a round</t>
        </is>
      </c>
      <c r="EB343" t="inlineStr">
        <is>
          <t>Yes</t>
        </is>
      </c>
    </row>
    <row r="344">
      <c r="A344" t="inlineStr">
        <is>
          <t>Raptor Pen</t>
        </is>
      </c>
      <c r="B344" t="inlineStr">
        <is>
          <t>Pack</t>
        </is>
      </c>
      <c r="C344" t="inlineStr">
        <is>
          <t>pack damage</t>
        </is>
      </c>
      <c r="D344" t="n">
        <v>4</v>
      </c>
      <c r="E344">
        <f>E332</f>
        <v/>
      </c>
      <c r="F344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t="inlineStr">
        <is>
          <t>Flanking</t>
        </is>
      </c>
      <c r="CI344" t="inlineStr">
        <is>
          <t>B</t>
        </is>
      </c>
      <c r="CJ344" t="inlineStr">
        <is>
          <t>Each raptor picks a different dino</t>
        </is>
      </c>
      <c r="DU344" t="inlineStr">
        <is>
          <t>Yes</t>
        </is>
      </c>
    </row>
    <row r="345">
      <c r="A345" t="inlineStr">
        <is>
          <t>Raptor Pen</t>
        </is>
      </c>
      <c r="B345" t="inlineStr">
        <is>
          <t>Pack</t>
        </is>
      </c>
      <c r="C345" t="inlineStr">
        <is>
          <t>pack damage</t>
        </is>
      </c>
      <c r="D345" t="n">
        <v>4</v>
      </c>
      <c r="E345">
        <f>E332</f>
        <v/>
      </c>
      <c r="F345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t="inlineStr">
        <is>
          <t>Ambush</t>
        </is>
      </c>
      <c r="BU345" t="n">
        <v>2</v>
      </c>
      <c r="CI345" t="inlineStr">
        <is>
          <t>C</t>
        </is>
      </c>
      <c r="CJ345" t="inlineStr">
        <is>
          <t>Each raptor's first pounce hits double</t>
        </is>
      </c>
    </row>
    <row r="346">
      <c r="A346" t="inlineStr">
        <is>
          <t>Raptor Pen</t>
        </is>
      </c>
      <c r="B346" t="inlineStr">
        <is>
          <t>Pack</t>
        </is>
      </c>
      <c r="C346" t="inlineStr">
        <is>
          <t>pack damage</t>
        </is>
      </c>
      <c r="D346" t="n">
        <v>5</v>
      </c>
      <c r="E346">
        <f>E333</f>
        <v/>
      </c>
      <c r="F346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t="inlineStr">
        <is>
          <t>Clever Girls</t>
        </is>
      </c>
      <c r="CI346" t="inlineStr">
        <is>
          <t>B</t>
        </is>
      </c>
      <c r="CJ346" t="inlineStr">
        <is>
          <t>Raptors dodge bites and never get trampled</t>
        </is>
      </c>
      <c r="DY346" t="inlineStr">
        <is>
          <t>Yes</t>
        </is>
      </c>
    </row>
    <row r="347">
      <c r="A347" t="inlineStr">
        <is>
          <t>Raptor Pen</t>
        </is>
      </c>
      <c r="B347" t="inlineStr">
        <is>
          <t>Pack</t>
        </is>
      </c>
      <c r="C347" t="inlineStr">
        <is>
          <t>pack damage</t>
        </is>
      </c>
      <c r="D347" t="n">
        <v>5</v>
      </c>
      <c r="E347">
        <f>E333</f>
        <v/>
      </c>
      <c r="F347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t="inlineStr">
        <is>
          <t>Sky Leap</t>
        </is>
      </c>
      <c r="CI347" t="inlineStr">
        <is>
          <t>C</t>
        </is>
      </c>
      <c r="CJ347" t="inlineStr">
        <is>
          <t>Raptors jump at low flyers</t>
        </is>
      </c>
      <c r="DW347" t="inlineStr">
        <is>
          <t>Yes</t>
        </is>
      </c>
    </row>
    <row r="348">
      <c r="A348" t="inlineStr">
        <is>
          <t>Raptor Pen</t>
        </is>
      </c>
      <c r="B348" t="inlineStr">
        <is>
          <t>Alpha</t>
        </is>
      </c>
      <c r="C348" t="inlineStr">
        <is>
          <t>one big hunter</t>
        </is>
      </c>
      <c r="D348" t="n">
        <v>4</v>
      </c>
      <c r="E348">
        <f>E337</f>
        <v/>
      </c>
      <c r="F348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t="inlineStr">
        <is>
          <t>Boss Hunter</t>
        </is>
      </c>
      <c r="P348" t="n">
        <v>1.6</v>
      </c>
      <c r="CI348" t="inlineStr">
        <is>
          <t>B</t>
        </is>
      </c>
      <c r="CJ348" t="inlineStr">
        <is>
          <t>Can hold a boss for a moment</t>
        </is>
      </c>
      <c r="DT348" t="n">
        <v>0.5</v>
      </c>
    </row>
    <row r="349">
      <c r="A349" t="inlineStr">
        <is>
          <t>Raptor Pen</t>
        </is>
      </c>
      <c r="B349" t="inlineStr">
        <is>
          <t>Alpha</t>
        </is>
      </c>
      <c r="C349" t="inlineStr">
        <is>
          <t>one big hunter</t>
        </is>
      </c>
      <c r="D349" t="n">
        <v>4</v>
      </c>
      <c r="E349">
        <f>E337</f>
        <v/>
      </c>
      <c r="F349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t="inlineStr">
        <is>
          <t>Scent Trail</t>
        </is>
      </c>
      <c r="T349" t="n">
        <v>15</v>
      </c>
      <c r="CI349" t="inlineStr">
        <is>
          <t>C</t>
        </is>
      </c>
      <c r="CJ349" t="inlineStr">
        <is>
          <t>Its target is marked +15%</t>
        </is>
      </c>
    </row>
    <row r="350">
      <c r="A350" t="inlineStr">
        <is>
          <t>Raptor Pen</t>
        </is>
      </c>
      <c r="B350" t="inlineStr">
        <is>
          <t>Alpha</t>
        </is>
      </c>
      <c r="C350" t="inlineStr">
        <is>
          <t>one big hunter</t>
        </is>
      </c>
      <c r="D350" t="n">
        <v>5</v>
      </c>
      <c r="E350">
        <f>E338</f>
        <v/>
      </c>
      <c r="F350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t="inlineStr">
        <is>
          <t>Rex Tamer</t>
        </is>
      </c>
      <c r="U350" t="n">
        <v>1</v>
      </c>
      <c r="CI350" t="inlineStr">
        <is>
          <t>B</t>
        </is>
      </c>
      <c r="CJ350" t="inlineStr">
        <is>
          <t>A tamed T. rex whose roar stuns</t>
        </is>
      </c>
      <c r="DO350" t="n">
        <v>1.4</v>
      </c>
      <c r="ED350" t="n">
        <v>15</v>
      </c>
    </row>
    <row r="351">
      <c r="A351" t="inlineStr">
        <is>
          <t>Raptor Pen</t>
        </is>
      </c>
      <c r="B351" t="inlineStr">
        <is>
          <t>Alpha</t>
        </is>
      </c>
      <c r="C351" t="inlineStr">
        <is>
          <t>one big hunter</t>
        </is>
      </c>
      <c r="D351" t="n">
        <v>5</v>
      </c>
      <c r="E351">
        <f>E338</f>
        <v/>
      </c>
      <c r="F35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t="inlineStr">
        <is>
          <t>Hungry Alpha</t>
        </is>
      </c>
      <c r="CI351" t="inlineStr">
        <is>
          <t>C</t>
        </is>
      </c>
      <c r="CJ351" t="inlineStr">
        <is>
          <t>Stronger with every take-down</t>
        </is>
      </c>
      <c r="EE351" t="n">
        <v>10</v>
      </c>
    </row>
    <row r="352">
      <c r="A352" t="inlineStr">
        <is>
          <t>Raptor Pen</t>
        </is>
      </c>
      <c r="B352" t="inlineStr">
        <is>
          <t>Trainer</t>
        </is>
      </c>
      <c r="C352" t="inlineStr">
        <is>
          <t>support</t>
        </is>
      </c>
      <c r="D352" t="n">
        <v>4</v>
      </c>
      <c r="E352">
        <f>E342</f>
        <v/>
      </c>
      <c r="F352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t="inlineStr">
        <is>
          <t>Guard Raptors</t>
        </is>
      </c>
      <c r="CI352" t="inlineStr">
        <is>
          <t>B</t>
        </is>
      </c>
      <c r="CJ352" t="inlineStr">
        <is>
          <t>A raptor guards each tower</t>
        </is>
      </c>
      <c r="EC352" t="inlineStr">
        <is>
          <t>Yes</t>
        </is>
      </c>
    </row>
    <row r="353">
      <c r="A353" t="inlineStr">
        <is>
          <t>Raptor Pen</t>
        </is>
      </c>
      <c r="B353" t="inlineStr">
        <is>
          <t>Trainer</t>
        </is>
      </c>
      <c r="C353" t="inlineStr">
        <is>
          <t>support</t>
        </is>
      </c>
      <c r="D353" t="n">
        <v>4</v>
      </c>
      <c r="E353">
        <f>E342</f>
        <v/>
      </c>
      <c r="F353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t="inlineStr">
        <is>
          <t>Whistle Drill</t>
        </is>
      </c>
      <c r="BY353" t="n">
        <v>20</v>
      </c>
      <c r="CI353" t="inlineStr">
        <is>
          <t>C</t>
        </is>
      </c>
      <c r="CJ353" t="inlineStr">
        <is>
          <t>Raptors run 30% faster</t>
        </is>
      </c>
      <c r="DP353" t="n">
        <v>1.3</v>
      </c>
    </row>
    <row r="354">
      <c r="A354" t="inlineStr">
        <is>
          <t>Raptor Pen</t>
        </is>
      </c>
      <c r="B354" t="inlineStr">
        <is>
          <t>Trainer</t>
        </is>
      </c>
      <c r="C354" t="inlineStr">
        <is>
          <t>support</t>
        </is>
      </c>
      <c r="D354" t="n">
        <v>5</v>
      </c>
      <c r="E354">
        <f>E343</f>
        <v/>
      </c>
      <c r="F354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t="inlineStr">
        <is>
          <t>Pack Bond</t>
        </is>
      </c>
      <c r="CI354" t="inlineStr">
        <is>
          <t>B</t>
        </is>
      </c>
      <c r="CJ354" t="inlineStr">
        <is>
          <t>Hunters nearby +20% with 3+ raptors out</t>
        </is>
      </c>
      <c r="DN354" t="n">
        <v>3</v>
      </c>
      <c r="EG354" t="n">
        <v>20</v>
      </c>
    </row>
    <row r="355">
      <c r="A355" t="inlineStr">
        <is>
          <t>Raptor Pen</t>
        </is>
      </c>
      <c r="B355" t="inlineStr">
        <is>
          <t>Trainer</t>
        </is>
      </c>
      <c r="C355" t="inlineStr">
        <is>
          <t>support</t>
        </is>
      </c>
      <c r="D355" t="n">
        <v>5</v>
      </c>
      <c r="E355">
        <f>E343</f>
        <v/>
      </c>
      <c r="F355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t="inlineStr">
        <is>
          <t>Raider Hounds</t>
        </is>
      </c>
      <c r="BJ355" t="n">
        <v>2</v>
      </c>
      <c r="CI355" t="inlineStr">
        <is>
          <t>C</t>
        </is>
      </c>
      <c r="CJ355" t="inlineStr">
        <is>
          <t>Raptors chase raiders (or the dino that hurt a tower)</t>
        </is>
      </c>
      <c r="CK355" t="inlineStr">
        <is>
          <t>yes</t>
        </is>
      </c>
      <c r="CL355" t="n">
        <v>20</v>
      </c>
      <c r="CM355" t="n">
        <v>1</v>
      </c>
      <c r="CN355" t="n">
        <v>10</v>
      </c>
      <c r="EF355" t="n">
        <v>2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2026-10-14T21:56:30Z</dcterms:modified>
</cp:coreProperties>
</file>