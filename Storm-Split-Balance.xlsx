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1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0"/>
    <row r="201">
      <c r="A201" t="inlineStr">
        <is>
          <t>AMBER RESIN CANNON</t>
        </is>
      </c>
    </row>
    <row r="202">
      <c r="A202" t="inlineStr">
        <is>
          <t>Resin hits to entomb</t>
        </is>
      </c>
      <c r="B202" t="n">
        <v>6</v>
      </c>
      <c r="C202" t="inlineStr">
        <is>
          <t>resin a full-HP dino needs before it is entombed (x Entomb hits x x its HP-left share, at least 1; Shared/Resin)</t>
        </is>
      </c>
    </row>
    <row r="203">
      <c r="A203" t="inlineStr">
        <is>
          <t>Entomb base (s)</t>
        </is>
      </c>
      <c r="B203" t="n">
        <v>0.8</v>
      </c>
      <c r="C203" t="inlineStr">
        <is>
          <t>s an entomb holds when the build sets no Entomb (s) (a hard stop; bosses x Boss hard stop x)</t>
        </is>
      </c>
    </row>
    <row r="204">
      <c r="A204" t="inlineStr">
        <is>
          <t>Resin hit slow %</t>
        </is>
      </c>
      <c r="B204" t="n">
        <v>20</v>
      </c>
      <c r="C204" t="inlineStr">
        <is>
          <t>% slower after each resin hit (not bosses)</t>
        </is>
      </c>
    </row>
    <row r="205">
      <c r="A205" t="inlineStr">
        <is>
          <t>Resin hit slow (s)</t>
        </is>
      </c>
      <c r="B205" t="n">
        <v>1</v>
      </c>
      <c r="C205" t="inlineStr">
        <is>
          <t>s the resin-hit slow lasts</t>
        </is>
      </c>
    </row>
    <row r="206">
      <c r="A206" t="inlineStr">
        <is>
          <t>Boss entomb every (s)</t>
        </is>
      </c>
      <c r="B206" t="n">
        <v>10</v>
      </c>
      <c r="C206" t="inlineStr">
        <is>
          <t>s: a boss is entombed at most once per this, per boss</t>
        </is>
      </c>
    </row>
    <row r="207">
      <c r="A207" t="inlineStr">
        <is>
          <t>Spread reach (studs)</t>
        </is>
      </c>
      <c r="B207" t="n">
        <v>6</v>
      </c>
      <c r="C207" t="inlineStr">
        <is>
          <t>studs: Spreading Amber takes the nearest dinos this close</t>
        </is>
      </c>
    </row>
    <row r="208">
      <c r="A208" t="inlineStr">
        <is>
          <t>Sticky bed reach (studs)</t>
        </is>
      </c>
      <c r="B208" t="n">
        <v>6</v>
      </c>
      <c r="C208" t="inlineStr">
        <is>
          <t>studs: Sticky Bed slows dinos this close to an entombed one</t>
        </is>
      </c>
    </row>
    <row r="209">
      <c r="A209" t="inlineStr">
        <is>
          <t>Fossil Fuel cap %</t>
        </is>
      </c>
      <c r="B209" t="n">
        <v>30</v>
      </c>
      <c r="C209" t="inlineStr">
        <is>
          <t>% attack speed Fossil Fuel's stack reaches at most (per round)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t="inlineStr">
        <is>
          <t>Resin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t="inlineStr">
        <is>
          <t>Amber Resin Cannon</t>
        </is>
      </c>
      <c r="B19" t="inlineStr">
        <is>
          <t>Control: resin slows, entombs and fossilizes</t>
        </is>
      </c>
      <c r="C19" t="n">
        <v>800</v>
      </c>
      <c r="D19" t="n">
        <v>2</v>
      </c>
      <c r="E19" t="n">
        <v>1</v>
      </c>
      <c r="F19" t="n">
        <v>1</v>
      </c>
      <c r="G19">
        <f>D19*E19*F19</f>
        <v/>
      </c>
      <c r="H19" t="n">
        <v>18</v>
      </c>
      <c r="I19" t="inlineStr">
        <is>
          <t>No</t>
        </is>
      </c>
      <c r="J19" t="n">
        <v>0</v>
      </c>
      <c r="K19" t="inlineStr">
        <is>
          <t>Resin globs: slows, entombs (hard stop), fossils. TOWERS_LATER.md.</t>
        </is>
      </c>
      <c r="L19" t="n">
        <v>0</v>
      </c>
      <c r="M19" t="n">
        <v>0</v>
      </c>
      <c r="N19" t="n">
        <v>500</v>
      </c>
      <c r="O19" t="inlineStr">
        <is>
          <t>RESIN</t>
        </is>
      </c>
      <c r="P19" t="n">
        <v>150</v>
      </c>
      <c r="Q19" t="n">
        <v>0</v>
      </c>
      <c r="R19" t="n">
        <v>0</v>
      </c>
      <c r="Y19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M32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t="inlineStr">
        <is>
          <t>Entomb (s)</t>
        </is>
      </c>
      <c r="CW4" t="inlineStr">
        <is>
          <t>Entomb hits x</t>
        </is>
      </c>
      <c r="CX4" t="inlineStr">
        <is>
          <t>Entomb amp %</t>
        </is>
      </c>
      <c r="CY4" t="inlineStr">
        <is>
          <t>Entomb spread</t>
        </is>
      </c>
      <c r="CZ4" t="inlineStr">
        <is>
          <t>Entomb slow %</t>
        </is>
      </c>
      <c r="DA4" t="inlineStr">
        <is>
          <t>Entomb all every (s)</t>
        </is>
      </c>
      <c r="DB4" t="inlineStr">
        <is>
          <t>Boss entomb (s)</t>
        </is>
      </c>
      <c r="DC4" t="inlineStr">
        <is>
          <t>Send back (studs)</t>
        </is>
      </c>
      <c r="DD4" t="inlineStr">
        <is>
          <t>Fossil below %</t>
        </is>
      </c>
      <c r="DE4" t="inlineStr">
        <is>
          <t>Fossil rate %</t>
        </is>
      </c>
      <c r="DF4" t="inlineStr">
        <is>
          <t>Bounty fossils x</t>
        </is>
      </c>
      <c r="DG4" t="inlineStr">
        <is>
          <t>Heart every (fossils)</t>
        </is>
      </c>
      <c r="DH4" t="inlineStr">
        <is>
          <t>Seal (s)</t>
        </is>
      </c>
      <c r="DI4" t="inlineStr">
        <is>
          <t>Seal every (s)</t>
        </is>
      </c>
      <c r="DJ4" t="inlineStr">
        <is>
          <t>Seal heal %</t>
        </is>
      </c>
      <c r="DK4" t="inlineStr">
        <is>
          <t>Reflect damage</t>
        </is>
      </c>
      <c r="DL4" t="inlineStr">
        <is>
          <t>Wall (s)</t>
        </is>
      </c>
      <c r="DM4" t="inlineStr">
        <is>
          <t>Take-down mark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t="inlineStr">
        <is>
          <t>Amber Resin Cannon</t>
        </is>
      </c>
      <c r="B302" t="inlineStr">
        <is>
          <t>Entomb</t>
        </is>
      </c>
      <c r="C302" t="inlineStr">
        <is>
          <t>control</t>
        </is>
      </c>
      <c r="D302" t="n">
        <v>1</v>
      </c>
      <c r="E302">
        <f>ROUND('Towers'!$C$19*POWER('Tuning'!$B$12,D302),0)</f>
        <v/>
      </c>
      <c r="F302">
        <f>'Towers'!$C$19+E302</f>
        <v/>
      </c>
      <c r="G302" s="110" t="n">
        <v>1.4</v>
      </c>
      <c r="H302" s="110" t="n">
        <v>1.2</v>
      </c>
      <c r="I302" s="110" t="n">
        <v>1</v>
      </c>
      <c r="J302">
        <f>'Towers'!$G$19*G302*H302*I302</f>
        <v/>
      </c>
      <c r="K302">
        <f>IF(J302=0,0,F302/J302)</f>
        <v/>
      </c>
      <c r="L302" s="110" t="n">
        <v>1</v>
      </c>
      <c r="M302" t="inlineStr">
        <is>
          <t>Thick Resin</t>
        </is>
      </c>
      <c r="CW302" t="n">
        <v>0.85</v>
      </c>
    </row>
    <row r="303">
      <c r="A303" t="inlineStr">
        <is>
          <t>Amber Resin Cannon</t>
        </is>
      </c>
      <c r="B303" t="inlineStr">
        <is>
          <t>Entomb</t>
        </is>
      </c>
      <c r="C303" t="inlineStr">
        <is>
          <t>control</t>
        </is>
      </c>
      <c r="D303" t="n">
        <v>2</v>
      </c>
      <c r="E303">
        <f>ROUND('Towers'!$C$19*POWER('Tuning'!$B$12,D303),0)</f>
        <v/>
      </c>
      <c r="F303">
        <f>F302+E303</f>
        <v/>
      </c>
      <c r="G303" s="110" t="n">
        <v>2</v>
      </c>
      <c r="H303" s="110" t="n">
        <v>1.45</v>
      </c>
      <c r="I303" s="110" t="n">
        <v>1</v>
      </c>
      <c r="J303">
        <f>'Towers'!$G$19*G303*H303*I303</f>
        <v/>
      </c>
      <c r="K303">
        <f>IF(J303=0,0,F303/J303)</f>
        <v/>
      </c>
      <c r="L303" s="110" t="n">
        <v>1</v>
      </c>
      <c r="M303" t="inlineStr">
        <is>
          <t>Quick Set</t>
        </is>
      </c>
      <c r="CW303" t="n">
        <v>0.7</v>
      </c>
    </row>
    <row r="304">
      <c r="A304" t="inlineStr">
        <is>
          <t>Amber Resin Cannon</t>
        </is>
      </c>
      <c r="B304" t="inlineStr">
        <is>
          <t>Entomb</t>
        </is>
      </c>
      <c r="C304" t="inlineStr">
        <is>
          <t>control</t>
        </is>
      </c>
      <c r="D304" t="n">
        <v>3</v>
      </c>
      <c r="E304">
        <f>ROUND('Towers'!$C$19*POWER('Tuning'!$B$12,D304),0)</f>
        <v/>
      </c>
      <c r="F304">
        <f>F303+E304</f>
        <v/>
      </c>
      <c r="G304" s="110" t="n">
        <v>3</v>
      </c>
      <c r="H304" s="110" t="n">
        <v>1.8</v>
      </c>
      <c r="I304" s="110" t="n">
        <v>1</v>
      </c>
      <c r="J304">
        <f>'Towers'!$G$19*G304*H304*I304</f>
        <v/>
      </c>
      <c r="K304">
        <f>IF(J304=0,0,F304/J304)</f>
        <v/>
      </c>
      <c r="L304" s="110" t="n">
        <v>1</v>
      </c>
      <c r="M304" t="inlineStr">
        <is>
          <t>Amber Tomb</t>
        </is>
      </c>
      <c r="CV304" t="n">
        <v>2</v>
      </c>
      <c r="CW304" t="n">
        <v>0.5</v>
      </c>
    </row>
    <row r="305">
      <c r="A305" t="inlineStr">
        <is>
          <t>Amber Resin Cannon</t>
        </is>
      </c>
      <c r="B305" t="inlineStr">
        <is>
          <t>Entomb</t>
        </is>
      </c>
      <c r="C305" t="inlineStr">
        <is>
          <t>control</t>
        </is>
      </c>
      <c r="D305" t="n">
        <v>4</v>
      </c>
      <c r="E305">
        <f>ROUND('Towers'!$C$19*POWER('Tuning'!$B$12,D305),0)</f>
        <v/>
      </c>
      <c r="F305">
        <f>F304+E305</f>
        <v/>
      </c>
      <c r="G305" s="110" t="n">
        <v>1.6</v>
      </c>
      <c r="H305" s="110" t="n">
        <v>1</v>
      </c>
      <c r="I305" s="110" t="n">
        <v>1</v>
      </c>
      <c r="J305">
        <f>J304*G305*H305*I305</f>
        <v/>
      </c>
      <c r="K305">
        <f>IF(J305=0,0,F305/J305)</f>
        <v/>
      </c>
      <c r="L305" s="110" t="n">
        <v>1</v>
      </c>
      <c r="M305" t="inlineStr">
        <is>
          <t>Hardened Amber</t>
        </is>
      </c>
      <c r="CI305" t="inlineStr">
        <is>
          <t>A</t>
        </is>
      </c>
      <c r="CJ305" t="inlineStr">
        <is>
          <t>Stuck dinos take +30% from everything</t>
        </is>
      </c>
      <c r="CX305" t="n">
        <v>30</v>
      </c>
    </row>
    <row r="306">
      <c r="A306" t="inlineStr">
        <is>
          <t>Amber Resin Cannon</t>
        </is>
      </c>
      <c r="B306" t="inlineStr">
        <is>
          <t>Entomb</t>
        </is>
      </c>
      <c r="C306" t="inlineStr">
        <is>
          <t>control</t>
        </is>
      </c>
      <c r="D306" t="n">
        <v>5</v>
      </c>
      <c r="E306">
        <f>ROUND('Towers'!$C$19*POWER('Tuning'!$B$12,D306),0)</f>
        <v/>
      </c>
      <c r="F306">
        <f>F305+E306</f>
        <v/>
      </c>
      <c r="G306" s="110" t="n">
        <v>1.8</v>
      </c>
      <c r="H306" s="110" t="n">
        <v>1</v>
      </c>
      <c r="I306" s="110" t="n">
        <v>1</v>
      </c>
      <c r="J306">
        <f>J305*G306*H306*I306</f>
        <v/>
      </c>
      <c r="K306">
        <f>IF(J306=0,0,F306/J306)</f>
        <v/>
      </c>
      <c r="L306" s="110" t="n">
        <v>1</v>
      </c>
      <c r="M306" t="inlineStr">
        <is>
          <t>Amber Age</t>
        </is>
      </c>
      <c r="CI306" t="inlineStr">
        <is>
          <t>A</t>
        </is>
      </c>
      <c r="CJ306" t="inlineStr">
        <is>
          <t>Every 12 s, everything in range is stuck</t>
        </is>
      </c>
      <c r="DA306" t="n">
        <v>12</v>
      </c>
    </row>
    <row r="307">
      <c r="A307" t="inlineStr">
        <is>
          <t>Amber Resin Cannon</t>
        </is>
      </c>
      <c r="B307" t="inlineStr">
        <is>
          <t>Fossilize</t>
        </is>
      </c>
      <c r="C307" t="inlineStr">
        <is>
          <t>economy</t>
        </is>
      </c>
      <c r="D307" t="n">
        <v>1</v>
      </c>
      <c r="E307">
        <f>ROUND('Towers'!$C$19*POWER('Tuning'!$B$12,D307),0)</f>
        <v/>
      </c>
      <c r="F307">
        <f>'Towers'!$C$19+E307</f>
        <v/>
      </c>
      <c r="G307" s="110" t="n">
        <v>1.3</v>
      </c>
      <c r="H307" s="110" t="n">
        <v>1</v>
      </c>
      <c r="I307" s="110" t="n">
        <v>1</v>
      </c>
      <c r="J307">
        <f>'Towers'!$G$19*G307*H307*I307</f>
        <v/>
      </c>
      <c r="K307">
        <f>IF(J307=0,0,F307/J307)</f>
        <v/>
      </c>
      <c r="L307" s="110" t="n">
        <v>1.15</v>
      </c>
      <c r="M307" t="inlineStr">
        <is>
          <t>Collector's Eye</t>
        </is>
      </c>
      <c r="CD307" t="n">
        <v>4</v>
      </c>
      <c r="DD307" t="n">
        <v>10</v>
      </c>
    </row>
    <row r="308">
      <c r="A308" t="inlineStr">
        <is>
          <t>Amber Resin Cannon</t>
        </is>
      </c>
      <c r="B308" t="inlineStr">
        <is>
          <t>Fossilize</t>
        </is>
      </c>
      <c r="C308" t="inlineStr">
        <is>
          <t>economy</t>
        </is>
      </c>
      <c r="D308" t="n">
        <v>2</v>
      </c>
      <c r="E308">
        <f>ROUND('Towers'!$C$19*POWER('Tuning'!$B$12,D308),0)</f>
        <v/>
      </c>
      <c r="F308">
        <f>F307+E308</f>
        <v/>
      </c>
      <c r="G308" s="110" t="n">
        <v>1.8</v>
      </c>
      <c r="H308" s="110" t="n">
        <v>1.3</v>
      </c>
      <c r="I308" s="110" t="n">
        <v>1</v>
      </c>
      <c r="J308">
        <f>'Towers'!$G$19*G308*H308*I308</f>
        <v/>
      </c>
      <c r="K308">
        <f>IF(J308=0,0,F308/J308)</f>
        <v/>
      </c>
      <c r="L308" s="110" t="n">
        <v>1.15</v>
      </c>
      <c r="M308" t="inlineStr">
        <is>
          <t>Rare Find</t>
        </is>
      </c>
      <c r="CD308" t="n">
        <v>10</v>
      </c>
      <c r="DD308" t="n">
        <v>12</v>
      </c>
    </row>
    <row r="309">
      <c r="A309" t="inlineStr">
        <is>
          <t>Amber Resin Cannon</t>
        </is>
      </c>
      <c r="B309" t="inlineStr">
        <is>
          <t>Fossilize</t>
        </is>
      </c>
      <c r="C309" t="inlineStr">
        <is>
          <t>economy</t>
        </is>
      </c>
      <c r="D309" t="n">
        <v>3</v>
      </c>
      <c r="E309">
        <f>ROUND('Towers'!$C$19*POWER('Tuning'!$B$12,D309),0)</f>
        <v/>
      </c>
      <c r="F309">
        <f>F308+E309</f>
        <v/>
      </c>
      <c r="G309" s="110" t="n">
        <v>2.6</v>
      </c>
      <c r="H309" s="110" t="n">
        <v>1.5</v>
      </c>
      <c r="I309" s="110" t="n">
        <v>1</v>
      </c>
      <c r="J309">
        <f>'Towers'!$G$19*G309*H309*I309</f>
        <v/>
      </c>
      <c r="K309">
        <f>IF(J309=0,0,F309/J309)</f>
        <v/>
      </c>
      <c r="L309" s="110" t="n">
        <v>1.15</v>
      </c>
      <c r="M309" t="inlineStr">
        <is>
          <t>Fossil Record</t>
        </is>
      </c>
      <c r="CD309" t="n">
        <v>16</v>
      </c>
      <c r="CW309" t="n">
        <v>0.7</v>
      </c>
      <c r="DD309" t="n">
        <v>20</v>
      </c>
    </row>
    <row r="310">
      <c r="A310" t="inlineStr">
        <is>
          <t>Amber Resin Cannon</t>
        </is>
      </c>
      <c r="B310" t="inlineStr">
        <is>
          <t>Fossilize</t>
        </is>
      </c>
      <c r="C310" t="inlineStr">
        <is>
          <t>economy</t>
        </is>
      </c>
      <c r="D310" t="n">
        <v>4</v>
      </c>
      <c r="E310">
        <f>ROUND('Towers'!$C$19*POWER('Tuning'!$B$12,D310),0)</f>
        <v/>
      </c>
      <c r="F310">
        <f>F309+E310</f>
        <v/>
      </c>
      <c r="G310" s="110" t="n">
        <v>1</v>
      </c>
      <c r="H310" s="110" t="n">
        <v>1</v>
      </c>
      <c r="I310" s="110" t="n">
        <v>1</v>
      </c>
      <c r="J310">
        <f>J309*G310*H310*I310</f>
        <v/>
      </c>
      <c r="K310">
        <f>IF(J310=0,0,F310/J310)</f>
        <v/>
      </c>
      <c r="L310" s="110" t="n">
        <v>1</v>
      </c>
      <c r="M310" t="inlineStr">
        <is>
          <t>Museum Piece</t>
        </is>
      </c>
      <c r="CD310" t="n">
        <v>32</v>
      </c>
      <c r="CI310" t="inlineStr">
        <is>
          <t>A</t>
        </is>
      </c>
      <c r="CJ310" t="inlineStr">
        <is>
          <t>Fossils pay double cash</t>
        </is>
      </c>
    </row>
    <row r="311">
      <c r="A311" t="inlineStr">
        <is>
          <t>Amber Resin Cannon</t>
        </is>
      </c>
      <c r="B311" t="inlineStr">
        <is>
          <t>Fossilize</t>
        </is>
      </c>
      <c r="C311" t="inlineStr">
        <is>
          <t>economy</t>
        </is>
      </c>
      <c r="D311" t="n">
        <v>5</v>
      </c>
      <c r="E311">
        <f>ROUND('Towers'!$C$19*POWER('Tuning'!$B$12,D311),0)</f>
        <v/>
      </c>
      <c r="F311">
        <f>F310+E311</f>
        <v/>
      </c>
      <c r="G311" s="110" t="n">
        <v>1</v>
      </c>
      <c r="H311" s="110" t="n">
        <v>1</v>
      </c>
      <c r="I311" s="110" t="n">
        <v>1</v>
      </c>
      <c r="J311">
        <f>J310*G311*H311*I311</f>
        <v/>
      </c>
      <c r="K311">
        <f>IF(J311=0,0,F311/J311)</f>
        <v/>
      </c>
      <c r="L311" s="110" t="n">
        <v>1</v>
      </c>
      <c r="M311" t="inlineStr">
        <is>
          <t>Fossil Fuel</t>
        </is>
      </c>
      <c r="CI311" t="inlineStr">
        <is>
          <t>A</t>
        </is>
      </c>
      <c r="CJ311" t="inlineStr">
        <is>
          <t>Each fossil speeds up nearby towers</t>
        </is>
      </c>
      <c r="DD311" t="n">
        <v>25</v>
      </c>
      <c r="DE311" t="n">
        <v>5</v>
      </c>
    </row>
    <row r="312">
      <c r="A312" t="inlineStr">
        <is>
          <t>Amber Resin Cannon</t>
        </is>
      </c>
      <c r="B312" t="inlineStr">
        <is>
          <t>Resin Shell</t>
        </is>
      </c>
      <c r="C312" t="inlineStr">
        <is>
          <t>support</t>
        </is>
      </c>
      <c r="D312" t="n">
        <v>1</v>
      </c>
      <c r="E312">
        <f>ROUND('Towers'!$C$19*POWER('Tuning'!$B$12,D312),0)</f>
        <v/>
      </c>
      <c r="F312">
        <f>'Towers'!$C$19+E312</f>
        <v/>
      </c>
      <c r="G312" s="110" t="n">
        <v>1</v>
      </c>
      <c r="H312" s="110" t="n">
        <v>1</v>
      </c>
      <c r="I312" s="110" t="n">
        <v>1</v>
      </c>
      <c r="J312">
        <f>'Towers'!$G$19*G312*H312*I312</f>
        <v/>
      </c>
      <c r="K312">
        <f>IF(J312=0,0,F312/J312)</f>
        <v/>
      </c>
      <c r="L312" s="110" t="n">
        <v>1</v>
      </c>
      <c r="M312" t="inlineStr">
        <is>
          <t>Coat of Resin</t>
        </is>
      </c>
      <c r="BH312" t="n">
        <v>15</v>
      </c>
    </row>
    <row r="313">
      <c r="A313" t="inlineStr">
        <is>
          <t>Amber Resin Cannon</t>
        </is>
      </c>
      <c r="B313" t="inlineStr">
        <is>
          <t>Resin Shell</t>
        </is>
      </c>
      <c r="C313" t="inlineStr">
        <is>
          <t>support</t>
        </is>
      </c>
      <c r="D313" t="n">
        <v>2</v>
      </c>
      <c r="E313">
        <f>ROUND('Towers'!$C$19*POWER('Tuning'!$B$12,D313),0)</f>
        <v/>
      </c>
      <c r="F313">
        <f>F312+E313</f>
        <v/>
      </c>
      <c r="G313" s="110" t="n">
        <v>1</v>
      </c>
      <c r="H313" s="110" t="n">
        <v>1</v>
      </c>
      <c r="I313" s="110" t="n">
        <v>1</v>
      </c>
      <c r="J313">
        <f>'Towers'!$G$19*G313*H313*I313</f>
        <v/>
      </c>
      <c r="K313">
        <f>IF(J313=0,0,F313/J313)</f>
        <v/>
      </c>
      <c r="L313" s="110" t="n">
        <v>1</v>
      </c>
      <c r="M313" t="inlineStr">
        <is>
          <t>Sticky Armour</t>
        </is>
      </c>
      <c r="AU313" t="n">
        <v>20</v>
      </c>
      <c r="BH313" t="n">
        <v>15</v>
      </c>
    </row>
    <row r="314">
      <c r="A314" t="inlineStr">
        <is>
          <t>Amber Resin Cannon</t>
        </is>
      </c>
      <c r="B314" t="inlineStr">
        <is>
          <t>Resin Shell</t>
        </is>
      </c>
      <c r="C314" t="inlineStr">
        <is>
          <t>support</t>
        </is>
      </c>
      <c r="D314" t="n">
        <v>3</v>
      </c>
      <c r="E314">
        <f>ROUND('Towers'!$C$19*POWER('Tuning'!$B$12,D314),0)</f>
        <v/>
      </c>
      <c r="F314">
        <f>F313+E314</f>
        <v/>
      </c>
      <c r="G314" s="110" t="n">
        <v>1</v>
      </c>
      <c r="H314" s="110" t="n">
        <v>1</v>
      </c>
      <c r="I314" s="110" t="n">
        <v>1</v>
      </c>
      <c r="J314">
        <f>'Towers'!$G$19*G314*H314*I314</f>
        <v/>
      </c>
      <c r="K314">
        <f>IF(J314=0,0,F314/J314)</f>
        <v/>
      </c>
      <c r="L314" s="110" t="n">
        <v>1</v>
      </c>
      <c r="M314" t="inlineStr">
        <is>
          <t>Amber Shield</t>
        </is>
      </c>
      <c r="AU314" t="n">
        <v>20</v>
      </c>
      <c r="BH314" t="n">
        <v>15</v>
      </c>
      <c r="DH314" t="n">
        <v>3</v>
      </c>
    </row>
    <row r="315">
      <c r="A315" t="inlineStr">
        <is>
          <t>Amber Resin Cannon</t>
        </is>
      </c>
      <c r="B315" t="inlineStr">
        <is>
          <t>Resin Shell</t>
        </is>
      </c>
      <c r="C315" t="inlineStr">
        <is>
          <t>support</t>
        </is>
      </c>
      <c r="D315" t="n">
        <v>4</v>
      </c>
      <c r="E315">
        <f>ROUND('Towers'!$C$19*POWER('Tuning'!$B$12,D315),0)</f>
        <v/>
      </c>
      <c r="F315">
        <f>F314+E315</f>
        <v/>
      </c>
      <c r="G315" s="110" t="n">
        <v>1</v>
      </c>
      <c r="H315" s="110" t="n">
        <v>1</v>
      </c>
      <c r="I315" s="110" t="n">
        <v>1</v>
      </c>
      <c r="J315">
        <f>J314*G315*H315*I315</f>
        <v/>
      </c>
      <c r="K315">
        <f>IF(J315=0,0,F315/J315)</f>
        <v/>
      </c>
      <c r="L315" s="110" t="n">
        <v>1</v>
      </c>
      <c r="M315" t="inlineStr">
        <is>
          <t>Self-Sealing</t>
        </is>
      </c>
      <c r="CI315" t="inlineStr">
        <is>
          <t>A</t>
        </is>
      </c>
      <c r="CJ315" t="inlineStr">
        <is>
          <t>Sealed towers heal 30% when the shell breaks</t>
        </is>
      </c>
      <c r="DJ315" t="n">
        <v>30</v>
      </c>
    </row>
    <row r="316">
      <c r="A316" t="inlineStr">
        <is>
          <t>Amber Resin Cannon</t>
        </is>
      </c>
      <c r="B316" t="inlineStr">
        <is>
          <t>Resin Shell</t>
        </is>
      </c>
      <c r="C316" t="inlineStr">
        <is>
          <t>support</t>
        </is>
      </c>
      <c r="D316" t="n">
        <v>5</v>
      </c>
      <c r="E316">
        <f>ROUND('Towers'!$C$19*POWER('Tuning'!$B$12,D316),0)</f>
        <v/>
      </c>
      <c r="F316">
        <f>F315+E316</f>
        <v/>
      </c>
      <c r="G316" s="110" t="n">
        <v>1</v>
      </c>
      <c r="H316" s="110" t="n">
        <v>1</v>
      </c>
      <c r="I316" s="110" t="n">
        <v>1</v>
      </c>
      <c r="J316">
        <f>J315*G316*H316*I316</f>
        <v/>
      </c>
      <c r="K316">
        <f>IF(J316=0,0,F316/J316)</f>
        <v/>
      </c>
      <c r="L316" s="110" t="n">
        <v>1</v>
      </c>
      <c r="M316" t="inlineStr">
        <is>
          <t>Amber Fortress</t>
        </is>
      </c>
      <c r="CI316" t="inlineStr">
        <is>
          <t>A</t>
        </is>
      </c>
      <c r="CJ316" t="inlineStr">
        <is>
          <t>Nearby towers can't be knocked out (20 s each)</t>
        </is>
      </c>
      <c r="DI316" t="n">
        <v>20</v>
      </c>
    </row>
    <row r="317">
      <c r="A317" t="inlineStr">
        <is>
          <t>Amber Resin Cannon</t>
        </is>
      </c>
      <c r="B317" t="inlineStr">
        <is>
          <t>Entomb</t>
        </is>
      </c>
      <c r="C317" t="inlineStr">
        <is>
          <t>control</t>
        </is>
      </c>
      <c r="D317" t="n">
        <v>4</v>
      </c>
      <c r="E317">
        <f>E305</f>
        <v/>
      </c>
      <c r="F317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t="inlineStr">
        <is>
          <t>Spreading Amber</t>
        </is>
      </c>
      <c r="CI317" t="inlineStr">
        <is>
          <t>B</t>
        </is>
      </c>
      <c r="CJ317" t="inlineStr">
        <is>
          <t>The amber jumps to the next dino</t>
        </is>
      </c>
      <c r="CY317" t="n">
        <v>1</v>
      </c>
    </row>
    <row r="318">
      <c r="A318" t="inlineStr">
        <is>
          <t>Amber Resin Cannon</t>
        </is>
      </c>
      <c r="B318" t="inlineStr">
        <is>
          <t>Entomb</t>
        </is>
      </c>
      <c r="C318" t="inlineStr">
        <is>
          <t>control</t>
        </is>
      </c>
      <c r="D318" t="n">
        <v>4</v>
      </c>
      <c r="E318">
        <f>E305</f>
        <v/>
      </c>
      <c r="F318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t="inlineStr">
        <is>
          <t>Sticky Bed</t>
        </is>
      </c>
      <c r="CI318" t="inlineStr">
        <is>
          <t>C</t>
        </is>
      </c>
      <c r="CJ318" t="inlineStr">
        <is>
          <t>Dinos walking past a stuck one slow 30%</t>
        </is>
      </c>
      <c r="CZ318" t="n">
        <v>30</v>
      </c>
    </row>
    <row r="319">
      <c r="A319" t="inlineStr">
        <is>
          <t>Amber Resin Cannon</t>
        </is>
      </c>
      <c r="B319" t="inlineStr">
        <is>
          <t>Entomb</t>
        </is>
      </c>
      <c r="C319" t="inlineStr">
        <is>
          <t>control</t>
        </is>
      </c>
      <c r="D319" t="n">
        <v>5</v>
      </c>
      <c r="E319">
        <f>E306</f>
        <v/>
      </c>
      <c r="F319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t="inlineStr">
        <is>
          <t>Living Amber</t>
        </is>
      </c>
      <c r="CI319" t="inlineStr">
        <is>
          <t>B</t>
        </is>
      </c>
      <c r="CJ319" t="inlineStr">
        <is>
          <t>Traps a boss 3 s; others stay stuck longer</t>
        </is>
      </c>
      <c r="CV319" t="n">
        <v>2.5</v>
      </c>
      <c r="DB319" t="n">
        <v>3</v>
      </c>
    </row>
    <row r="320">
      <c r="A320" t="inlineStr">
        <is>
          <t>Amber Resin Cannon</t>
        </is>
      </c>
      <c r="B320" t="inlineStr">
        <is>
          <t>Entomb</t>
        </is>
      </c>
      <c r="C320" t="inlineStr">
        <is>
          <t>control</t>
        </is>
      </c>
      <c r="D320" t="n">
        <v>5</v>
      </c>
      <c r="E320">
        <f>E306</f>
        <v/>
      </c>
      <c r="F320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t="inlineStr">
        <is>
          <t>Time Capsule</t>
        </is>
      </c>
      <c r="CI320" t="inlineStr">
        <is>
          <t>C</t>
        </is>
      </c>
      <c r="CJ320" t="inlineStr">
        <is>
          <t>Stuck dinos are sent 12 studs back</t>
        </is>
      </c>
      <c r="DC320" t="n">
        <v>12</v>
      </c>
    </row>
    <row r="321">
      <c r="A321" t="inlineStr">
        <is>
          <t>Amber Resin Cannon</t>
        </is>
      </c>
      <c r="B321" t="inlineStr">
        <is>
          <t>Fossilize</t>
        </is>
      </c>
      <c r="C321" t="inlineStr">
        <is>
          <t>economy</t>
        </is>
      </c>
      <c r="D321" t="n">
        <v>4</v>
      </c>
      <c r="E321">
        <f>E310</f>
        <v/>
      </c>
      <c r="F32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t="inlineStr">
        <is>
          <t>Dig Crew</t>
        </is>
      </c>
      <c r="CE321" t="n">
        <v>25</v>
      </c>
      <c r="CI321" t="inlineStr">
        <is>
          <t>B</t>
        </is>
      </c>
      <c r="CJ321" t="inlineStr">
        <is>
          <t>A fossil drops a cash chest</t>
        </is>
      </c>
    </row>
    <row r="322">
      <c r="A322" t="inlineStr">
        <is>
          <t>Amber Resin Cannon</t>
        </is>
      </c>
      <c r="B322" t="inlineStr">
        <is>
          <t>Fossilize</t>
        </is>
      </c>
      <c r="C322" t="inlineStr">
        <is>
          <t>economy</t>
        </is>
      </c>
      <c r="D322" t="n">
        <v>4</v>
      </c>
      <c r="E322">
        <f>E310</f>
        <v/>
      </c>
      <c r="F322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t="inlineStr">
        <is>
          <t>Bone Dust</t>
        </is>
      </c>
      <c r="CI322" t="inlineStr">
        <is>
          <t>C</t>
        </is>
      </c>
      <c r="CJ322" t="inlineStr">
        <is>
          <t>Fossils mark nearby dinos +15%</t>
        </is>
      </c>
      <c r="DM322" t="n">
        <v>15</v>
      </c>
    </row>
    <row r="323">
      <c r="A323" t="inlineStr">
        <is>
          <t>Amber Resin Cannon</t>
        </is>
      </c>
      <c r="B323" t="inlineStr">
        <is>
          <t>Fossilize</t>
        </is>
      </c>
      <c r="C323" t="inlineStr">
        <is>
          <t>economy</t>
        </is>
      </c>
      <c r="D323" t="n">
        <v>5</v>
      </c>
      <c r="E323">
        <f>E311</f>
        <v/>
      </c>
      <c r="F323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t="inlineStr">
        <is>
          <t>Prize Fossils</t>
        </is>
      </c>
      <c r="CI323" t="inlineStr">
        <is>
          <t>B</t>
        </is>
      </c>
      <c r="CJ323" t="inlineStr">
        <is>
          <t>More fossils; each counts double for bounties</t>
        </is>
      </c>
      <c r="DD323" t="n">
        <v>30</v>
      </c>
      <c r="DF323" t="n">
        <v>2</v>
      </c>
    </row>
    <row r="324">
      <c r="A324" t="inlineStr">
        <is>
          <t>Amber Resin Cannon</t>
        </is>
      </c>
      <c r="B324" t="inlineStr">
        <is>
          <t>Fossilize</t>
        </is>
      </c>
      <c r="C324" t="inlineStr">
        <is>
          <t>economy</t>
        </is>
      </c>
      <c r="D324" t="n">
        <v>5</v>
      </c>
      <c r="E324">
        <f>E311</f>
        <v/>
      </c>
      <c r="F324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t="inlineStr">
        <is>
          <t>Amber Heart</t>
        </is>
      </c>
      <c r="CI324" t="inlineStr">
        <is>
          <t>C</t>
        </is>
      </c>
      <c r="CJ324" t="inlineStr">
        <is>
          <t>Every 15th fossil freezes your whole side 1 s</t>
        </is>
      </c>
      <c r="DG324" t="n">
        <v>15</v>
      </c>
    </row>
    <row r="325">
      <c r="A325" t="inlineStr">
        <is>
          <t>Amber Resin Cannon</t>
        </is>
      </c>
      <c r="B325" t="inlineStr">
        <is>
          <t>Resin Shell</t>
        </is>
      </c>
      <c r="C325" t="inlineStr">
        <is>
          <t>support</t>
        </is>
      </c>
      <c r="D325" t="n">
        <v>4</v>
      </c>
      <c r="E325">
        <f>E315</f>
        <v/>
      </c>
      <c r="F325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t="inlineStr">
        <is>
          <t>Raider Glue</t>
        </is>
      </c>
      <c r="CI325" t="inlineStr">
        <is>
          <t>B</t>
        </is>
      </c>
      <c r="CJ325" t="inlineStr">
        <is>
          <t>Raiders and biters near your towers slow down</t>
        </is>
      </c>
      <c r="CK325" t="inlineStr">
        <is>
          <t>yes</t>
        </is>
      </c>
      <c r="CL325" t="n">
        <v>20</v>
      </c>
      <c r="CM325" t="n">
        <v>2</v>
      </c>
      <c r="CP325" t="n">
        <v>25</v>
      </c>
      <c r="CQ325" t="n">
        <v>2</v>
      </c>
    </row>
    <row r="326">
      <c r="A326" t="inlineStr">
        <is>
          <t>Amber Resin Cannon</t>
        </is>
      </c>
      <c r="B326" t="inlineStr">
        <is>
          <t>Resin Shell</t>
        </is>
      </c>
      <c r="C326" t="inlineStr">
        <is>
          <t>support</t>
        </is>
      </c>
      <c r="D326" t="n">
        <v>4</v>
      </c>
      <c r="E326">
        <f>E315</f>
        <v/>
      </c>
      <c r="F326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t="inlineStr">
        <is>
          <t>Sticky Thorns</t>
        </is>
      </c>
      <c r="AV326" t="n">
        <v>5</v>
      </c>
      <c r="CI326" t="inlineStr">
        <is>
          <t>C</t>
        </is>
      </c>
      <c r="CJ326" t="inlineStr">
        <is>
          <t>Biters get slowed and take 5 damage</t>
        </is>
      </c>
      <c r="CP326" t="n">
        <v>15</v>
      </c>
      <c r="CQ326" t="n">
        <v>1.5</v>
      </c>
    </row>
    <row r="327">
      <c r="A327" t="inlineStr">
        <is>
          <t>Amber Resin Cannon</t>
        </is>
      </c>
      <c r="B327" t="inlineStr">
        <is>
          <t>Resin Shell</t>
        </is>
      </c>
      <c r="C327" t="inlineStr">
        <is>
          <t>support</t>
        </is>
      </c>
      <c r="D327" t="n">
        <v>5</v>
      </c>
      <c r="E327">
        <f>E316</f>
        <v/>
      </c>
      <c r="F327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t="inlineStr">
        <is>
          <t>Resin Wall</t>
        </is>
      </c>
      <c r="CI327" t="inlineStr">
        <is>
          <t>B</t>
        </is>
      </c>
      <c r="CJ327" t="inlineStr">
        <is>
          <t>Once a round, an amber wall holds every dino 3 s</t>
        </is>
      </c>
      <c r="DL327" t="n">
        <v>3</v>
      </c>
    </row>
    <row r="328">
      <c r="A328" t="inlineStr">
        <is>
          <t>Amber Resin Cannon</t>
        </is>
      </c>
      <c r="B328" t="inlineStr">
        <is>
          <t>Resin Shell</t>
        </is>
      </c>
      <c r="C328" t="inlineStr">
        <is>
          <t>support</t>
        </is>
      </c>
      <c r="D328" t="n">
        <v>5</v>
      </c>
      <c r="E328">
        <f>E316</f>
        <v/>
      </c>
      <c r="F328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t="inlineStr">
        <is>
          <t>Amber Mirror</t>
        </is>
      </c>
      <c r="BR328" t="n">
        <v>1</v>
      </c>
      <c r="CI328" t="inlineStr">
        <is>
          <t>C</t>
        </is>
      </c>
      <c r="CJ328" t="inlineStr">
        <is>
          <t>Throws at your towers bounce back</t>
        </is>
      </c>
      <c r="DK328" t="n">
        <v>60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2026-10-14T21:41:37Z</dcterms:modified>
</cp:coreProperties>
</file>