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1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  <row r="190">
      <c r="A190" s="81" t="inlineStr">
        <is>
          <t>Pool sting reach (studs)</t>
        </is>
      </c>
      <c r="B190" s="81" t="n">
        <v>12</v>
      </c>
      <c r="C190" s="81" t="inlineStr">
        <is>
          <t>studs: an on-track Raider tower (Bog Boots) stings a raider within this of the nearest point of its pool (its current length, Tar Lake included), not the whole pool; off-track Raider towers keep their range (PLAN T120b, #321)</t>
        </is>
      </c>
    </row>
    <row r="192">
      <c r="A192" s="81" t="inlineStr">
        <is>
          <t>4× TOWERS</t>
        </is>
      </c>
    </row>
    <row r="193">
      <c r="A193" s="81" t="inlineStr">
        <is>
          <t>Boss hard stop x</t>
        </is>
      </c>
      <c r="B193" s="81" t="n">
        <v>0.5</v>
      </c>
      <c r="C193" s="81" t="inlineStr">
        <is>
          <t>x a 4x hard stop (entomb, walls, nets, holds) on a boss unless the option says otherwise; hard stops never stack, the longer remaining wins (PLAN 9g common rule 4, #316)</t>
        </is>
      </c>
    </row>
    <row r="194">
      <c r="A194" s="81" t="inlineStr">
        <is>
          <t>Small size</t>
        </is>
      </c>
      <c r="B194" s="81" t="n">
        <v>2</v>
      </c>
      <c r="C194" s="81" t="inlineStr">
        <is>
          <t>"small dinos" = a non-boss at its last this many sizes (#316)</t>
        </is>
      </c>
    </row>
    <row r="195">
      <c r="A195" s="81" t="inlineStr">
        <is>
          <t>Wall min bunch</t>
        </is>
      </c>
      <c r="B195" s="81" t="n">
        <v>6</v>
      </c>
      <c r="C195" s="81" t="inlineStr">
        <is>
          <t>dinos in an area that set off a once-a-round effect at once (Shared/AutoFire, #316)</t>
        </is>
      </c>
    </row>
    <row r="196">
      <c r="A196" s="81" t="inlineStr">
        <is>
          <t>Wall reach (studs)</t>
        </is>
      </c>
      <c r="B196" s="81" t="n">
        <v>10</v>
      </c>
      <c r="C196" s="81" t="inlineStr">
        <is>
          <t>studs of track around a point counted as one bunch (Shared/AutoFire: the densest bunch)</t>
        </is>
      </c>
    </row>
    <row r="197">
      <c r="A197" s="81" t="inlineStr">
        <is>
          <t>Take-down mark radius</t>
        </is>
      </c>
      <c r="B197" s="81" t="n">
        <v>6</v>
      </c>
      <c r="C197" s="81" t="inlineStr">
        <is>
          <t>studs: a Take-down mark % take-down marks the dinos this near (Mark duration 3 s)</t>
        </is>
      </c>
    </row>
    <row r="198">
      <c r="A198" s="81" t="inlineStr">
        <is>
          <t>Round seconds (model)</t>
        </is>
      </c>
      <c r="B198" s="81" t="n">
        <v>50</v>
      </c>
      <c r="C198" s="81" t="inlineStr">
        <is>
          <t>s a round lasts in the value.py 4x metrics (per-round effects and cash a round; #313)</t>
        </is>
      </c>
    </row>
    <row r="199">
      <c r="A199" s="81" t="inlineStr">
        <is>
          <t>Walker cap per side</t>
        </is>
      </c>
      <c r="B199" s="81" t="n">
        <v>24</v>
      </c>
      <c r="C199" s="81" t="inlineStr">
        <is>
          <t>walkers (raptors, later paratroopers, rangers) a side may have out; past it none spawn (Shared/Walker, #315)</t>
        </is>
      </c>
    </row>
    <row r="201">
      <c r="A201" s="81" t="inlineStr">
        <is>
          <t>AMBER RESIN CANNON</t>
        </is>
      </c>
    </row>
    <row r="202">
      <c r="A202" s="81" t="inlineStr">
        <is>
          <t>Resin hits to entomb</t>
        </is>
      </c>
      <c r="B202" s="81" t="n">
        <v>6</v>
      </c>
      <c r="C202" s="81" t="inlineStr">
        <is>
          <t>resin a full-HP dino needs before it is entombed (x Entomb hits x x its HP-left share, at least 1; Shared/Resin)</t>
        </is>
      </c>
    </row>
    <row r="203">
      <c r="A203" s="81" t="inlineStr">
        <is>
          <t>Entomb base (s)</t>
        </is>
      </c>
      <c r="B203" s="81" t="n">
        <v>0.8</v>
      </c>
      <c r="C203" s="81" t="inlineStr">
        <is>
          <t>s an entomb holds when the build sets no Entomb (s) (a hard stop; bosses x Boss hard stop x)</t>
        </is>
      </c>
    </row>
    <row r="204">
      <c r="A204" s="81" t="inlineStr">
        <is>
          <t>Resin hit slow %</t>
        </is>
      </c>
      <c r="B204" s="81" t="n">
        <v>20</v>
      </c>
      <c r="C204" s="81" t="inlineStr">
        <is>
          <t>% slower after each resin hit (not bosses)</t>
        </is>
      </c>
    </row>
    <row r="205">
      <c r="A205" s="81" t="inlineStr">
        <is>
          <t>Resin hit slow (s)</t>
        </is>
      </c>
      <c r="B205" s="81" t="n">
        <v>1</v>
      </c>
      <c r="C205" s="81" t="inlineStr">
        <is>
          <t>s the resin-hit slow lasts</t>
        </is>
      </c>
    </row>
    <row r="206">
      <c r="A206" s="81" t="inlineStr">
        <is>
          <t>Boss entomb every (s)</t>
        </is>
      </c>
      <c r="B206" s="81" t="n">
        <v>10</v>
      </c>
      <c r="C206" s="81" t="inlineStr">
        <is>
          <t>s: a boss is entombed at most once per this, per boss</t>
        </is>
      </c>
    </row>
    <row r="207">
      <c r="A207" s="81" t="inlineStr">
        <is>
          <t>Spread reach (studs)</t>
        </is>
      </c>
      <c r="B207" s="81" t="n">
        <v>6</v>
      </c>
      <c r="C207" s="81" t="inlineStr">
        <is>
          <t>studs: Spreading Amber takes the nearest dinos this close</t>
        </is>
      </c>
    </row>
    <row r="208">
      <c r="A208" s="81" t="inlineStr">
        <is>
          <t>Sticky bed reach (studs)</t>
        </is>
      </c>
      <c r="B208" s="81" t="n">
        <v>6</v>
      </c>
      <c r="C208" s="81" t="inlineStr">
        <is>
          <t>studs: Sticky Bed slows dinos this close to an entombed one</t>
        </is>
      </c>
    </row>
    <row r="209">
      <c r="A209" s="81" t="inlineStr">
        <is>
          <t>Fossil Fuel cap %</t>
        </is>
      </c>
      <c r="B209" s="81" t="n">
        <v>30</v>
      </c>
      <c r="C209" s="81" t="inlineStr">
        <is>
          <t>% attack speed Fossil Fuel's stack reaches at most (per round)</t>
        </is>
      </c>
    </row>
    <row r="210">
      <c r="A210" s="81" t="inlineStr">
        <is>
          <t>RAPTOR PEN</t>
        </is>
      </c>
    </row>
    <row r="211">
      <c r="A211" s="81" t="inlineStr">
        <is>
          <t>Raptor HP</t>
        </is>
      </c>
      <c r="B211" s="81" t="n">
        <v>60</v>
      </c>
      <c r="C211" s="81" t="inlineStr">
        <is>
          <t>a raptor's HP (x Walker HP x x (1 + Tower HP per tier x tiers bought), as towers; Shared/Walker)</t>
        </is>
      </c>
    </row>
    <row r="212">
      <c r="A212" s="81" t="inlineStr">
        <is>
          <t>Raptor speed</t>
        </is>
      </c>
      <c r="B212" s="81" t="n">
        <v>30</v>
      </c>
      <c r="C212" s="81" t="inlineStr">
        <is>
          <t>studs/s a raptor runs along the track (home at x1.5)</t>
        </is>
      </c>
    </row>
    <row r="213">
      <c r="A213" s="81" t="inlineStr">
        <is>
          <t>Raptor reach</t>
        </is>
      </c>
      <c r="B213" s="81" t="n">
        <v>4</v>
      </c>
      <c r="C213" s="81" t="inlineStr">
        <is>
          <t>studs: a raptor this close to its target pounces / bites</t>
        </is>
      </c>
    </row>
    <row r="214">
      <c r="A214" s="81" t="inlineStr">
        <is>
          <t>Pounce hold (s)</t>
        </is>
      </c>
      <c r="B214" s="81" t="n">
        <v>0.5</v>
      </c>
      <c r="C214" s="81" t="inlineStr">
        <is>
          <t>s a pounce holds a non-boss when the build sets no Hold (s)</t>
        </is>
      </c>
    </row>
    <row r="215">
      <c r="A215" s="81" t="inlineStr">
        <is>
          <t>Retreat HP share</t>
        </is>
      </c>
      <c r="B215" s="81" t="n">
        <v>0.3</v>
      </c>
      <c r="C215" s="81" t="inlineStr">
        <is>
          <t>a raptor at or below this share of its HP runs home</t>
        </is>
      </c>
    </row>
    <row r="216">
      <c r="A216" s="81" t="inlineStr">
        <is>
          <t>Raptor respawn (s)</t>
        </is>
      </c>
      <c r="B216" s="81" t="n">
        <v>8</v>
      </c>
      <c r="C216" s="81" t="inlineStr">
        <is>
          <t>s a raptor bitten to 0 HP is gone (x Walker respawn x)</t>
        </is>
      </c>
    </row>
    <row r="217">
      <c r="A217" s="81" t="inlineStr">
        <is>
          <t>Pen heal (HP/s)</t>
        </is>
      </c>
      <c r="B217" s="81" t="n">
        <v>15</v>
      </c>
      <c r="C217" s="81" t="inlineStr">
        <is>
          <t>HP/s a raptor heals at home (it runs out again at 80 %)</t>
        </is>
      </c>
    </row>
    <row r="218">
      <c r="A218" s="81" t="inlineStr">
        <is>
          <t>Leash x</t>
        </is>
      </c>
      <c r="B218" s="81" t="n">
        <v>1.5</v>
      </c>
      <c r="C218" s="81" t="inlineStr">
        <is>
          <t>x range: a target further than this from the pen is let go</t>
        </is>
      </c>
    </row>
    <row r="219">
      <c r="A219" s="81" t="inlineStr">
        <is>
          <t>Trample size</t>
        </is>
      </c>
      <c r="B219" s="81" t="n">
        <v>3</v>
      </c>
      <c r="C219" s="81" t="inlineStr">
        <is>
          <t>a dino with at least this many sizes left tramples a raptor in its path</t>
        </is>
      </c>
    </row>
    <row r="220">
      <c r="A220" s="81" t="inlineStr">
        <is>
          <t>Trample share</t>
        </is>
      </c>
      <c r="B220" s="81" t="n">
        <v>0.25</v>
      </c>
      <c r="C220" s="81" t="inlineStr">
        <is>
          <t>x a raptor's max HP a trample takes (once per dino)</t>
        </is>
      </c>
    </row>
    <row r="221">
      <c r="A221" s="81" t="inlineStr">
        <is>
          <t>Dodge every (s)</t>
        </is>
      </c>
      <c r="B221" s="81" t="n">
        <v>3</v>
      </c>
      <c r="C221" s="81" t="inlineStr">
        <is>
          <t>Clever Girls: a raptor ignores one bite per this many s</t>
        </is>
      </c>
    </row>
    <row r="222">
      <c r="A222" s="81" t="inlineStr">
        <is>
          <t>Swarm raptors</t>
        </is>
      </c>
      <c r="B222" s="81" t="n">
        <v>10</v>
      </c>
      <c r="C222" s="81" t="inlineStr">
        <is>
          <t>Raptor Swarm: small raptors that pour out once a round</t>
        </is>
      </c>
    </row>
    <row r="223">
      <c r="A223" s="81" t="inlineStr">
        <is>
          <t>Swarm share</t>
        </is>
      </c>
      <c r="B223" s="81" t="n">
        <v>0.4</v>
      </c>
      <c r="C223" s="81" t="inlineStr">
        <is>
          <t>x a raptor's HP and bite for a Swarm raptor</t>
        </is>
      </c>
    </row>
    <row r="224">
      <c r="A224" s="81" t="inlineStr">
        <is>
          <t>Swarm (s)</t>
        </is>
      </c>
      <c r="B224" s="81" t="n">
        <v>15</v>
      </c>
      <c r="C224" s="81" t="inlineStr">
        <is>
          <t>s the Swarm hunts anywhere on your side's track, then vanishes</t>
        </is>
      </c>
    </row>
    <row r="225">
      <c r="A225" s="81" t="inlineStr">
        <is>
          <t>Charge knockback (studs)</t>
        </is>
      </c>
      <c r="B225" s="81" t="n">
        <v>6</v>
      </c>
      <c r="C225" s="81" t="inlineStr">
        <is>
          <t>Raptor Charge: small dinos a charging raptor passes are knocked back this far (not bosses)</t>
        </is>
      </c>
    </row>
    <row r="226">
      <c r="A226" s="81" t="inlineStr">
        <is>
          <t>Guard reach (studs)</t>
        </is>
      </c>
      <c r="B226" s="81" t="n">
        <v>10</v>
      </c>
      <c r="C226" s="81" t="inlineStr">
        <is>
          <t>Guard Raptors: a dino this close to a guarded tower that bites or throws at it is attacked</t>
        </is>
      </c>
    </row>
    <row r="227">
      <c r="A227" s="81" t="inlineStr">
        <is>
          <t>Roar reach (studs)</t>
        </is>
      </c>
      <c r="B227" s="81" t="n">
        <v>10</v>
      </c>
      <c r="C227" s="81" t="inlineStr">
        <is>
          <t>Rex Tamer: small dinos this close to the alpha are stunned by its roar</t>
        </is>
      </c>
    </row>
    <row r="228">
      <c r="A228" s="81" t="inlineStr">
        <is>
          <t>Hungry Alpha cap %</t>
        </is>
      </c>
      <c r="B228" s="81" t="n">
        <v>50</v>
      </c>
      <c r="C228" s="81" t="inlineStr">
        <is>
          <t>Hungry Alpha: the most its take-down stack adds this round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0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  <c r="Y4" s="81" t="inlineStr">
        <is>
          <t>Resin</t>
        </is>
      </c>
      <c r="Z4" s="81" t="inlineStr">
        <is>
          <t>Walkers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  <row r="19">
      <c r="A19" s="81" t="inlineStr">
        <is>
          <t>Amber Resin Cannon</t>
        </is>
      </c>
      <c r="B19" s="81" t="inlineStr">
        <is>
          <t>Control: resin slows, entombs and fossilizes</t>
        </is>
      </c>
      <c r="C19" s="81" t="n">
        <v>800</v>
      </c>
      <c r="D19" s="81" t="n">
        <v>2</v>
      </c>
      <c r="E19" s="81" t="n">
        <v>1</v>
      </c>
      <c r="F19" s="81" t="n">
        <v>1</v>
      </c>
      <c r="G19" s="81">
        <f>D19*E19*F19</f>
        <v/>
      </c>
      <c r="H19" s="81" t="n">
        <v>18</v>
      </c>
      <c r="I19" s="81" t="inlineStr">
        <is>
          <t>No</t>
        </is>
      </c>
      <c r="J19" s="81" t="n">
        <v>0</v>
      </c>
      <c r="K19" s="81" t="inlineStr">
        <is>
          <t>Resin globs: slows, entombs (hard stop), fossils. TOWERS_LATER.md.</t>
        </is>
      </c>
      <c r="L19" s="81" t="n">
        <v>0</v>
      </c>
      <c r="M19" s="81" t="n">
        <v>0</v>
      </c>
      <c r="N19" s="81" t="n">
        <v>500</v>
      </c>
      <c r="O19" s="81" t="inlineStr">
        <is>
          <t>RESIN</t>
        </is>
      </c>
      <c r="P19" s="81" t="n">
        <v>150</v>
      </c>
      <c r="Q19" s="81" t="n">
        <v>0</v>
      </c>
      <c r="R19" s="81" t="n">
        <v>0</v>
      </c>
      <c r="Y19" s="81" t="inlineStr">
        <is>
          <t>Yes</t>
        </is>
      </c>
    </row>
    <row r="20">
      <c r="A20" s="81" t="inlineStr">
        <is>
          <t>Raptor Pen</t>
        </is>
      </c>
      <c r="B20" s="81" t="inlineStr">
        <is>
          <t>Tamed raptors: they run out, bite and come back</t>
        </is>
      </c>
      <c r="C20" s="81" t="n">
        <v>600</v>
      </c>
      <c r="D20" s="81" t="n">
        <v>11</v>
      </c>
      <c r="E20" s="81" t="n">
        <v>1.5</v>
      </c>
      <c r="F20" s="81" t="n">
        <v>1</v>
      </c>
      <c r="G20" s="81">
        <f>D20*E20*F20</f>
        <v/>
      </c>
      <c r="H20" s="81" t="n">
        <v>22</v>
      </c>
      <c r="I20" s="81" t="inlineStr">
        <is>
          <t>No</t>
        </is>
      </c>
      <c r="J20" s="81" t="n">
        <v>0</v>
      </c>
      <c r="K20" s="81" t="inlineStr">
        <is>
          <t>Tamed raptors sprint out, pounce, bite and come back; they can be bitten. TOWERS_LATER.md.</t>
        </is>
      </c>
      <c r="L20" s="81" t="n">
        <v>0</v>
      </c>
      <c r="M20" s="81" t="n">
        <v>0</v>
      </c>
      <c r="N20" s="81" t="n">
        <v>500</v>
      </c>
      <c r="O20" s="81" t="inlineStr">
        <is>
          <t>RAPTOR</t>
        </is>
      </c>
      <c r="P20" s="81" t="n">
        <v>150</v>
      </c>
      <c r="Q20" s="81" t="n">
        <v>0</v>
      </c>
      <c r="R20" s="81" t="n">
        <v>0</v>
      </c>
      <c r="Z20" s="81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G3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  <c r="CV4" s="81" t="inlineStr">
        <is>
          <t>Entomb (s)</t>
        </is>
      </c>
      <c r="CW4" s="81" t="inlineStr">
        <is>
          <t>Entomb hits x</t>
        </is>
      </c>
      <c r="CX4" s="81" t="inlineStr">
        <is>
          <t>Entomb amp %</t>
        </is>
      </c>
      <c r="CY4" s="81" t="inlineStr">
        <is>
          <t>Entomb spread</t>
        </is>
      </c>
      <c r="CZ4" s="81" t="inlineStr">
        <is>
          <t>Entomb slow %</t>
        </is>
      </c>
      <c r="DA4" s="81" t="inlineStr">
        <is>
          <t>Entomb all every (s)</t>
        </is>
      </c>
      <c r="DB4" s="81" t="inlineStr">
        <is>
          <t>Boss entomb (s)</t>
        </is>
      </c>
      <c r="DC4" s="81" t="inlineStr">
        <is>
          <t>Send back (studs)</t>
        </is>
      </c>
      <c r="DD4" s="81" t="inlineStr">
        <is>
          <t>Fossil below %</t>
        </is>
      </c>
      <c r="DE4" s="81" t="inlineStr">
        <is>
          <t>Fossil rate %</t>
        </is>
      </c>
      <c r="DF4" s="81" t="inlineStr">
        <is>
          <t>Bounty fossils x</t>
        </is>
      </c>
      <c r="DG4" s="81" t="inlineStr">
        <is>
          <t>Heart every (fossils)</t>
        </is>
      </c>
      <c r="DH4" s="81" t="inlineStr">
        <is>
          <t>Seal (s)</t>
        </is>
      </c>
      <c r="DI4" s="81" t="inlineStr">
        <is>
          <t>Seal every (s)</t>
        </is>
      </c>
      <c r="DJ4" s="81" t="inlineStr">
        <is>
          <t>Seal heal %</t>
        </is>
      </c>
      <c r="DK4" s="81" t="inlineStr">
        <is>
          <t>Reflect damage</t>
        </is>
      </c>
      <c r="DL4" s="81" t="inlineStr">
        <is>
          <t>Wall (s)</t>
        </is>
      </c>
      <c r="DM4" s="81" t="inlineStr">
        <is>
          <t>Take-down mark %</t>
        </is>
      </c>
      <c r="DN4" s="81" t="inlineStr">
        <is>
          <t>Walkers</t>
        </is>
      </c>
      <c r="DO4" s="81" t="inlineStr">
        <is>
          <t>Walker HP x</t>
        </is>
      </c>
      <c r="DP4" s="81" t="inlineStr">
        <is>
          <t>Walker speed x</t>
        </is>
      </c>
      <c r="DQ4" s="81" t="inlineStr">
        <is>
          <t>Walker resist %</t>
        </is>
      </c>
      <c r="DR4" s="81" t="inlineStr">
        <is>
          <t>Walker respawn x</t>
        </is>
      </c>
      <c r="DS4" s="81" t="inlineStr">
        <is>
          <t>Hold (s)</t>
        </is>
      </c>
      <c r="DT4" s="81" t="inlineStr">
        <is>
          <t>Boss hold (s)</t>
        </is>
      </c>
      <c r="DU4" s="81" t="inlineStr">
        <is>
          <t>Flanking</t>
        </is>
      </c>
      <c r="DV4" s="81" t="inlineStr">
        <is>
          <t>Targets first</t>
        </is>
      </c>
      <c r="DW4" s="81" t="inlineStr">
        <is>
          <t>Hits air</t>
        </is>
      </c>
      <c r="DX4" s="81" t="inlineStr">
        <is>
          <t>Heals between rounds</t>
        </is>
      </c>
      <c r="DY4" s="81" t="inlineStr">
        <is>
          <t>Dodge</t>
        </is>
      </c>
      <c r="DZ4" s="81" t="inlineStr">
        <is>
          <t>Alpha</t>
        </is>
      </c>
      <c r="EA4" s="81" t="inlineStr">
        <is>
          <t>Swarm</t>
        </is>
      </c>
      <c r="EB4" s="81" t="inlineStr">
        <is>
          <t>Charge</t>
        </is>
      </c>
      <c r="EC4" s="81" t="inlineStr">
        <is>
          <t>Guard</t>
        </is>
      </c>
      <c r="ED4" s="81" t="inlineStr">
        <is>
          <t>Stun roar every (s)</t>
        </is>
      </c>
      <c r="EE4" s="81" t="inlineStr">
        <is>
          <t>Take-down stack %</t>
        </is>
      </c>
      <c r="EF4" s="81" t="inlineStr">
        <is>
          <t>Avenger x</t>
        </is>
      </c>
      <c r="EG4" s="81" t="inlineStr">
        <is>
          <t>Hunter damage %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  <row r="302">
      <c r="A302" s="81" t="inlineStr">
        <is>
          <t>Amber Resin Cannon</t>
        </is>
      </c>
      <c r="B302" s="81" t="inlineStr">
        <is>
          <t>Entomb</t>
        </is>
      </c>
      <c r="C302" s="81" t="inlineStr">
        <is>
          <t>control</t>
        </is>
      </c>
      <c r="D302" s="81" t="n">
        <v>1</v>
      </c>
      <c r="E302" s="81">
        <f>ROUND('Towers'!$C$19*POWER('Tuning'!$B$12,D302),0)</f>
        <v/>
      </c>
      <c r="F302" s="81">
        <f>'Towers'!$C$19+E302</f>
        <v/>
      </c>
      <c r="G302" s="110" t="n">
        <v>1.4</v>
      </c>
      <c r="H302" s="110" t="n">
        <v>1.2</v>
      </c>
      <c r="I302" s="110" t="n">
        <v>1</v>
      </c>
      <c r="J302" s="81">
        <f>'Towers'!$G$19*G302*H302*I302</f>
        <v/>
      </c>
      <c r="K302" s="81">
        <f>IF(J302=0,0,F302/J302)</f>
        <v/>
      </c>
      <c r="L302" s="110" t="n">
        <v>1</v>
      </c>
      <c r="M302" s="81" t="inlineStr">
        <is>
          <t>Thick Resin</t>
        </is>
      </c>
      <c r="CW302" s="81" t="n">
        <v>0.85</v>
      </c>
    </row>
    <row r="303">
      <c r="A303" s="81" t="inlineStr">
        <is>
          <t>Amber Resin Cannon</t>
        </is>
      </c>
      <c r="B303" s="81" t="inlineStr">
        <is>
          <t>Entomb</t>
        </is>
      </c>
      <c r="C303" s="81" t="inlineStr">
        <is>
          <t>control</t>
        </is>
      </c>
      <c r="D303" s="81" t="n">
        <v>2</v>
      </c>
      <c r="E303" s="81">
        <f>ROUND('Towers'!$C$19*POWER('Tuning'!$B$12,D303),0)</f>
        <v/>
      </c>
      <c r="F303" s="81">
        <f>F302+E303</f>
        <v/>
      </c>
      <c r="G303" s="110" t="n">
        <v>2</v>
      </c>
      <c r="H303" s="110" t="n">
        <v>1.45</v>
      </c>
      <c r="I303" s="110" t="n">
        <v>1</v>
      </c>
      <c r="J303" s="81">
        <f>'Towers'!$G$19*G303*H303*I303</f>
        <v/>
      </c>
      <c r="K303" s="81">
        <f>IF(J303=0,0,F303/J303)</f>
        <v/>
      </c>
      <c r="L303" s="110" t="n">
        <v>1</v>
      </c>
      <c r="M303" s="81" t="inlineStr">
        <is>
          <t>Quick Set</t>
        </is>
      </c>
      <c r="CW303" s="81" t="n">
        <v>0.7</v>
      </c>
    </row>
    <row r="304">
      <c r="A304" s="81" t="inlineStr">
        <is>
          <t>Amber Resin Cannon</t>
        </is>
      </c>
      <c r="B304" s="81" t="inlineStr">
        <is>
          <t>Entomb</t>
        </is>
      </c>
      <c r="C304" s="81" t="inlineStr">
        <is>
          <t>control</t>
        </is>
      </c>
      <c r="D304" s="81" t="n">
        <v>3</v>
      </c>
      <c r="E304" s="81">
        <f>ROUND('Towers'!$C$19*POWER('Tuning'!$B$12,D304),0)</f>
        <v/>
      </c>
      <c r="F304" s="81">
        <f>F303+E304</f>
        <v/>
      </c>
      <c r="G304" s="110" t="n">
        <v>3</v>
      </c>
      <c r="H304" s="110" t="n">
        <v>1.8</v>
      </c>
      <c r="I304" s="110" t="n">
        <v>1</v>
      </c>
      <c r="J304" s="81">
        <f>'Towers'!$G$19*G304*H304*I304</f>
        <v/>
      </c>
      <c r="K304" s="81">
        <f>IF(J304=0,0,F304/J304)</f>
        <v/>
      </c>
      <c r="L304" s="110" t="n">
        <v>1</v>
      </c>
      <c r="M304" s="81" t="inlineStr">
        <is>
          <t>Amber Tomb</t>
        </is>
      </c>
      <c r="CV304" s="81" t="n">
        <v>2</v>
      </c>
      <c r="CW304" s="81" t="n">
        <v>0.5</v>
      </c>
    </row>
    <row r="305">
      <c r="A305" s="81" t="inlineStr">
        <is>
          <t>Amber Resin Cannon</t>
        </is>
      </c>
      <c r="B305" s="81" t="inlineStr">
        <is>
          <t>Entomb</t>
        </is>
      </c>
      <c r="C305" s="81" t="inlineStr">
        <is>
          <t>control</t>
        </is>
      </c>
      <c r="D305" s="81" t="n">
        <v>4</v>
      </c>
      <c r="E305" s="81">
        <f>ROUND('Towers'!$C$19*POWER('Tuning'!$B$12,D305),0)</f>
        <v/>
      </c>
      <c r="F305" s="81">
        <f>F304+E305</f>
        <v/>
      </c>
      <c r="G305" s="110" t="n">
        <v>1.6</v>
      </c>
      <c r="H305" s="110" t="n">
        <v>1</v>
      </c>
      <c r="I305" s="110" t="n">
        <v>1</v>
      </c>
      <c r="J305" s="81">
        <f>J304*G305*H305*I305</f>
        <v/>
      </c>
      <c r="K305" s="81">
        <f>IF(J305=0,0,F305/J305)</f>
        <v/>
      </c>
      <c r="L305" s="110" t="n">
        <v>1</v>
      </c>
      <c r="M305" s="81" t="inlineStr">
        <is>
          <t>Hardened Amber</t>
        </is>
      </c>
      <c r="CI305" s="81" t="inlineStr">
        <is>
          <t>A</t>
        </is>
      </c>
      <c r="CJ305" s="81" t="inlineStr">
        <is>
          <t>Stuck dinos take +30% from everything</t>
        </is>
      </c>
      <c r="CX305" s="81" t="n">
        <v>30</v>
      </c>
    </row>
    <row r="306">
      <c r="A306" s="81" t="inlineStr">
        <is>
          <t>Amber Resin Cannon</t>
        </is>
      </c>
      <c r="B306" s="81" t="inlineStr">
        <is>
          <t>Entomb</t>
        </is>
      </c>
      <c r="C306" s="81" t="inlineStr">
        <is>
          <t>control</t>
        </is>
      </c>
      <c r="D306" s="81" t="n">
        <v>5</v>
      </c>
      <c r="E306" s="81">
        <f>ROUND('Towers'!$C$19*POWER('Tuning'!$B$12,D306),0)</f>
        <v/>
      </c>
      <c r="F306" s="81">
        <f>F305+E306</f>
        <v/>
      </c>
      <c r="G306" s="110" t="n">
        <v>1.8</v>
      </c>
      <c r="H306" s="110" t="n">
        <v>1</v>
      </c>
      <c r="I306" s="110" t="n">
        <v>1</v>
      </c>
      <c r="J306" s="81">
        <f>J305*G306*H306*I306</f>
        <v/>
      </c>
      <c r="K306" s="81">
        <f>IF(J306=0,0,F306/J306)</f>
        <v/>
      </c>
      <c r="L306" s="110" t="n">
        <v>1</v>
      </c>
      <c r="M306" s="81" t="inlineStr">
        <is>
          <t>Amber Age</t>
        </is>
      </c>
      <c r="CI306" s="81" t="inlineStr">
        <is>
          <t>A</t>
        </is>
      </c>
      <c r="CJ306" s="81" t="inlineStr">
        <is>
          <t>Every 12 s, everything in range is stuck</t>
        </is>
      </c>
      <c r="DA306" s="81" t="n">
        <v>12</v>
      </c>
    </row>
    <row r="307">
      <c r="A307" s="81" t="inlineStr">
        <is>
          <t>Amber Resin Cannon</t>
        </is>
      </c>
      <c r="B307" s="81" t="inlineStr">
        <is>
          <t>Fossilize</t>
        </is>
      </c>
      <c r="C307" s="81" t="inlineStr">
        <is>
          <t>economy</t>
        </is>
      </c>
      <c r="D307" s="81" t="n">
        <v>1</v>
      </c>
      <c r="E307" s="81">
        <f>ROUND('Towers'!$C$19*POWER('Tuning'!$B$12,D307),0)</f>
        <v/>
      </c>
      <c r="F307" s="81">
        <f>'Towers'!$C$19+E307</f>
        <v/>
      </c>
      <c r="G307" s="110" t="n">
        <v>1.3</v>
      </c>
      <c r="H307" s="110" t="n">
        <v>1</v>
      </c>
      <c r="I307" s="110" t="n">
        <v>1</v>
      </c>
      <c r="J307" s="81">
        <f>'Towers'!$G$19*G307*H307*I307</f>
        <v/>
      </c>
      <c r="K307" s="81">
        <f>IF(J307=0,0,F307/J307)</f>
        <v/>
      </c>
      <c r="L307" s="110" t="n">
        <v>1.15</v>
      </c>
      <c r="M307" s="81" t="inlineStr">
        <is>
          <t>Collector's Eye</t>
        </is>
      </c>
      <c r="CD307" s="81" t="n">
        <v>50</v>
      </c>
      <c r="DD307" s="81" t="n">
        <v>10</v>
      </c>
    </row>
    <row r="308">
      <c r="A308" s="81" t="inlineStr">
        <is>
          <t>Amber Resin Cannon</t>
        </is>
      </c>
      <c r="B308" s="81" t="inlineStr">
        <is>
          <t>Fossilize</t>
        </is>
      </c>
      <c r="C308" s="81" t="inlineStr">
        <is>
          <t>economy</t>
        </is>
      </c>
      <c r="D308" s="81" t="n">
        <v>2</v>
      </c>
      <c r="E308" s="81">
        <f>ROUND('Towers'!$C$19*POWER('Tuning'!$B$12,D308),0)</f>
        <v/>
      </c>
      <c r="F308" s="81">
        <f>F307+E308</f>
        <v/>
      </c>
      <c r="G308" s="110" t="n">
        <v>1.8</v>
      </c>
      <c r="H308" s="110" t="n">
        <v>1.3</v>
      </c>
      <c r="I308" s="110" t="n">
        <v>1</v>
      </c>
      <c r="J308" s="81">
        <f>'Towers'!$G$19*G308*H308*I308</f>
        <v/>
      </c>
      <c r="K308" s="81">
        <f>IF(J308=0,0,F308/J308)</f>
        <v/>
      </c>
      <c r="L308" s="110" t="n">
        <v>1.15</v>
      </c>
      <c r="M308" s="81" t="inlineStr">
        <is>
          <t>Rare Find</t>
        </is>
      </c>
      <c r="CD308" s="81" t="n">
        <v>100</v>
      </c>
      <c r="DD308" s="81" t="n">
        <v>12</v>
      </c>
    </row>
    <row r="309">
      <c r="A309" s="81" t="inlineStr">
        <is>
          <t>Amber Resin Cannon</t>
        </is>
      </c>
      <c r="B309" s="81" t="inlineStr">
        <is>
          <t>Fossilize</t>
        </is>
      </c>
      <c r="C309" s="81" t="inlineStr">
        <is>
          <t>economy</t>
        </is>
      </c>
      <c r="D309" s="81" t="n">
        <v>3</v>
      </c>
      <c r="E309" s="81">
        <f>ROUND('Towers'!$C$19*POWER('Tuning'!$B$12,D309),0)</f>
        <v/>
      </c>
      <c r="F309" s="81">
        <f>F308+E309</f>
        <v/>
      </c>
      <c r="G309" s="110" t="n">
        <v>2.6</v>
      </c>
      <c r="H309" s="110" t="n">
        <v>1.5</v>
      </c>
      <c r="I309" s="110" t="n">
        <v>1</v>
      </c>
      <c r="J309" s="81">
        <f>'Towers'!$G$19*G309*H309*I309</f>
        <v/>
      </c>
      <c r="K309" s="81">
        <f>IF(J309=0,0,F309/J309)</f>
        <v/>
      </c>
      <c r="L309" s="110" t="n">
        <v>1.15</v>
      </c>
      <c r="M309" s="81" t="inlineStr">
        <is>
          <t>Fossil Record</t>
        </is>
      </c>
      <c r="CD309" s="81" t="n">
        <v>100</v>
      </c>
      <c r="CW309" s="81" t="n">
        <v>0.7</v>
      </c>
      <c r="DD309" s="81" t="n">
        <v>20</v>
      </c>
    </row>
    <row r="310">
      <c r="A310" s="81" t="inlineStr">
        <is>
          <t>Amber Resin Cannon</t>
        </is>
      </c>
      <c r="B310" s="81" t="inlineStr">
        <is>
          <t>Fossilize</t>
        </is>
      </c>
      <c r="C310" s="81" t="inlineStr">
        <is>
          <t>economy</t>
        </is>
      </c>
      <c r="D310" s="81" t="n">
        <v>4</v>
      </c>
      <c r="E310" s="81">
        <f>ROUND('Towers'!$C$19*POWER('Tuning'!$B$12,D310),0)</f>
        <v/>
      </c>
      <c r="F310" s="81">
        <f>F309+E310</f>
        <v/>
      </c>
      <c r="G310" s="110" t="n">
        <v>1</v>
      </c>
      <c r="H310" s="110" t="n">
        <v>1</v>
      </c>
      <c r="I310" s="110" t="n">
        <v>1</v>
      </c>
      <c r="J310" s="81">
        <f>J309*G310*H310*I310</f>
        <v/>
      </c>
      <c r="K310" s="81">
        <f>IF(J310=0,0,F310/J310)</f>
        <v/>
      </c>
      <c r="L310" s="110" t="n">
        <v>1</v>
      </c>
      <c r="M310" s="81" t="inlineStr">
        <is>
          <t>Museum Piece</t>
        </is>
      </c>
      <c r="CD310" s="81" t="n">
        <v>32</v>
      </c>
      <c r="CI310" s="81" t="inlineStr">
        <is>
          <t>A</t>
        </is>
      </c>
      <c r="CJ310" s="81" t="inlineStr">
        <is>
          <t>Fossils pay double cash</t>
        </is>
      </c>
    </row>
    <row r="311">
      <c r="A311" s="81" t="inlineStr">
        <is>
          <t>Amber Resin Cannon</t>
        </is>
      </c>
      <c r="B311" s="81" t="inlineStr">
        <is>
          <t>Fossilize</t>
        </is>
      </c>
      <c r="C311" s="81" t="inlineStr">
        <is>
          <t>economy</t>
        </is>
      </c>
      <c r="D311" s="81" t="n">
        <v>5</v>
      </c>
      <c r="E311" s="81">
        <f>ROUND('Towers'!$C$19*POWER('Tuning'!$B$12,D311),0)</f>
        <v/>
      </c>
      <c r="F311" s="81">
        <f>F310+E311</f>
        <v/>
      </c>
      <c r="G311" s="110" t="n">
        <v>1</v>
      </c>
      <c r="H311" s="110" t="n">
        <v>1</v>
      </c>
      <c r="I311" s="110" t="n">
        <v>1</v>
      </c>
      <c r="J311" s="81">
        <f>J310*G311*H311*I311</f>
        <v/>
      </c>
      <c r="K311" s="81">
        <f>IF(J311=0,0,F311/J311)</f>
        <v/>
      </c>
      <c r="L311" s="110" t="n">
        <v>1</v>
      </c>
      <c r="M311" s="81" t="inlineStr">
        <is>
          <t>Fossil Fuel</t>
        </is>
      </c>
      <c r="CI311" s="81" t="inlineStr">
        <is>
          <t>A</t>
        </is>
      </c>
      <c r="CJ311" s="81" t="inlineStr">
        <is>
          <t>Each fossil speeds up nearby towers</t>
        </is>
      </c>
      <c r="DD311" s="81" t="n">
        <v>25</v>
      </c>
      <c r="DE311" s="81" t="n">
        <v>5</v>
      </c>
    </row>
    <row r="312">
      <c r="A312" s="81" t="inlineStr">
        <is>
          <t>Amber Resin Cannon</t>
        </is>
      </c>
      <c r="B312" s="81" t="inlineStr">
        <is>
          <t>Resin Shell</t>
        </is>
      </c>
      <c r="C312" s="81" t="inlineStr">
        <is>
          <t>support</t>
        </is>
      </c>
      <c r="D312" s="81" t="n">
        <v>1</v>
      </c>
      <c r="E312" s="81">
        <f>ROUND('Towers'!$C$19*POWER('Tuning'!$B$12,D312),0)</f>
        <v/>
      </c>
      <c r="F312" s="81">
        <f>'Towers'!$C$19+E312</f>
        <v/>
      </c>
      <c r="G312" s="110" t="n">
        <v>1</v>
      </c>
      <c r="H312" s="110" t="n">
        <v>1</v>
      </c>
      <c r="I312" s="110" t="n">
        <v>1</v>
      </c>
      <c r="J312" s="81">
        <f>'Towers'!$G$19*G312*H312*I312</f>
        <v/>
      </c>
      <c r="K312" s="81">
        <f>IF(J312=0,0,F312/J312)</f>
        <v/>
      </c>
      <c r="L312" s="110" t="n">
        <v>1</v>
      </c>
      <c r="M312" s="81" t="inlineStr">
        <is>
          <t>Coat of Resin</t>
        </is>
      </c>
      <c r="BH312" s="81" t="n">
        <v>15</v>
      </c>
    </row>
    <row r="313">
      <c r="A313" s="81" t="inlineStr">
        <is>
          <t>Amber Resin Cannon</t>
        </is>
      </c>
      <c r="B313" s="81" t="inlineStr">
        <is>
          <t>Resin Shell</t>
        </is>
      </c>
      <c r="C313" s="81" t="inlineStr">
        <is>
          <t>support</t>
        </is>
      </c>
      <c r="D313" s="81" t="n">
        <v>2</v>
      </c>
      <c r="E313" s="81">
        <f>ROUND('Towers'!$C$19*POWER('Tuning'!$B$12,D313),0)</f>
        <v/>
      </c>
      <c r="F313" s="81">
        <f>F312+E313</f>
        <v/>
      </c>
      <c r="G313" s="110" t="n">
        <v>1</v>
      </c>
      <c r="H313" s="110" t="n">
        <v>1</v>
      </c>
      <c r="I313" s="110" t="n">
        <v>1</v>
      </c>
      <c r="J313" s="81">
        <f>'Towers'!$G$19*G313*H313*I313</f>
        <v/>
      </c>
      <c r="K313" s="81">
        <f>IF(J313=0,0,F313/J313)</f>
        <v/>
      </c>
      <c r="L313" s="110" t="n">
        <v>1</v>
      </c>
      <c r="M313" s="81" t="inlineStr">
        <is>
          <t>Sticky Armour</t>
        </is>
      </c>
      <c r="AU313" s="81" t="n">
        <v>20</v>
      </c>
      <c r="BH313" s="81" t="n">
        <v>15</v>
      </c>
    </row>
    <row r="314">
      <c r="A314" s="81" t="inlineStr">
        <is>
          <t>Amber Resin Cannon</t>
        </is>
      </c>
      <c r="B314" s="81" t="inlineStr">
        <is>
          <t>Resin Shell</t>
        </is>
      </c>
      <c r="C314" s="81" t="inlineStr">
        <is>
          <t>support</t>
        </is>
      </c>
      <c r="D314" s="81" t="n">
        <v>3</v>
      </c>
      <c r="E314" s="81">
        <f>ROUND('Towers'!$C$19*POWER('Tuning'!$B$12,D314),0)</f>
        <v/>
      </c>
      <c r="F314" s="81">
        <f>F313+E314</f>
        <v/>
      </c>
      <c r="G314" s="110" t="n">
        <v>1</v>
      </c>
      <c r="H314" s="110" t="n">
        <v>1</v>
      </c>
      <c r="I314" s="110" t="n">
        <v>1</v>
      </c>
      <c r="J314" s="81">
        <f>'Towers'!$G$19*G314*H314*I314</f>
        <v/>
      </c>
      <c r="K314" s="81">
        <f>IF(J314=0,0,F314/J314)</f>
        <v/>
      </c>
      <c r="L314" s="110" t="n">
        <v>1</v>
      </c>
      <c r="M314" s="81" t="inlineStr">
        <is>
          <t>Amber Shield</t>
        </is>
      </c>
      <c r="AU314" s="81" t="n">
        <v>20</v>
      </c>
      <c r="BH314" s="81" t="n">
        <v>15</v>
      </c>
      <c r="DH314" s="81" t="n">
        <v>3</v>
      </c>
    </row>
    <row r="315">
      <c r="A315" s="81" t="inlineStr">
        <is>
          <t>Amber Resin Cannon</t>
        </is>
      </c>
      <c r="B315" s="81" t="inlineStr">
        <is>
          <t>Resin Shell</t>
        </is>
      </c>
      <c r="C315" s="81" t="inlineStr">
        <is>
          <t>support</t>
        </is>
      </c>
      <c r="D315" s="81" t="n">
        <v>4</v>
      </c>
      <c r="E315" s="81">
        <f>ROUND('Towers'!$C$19*POWER('Tuning'!$B$12,D315),0)</f>
        <v/>
      </c>
      <c r="F315" s="81">
        <f>F314+E315</f>
        <v/>
      </c>
      <c r="G315" s="110" t="n">
        <v>1</v>
      </c>
      <c r="H315" s="110" t="n">
        <v>1</v>
      </c>
      <c r="I315" s="110" t="n">
        <v>1</v>
      </c>
      <c r="J315" s="81">
        <f>J314*G315*H315*I315</f>
        <v/>
      </c>
      <c r="K315" s="81">
        <f>IF(J315=0,0,F315/J315)</f>
        <v/>
      </c>
      <c r="L315" s="110" t="n">
        <v>1</v>
      </c>
      <c r="M315" s="81" t="inlineStr">
        <is>
          <t>Self-Sealing</t>
        </is>
      </c>
      <c r="CI315" s="81" t="inlineStr">
        <is>
          <t>A</t>
        </is>
      </c>
      <c r="CJ315" s="81" t="inlineStr">
        <is>
          <t>Sealed towers heal 30% when the shell breaks</t>
        </is>
      </c>
      <c r="DJ315" s="81" t="n">
        <v>30</v>
      </c>
    </row>
    <row r="316">
      <c r="A316" s="81" t="inlineStr">
        <is>
          <t>Amber Resin Cannon</t>
        </is>
      </c>
      <c r="B316" s="81" t="inlineStr">
        <is>
          <t>Resin Shell</t>
        </is>
      </c>
      <c r="C316" s="81" t="inlineStr">
        <is>
          <t>support</t>
        </is>
      </c>
      <c r="D316" s="81" t="n">
        <v>5</v>
      </c>
      <c r="E316" s="81">
        <f>ROUND('Towers'!$C$19*POWER('Tuning'!$B$12,D316),0)</f>
        <v/>
      </c>
      <c r="F316" s="81">
        <f>F315+E316</f>
        <v/>
      </c>
      <c r="G316" s="110" t="n">
        <v>1</v>
      </c>
      <c r="H316" s="110" t="n">
        <v>1</v>
      </c>
      <c r="I316" s="110" t="n">
        <v>1</v>
      </c>
      <c r="J316" s="81">
        <f>J315*G316*H316*I316</f>
        <v/>
      </c>
      <c r="K316" s="81">
        <f>IF(J316=0,0,F316/J316)</f>
        <v/>
      </c>
      <c r="L316" s="110" t="n">
        <v>1</v>
      </c>
      <c r="M316" s="81" t="inlineStr">
        <is>
          <t>Amber Fortress</t>
        </is>
      </c>
      <c r="CI316" s="81" t="inlineStr">
        <is>
          <t>A</t>
        </is>
      </c>
      <c r="CJ316" s="81" t="inlineStr">
        <is>
          <t>Nearby towers can't be knocked out (20 s each)</t>
        </is>
      </c>
      <c r="DI316" s="81" t="n">
        <v>20</v>
      </c>
    </row>
    <row r="317">
      <c r="A317" s="81" t="inlineStr">
        <is>
          <t>Amber Resin Cannon</t>
        </is>
      </c>
      <c r="B317" s="81" t="inlineStr">
        <is>
          <t>Entomb</t>
        </is>
      </c>
      <c r="C317" s="81" t="inlineStr">
        <is>
          <t>control</t>
        </is>
      </c>
      <c r="D317" s="81" t="n">
        <v>4</v>
      </c>
      <c r="E317" s="81">
        <f>E305</f>
        <v/>
      </c>
      <c r="F317" s="81">
        <f>F305</f>
        <v/>
      </c>
      <c r="G317" s="110" t="n">
        <v>1.5</v>
      </c>
      <c r="H317" s="110" t="n">
        <v>1</v>
      </c>
      <c r="I317" s="110" t="n">
        <v>1</v>
      </c>
      <c r="L317" s="110" t="n">
        <v>1</v>
      </c>
      <c r="M317" s="81" t="inlineStr">
        <is>
          <t>Spreading Amber</t>
        </is>
      </c>
      <c r="CI317" s="81" t="inlineStr">
        <is>
          <t>B</t>
        </is>
      </c>
      <c r="CJ317" s="81" t="inlineStr">
        <is>
          <t>The amber jumps to the next dino</t>
        </is>
      </c>
      <c r="CY317" s="81" t="n">
        <v>1</v>
      </c>
    </row>
    <row r="318">
      <c r="A318" s="81" t="inlineStr">
        <is>
          <t>Amber Resin Cannon</t>
        </is>
      </c>
      <c r="B318" s="81" t="inlineStr">
        <is>
          <t>Entomb</t>
        </is>
      </c>
      <c r="C318" s="81" t="inlineStr">
        <is>
          <t>control</t>
        </is>
      </c>
      <c r="D318" s="81" t="n">
        <v>4</v>
      </c>
      <c r="E318" s="81">
        <f>E305</f>
        <v/>
      </c>
      <c r="F318" s="81">
        <f>F305</f>
        <v/>
      </c>
      <c r="G318" s="110" t="n">
        <v>1.6</v>
      </c>
      <c r="H318" s="110" t="n">
        <v>1</v>
      </c>
      <c r="I318" s="110" t="n">
        <v>1</v>
      </c>
      <c r="L318" s="110" t="n">
        <v>1</v>
      </c>
      <c r="M318" s="81" t="inlineStr">
        <is>
          <t>Sticky Bed</t>
        </is>
      </c>
      <c r="CI318" s="81" t="inlineStr">
        <is>
          <t>C</t>
        </is>
      </c>
      <c r="CJ318" s="81" t="inlineStr">
        <is>
          <t>Dinos walking past a stuck one slow 30%</t>
        </is>
      </c>
      <c r="CZ318" s="81" t="n">
        <v>30</v>
      </c>
    </row>
    <row r="319">
      <c r="A319" s="81" t="inlineStr">
        <is>
          <t>Amber Resin Cannon</t>
        </is>
      </c>
      <c r="B319" s="81" t="inlineStr">
        <is>
          <t>Entomb</t>
        </is>
      </c>
      <c r="C319" s="81" t="inlineStr">
        <is>
          <t>control</t>
        </is>
      </c>
      <c r="D319" s="81" t="n">
        <v>5</v>
      </c>
      <c r="E319" s="81">
        <f>E306</f>
        <v/>
      </c>
      <c r="F319" s="81">
        <f>F306</f>
        <v/>
      </c>
      <c r="G319" s="110" t="n">
        <v>1.8</v>
      </c>
      <c r="H319" s="110" t="n">
        <v>1.15</v>
      </c>
      <c r="I319" s="110" t="n">
        <v>1</v>
      </c>
      <c r="L319" s="110" t="n">
        <v>1</v>
      </c>
      <c r="M319" s="81" t="inlineStr">
        <is>
          <t>Living Amber</t>
        </is>
      </c>
      <c r="CI319" s="81" t="inlineStr">
        <is>
          <t>B</t>
        </is>
      </c>
      <c r="CJ319" s="81" t="inlineStr">
        <is>
          <t>Traps a boss 3 s; others stay stuck longer</t>
        </is>
      </c>
      <c r="CV319" s="81" t="n">
        <v>2.5</v>
      </c>
      <c r="DB319" s="81" t="n">
        <v>3</v>
      </c>
    </row>
    <row r="320">
      <c r="A320" s="81" t="inlineStr">
        <is>
          <t>Amber Resin Cannon</t>
        </is>
      </c>
      <c r="B320" s="81" t="inlineStr">
        <is>
          <t>Entomb</t>
        </is>
      </c>
      <c r="C320" s="81" t="inlineStr">
        <is>
          <t>control</t>
        </is>
      </c>
      <c r="D320" s="81" t="n">
        <v>5</v>
      </c>
      <c r="E320" s="81">
        <f>E306</f>
        <v/>
      </c>
      <c r="F320" s="81">
        <f>F306</f>
        <v/>
      </c>
      <c r="G320" s="110" t="n">
        <v>1.8</v>
      </c>
      <c r="H320" s="110" t="n">
        <v>1</v>
      </c>
      <c r="I320" s="110" t="n">
        <v>1</v>
      </c>
      <c r="L320" s="110" t="n">
        <v>1</v>
      </c>
      <c r="M320" s="81" t="inlineStr">
        <is>
          <t>Time Capsule</t>
        </is>
      </c>
      <c r="CI320" s="81" t="inlineStr">
        <is>
          <t>C</t>
        </is>
      </c>
      <c r="CJ320" s="81" t="inlineStr">
        <is>
          <t>Stuck dinos are sent 12 studs back</t>
        </is>
      </c>
      <c r="DC320" s="81" t="n">
        <v>12</v>
      </c>
    </row>
    <row r="321">
      <c r="A321" s="81" t="inlineStr">
        <is>
          <t>Amber Resin Cannon</t>
        </is>
      </c>
      <c r="B321" s="81" t="inlineStr">
        <is>
          <t>Fossilize</t>
        </is>
      </c>
      <c r="C321" s="81" t="inlineStr">
        <is>
          <t>economy</t>
        </is>
      </c>
      <c r="D321" s="81" t="n">
        <v>4</v>
      </c>
      <c r="E321" s="81">
        <f>E310</f>
        <v/>
      </c>
      <c r="F321" s="81">
        <f>F310</f>
        <v/>
      </c>
      <c r="G321" s="110" t="n">
        <v>1</v>
      </c>
      <c r="H321" s="110" t="n">
        <v>1</v>
      </c>
      <c r="I321" s="110" t="n">
        <v>1</v>
      </c>
      <c r="L321" s="110" t="n">
        <v>1</v>
      </c>
      <c r="M321" s="81" t="inlineStr">
        <is>
          <t>Dig Crew</t>
        </is>
      </c>
      <c r="CE321" s="81" t="n">
        <v>25</v>
      </c>
      <c r="CI321" s="81" t="inlineStr">
        <is>
          <t>B</t>
        </is>
      </c>
      <c r="CJ321" s="81" t="inlineStr">
        <is>
          <t>A fossil drops a cash chest</t>
        </is>
      </c>
    </row>
    <row r="322">
      <c r="A322" s="81" t="inlineStr">
        <is>
          <t>Amber Resin Cannon</t>
        </is>
      </c>
      <c r="B322" s="81" t="inlineStr">
        <is>
          <t>Fossilize</t>
        </is>
      </c>
      <c r="C322" s="81" t="inlineStr">
        <is>
          <t>economy</t>
        </is>
      </c>
      <c r="D322" s="81" t="n">
        <v>4</v>
      </c>
      <c r="E322" s="81">
        <f>E310</f>
        <v/>
      </c>
      <c r="F322" s="81">
        <f>F310</f>
        <v/>
      </c>
      <c r="G322" s="110" t="n">
        <v>1</v>
      </c>
      <c r="H322" s="110" t="n">
        <v>1</v>
      </c>
      <c r="I322" s="110" t="n">
        <v>1</v>
      </c>
      <c r="L322" s="110" t="n">
        <v>1</v>
      </c>
      <c r="M322" s="81" t="inlineStr">
        <is>
          <t>Bone Dust</t>
        </is>
      </c>
      <c r="CI322" s="81" t="inlineStr">
        <is>
          <t>C</t>
        </is>
      </c>
      <c r="CJ322" s="81" t="inlineStr">
        <is>
          <t>Fossils mark nearby dinos +15%</t>
        </is>
      </c>
      <c r="DM322" s="81" t="n">
        <v>15</v>
      </c>
    </row>
    <row r="323">
      <c r="A323" s="81" t="inlineStr">
        <is>
          <t>Amber Resin Cannon</t>
        </is>
      </c>
      <c r="B323" s="81" t="inlineStr">
        <is>
          <t>Fossilize</t>
        </is>
      </c>
      <c r="C323" s="81" t="inlineStr">
        <is>
          <t>economy</t>
        </is>
      </c>
      <c r="D323" s="81" t="n">
        <v>5</v>
      </c>
      <c r="E323" s="81">
        <f>E311</f>
        <v/>
      </c>
      <c r="F323" s="81">
        <f>F311</f>
        <v/>
      </c>
      <c r="G323" s="110" t="n">
        <v>1</v>
      </c>
      <c r="H323" s="110" t="n">
        <v>1</v>
      </c>
      <c r="I323" s="110" t="n">
        <v>1</v>
      </c>
      <c r="L323" s="110" t="n">
        <v>1</v>
      </c>
      <c r="M323" s="81" t="inlineStr">
        <is>
          <t>Prize Fossils</t>
        </is>
      </c>
      <c r="CI323" s="81" t="inlineStr">
        <is>
          <t>B</t>
        </is>
      </c>
      <c r="CJ323" s="81" t="inlineStr">
        <is>
          <t>More fossils; each counts double for bounties</t>
        </is>
      </c>
      <c r="DD323" s="81" t="n">
        <v>30</v>
      </c>
      <c r="DF323" s="81" t="n">
        <v>2</v>
      </c>
    </row>
    <row r="324">
      <c r="A324" s="81" t="inlineStr">
        <is>
          <t>Amber Resin Cannon</t>
        </is>
      </c>
      <c r="B324" s="81" t="inlineStr">
        <is>
          <t>Fossilize</t>
        </is>
      </c>
      <c r="C324" s="81" t="inlineStr">
        <is>
          <t>economy</t>
        </is>
      </c>
      <c r="D324" s="81" t="n">
        <v>5</v>
      </c>
      <c r="E324" s="81">
        <f>E311</f>
        <v/>
      </c>
      <c r="F324" s="81">
        <f>F311</f>
        <v/>
      </c>
      <c r="G324" s="110" t="n">
        <v>1</v>
      </c>
      <c r="H324" s="110" t="n">
        <v>1</v>
      </c>
      <c r="I324" s="110" t="n">
        <v>1</v>
      </c>
      <c r="L324" s="110" t="n">
        <v>1</v>
      </c>
      <c r="M324" s="81" t="inlineStr">
        <is>
          <t>Amber Heart</t>
        </is>
      </c>
      <c r="CI324" s="81" t="inlineStr">
        <is>
          <t>C</t>
        </is>
      </c>
      <c r="CJ324" s="81" t="inlineStr">
        <is>
          <t>Every 15th fossil freezes your whole side 1 s</t>
        </is>
      </c>
      <c r="DG324" s="81" t="n">
        <v>15</v>
      </c>
    </row>
    <row r="325">
      <c r="A325" s="81" t="inlineStr">
        <is>
          <t>Amber Resin Cannon</t>
        </is>
      </c>
      <c r="B325" s="81" t="inlineStr">
        <is>
          <t>Resin Shell</t>
        </is>
      </c>
      <c r="C325" s="81" t="inlineStr">
        <is>
          <t>support</t>
        </is>
      </c>
      <c r="D325" s="81" t="n">
        <v>4</v>
      </c>
      <c r="E325" s="81">
        <f>E315</f>
        <v/>
      </c>
      <c r="F325" s="81">
        <f>F315</f>
        <v/>
      </c>
      <c r="G325" s="110" t="n">
        <v>1</v>
      </c>
      <c r="H325" s="110" t="n">
        <v>1</v>
      </c>
      <c r="I325" s="110" t="n">
        <v>1</v>
      </c>
      <c r="L325" s="110" t="n">
        <v>1</v>
      </c>
      <c r="M325" s="81" t="inlineStr">
        <is>
          <t>Raider Glue</t>
        </is>
      </c>
      <c r="CI325" s="81" t="inlineStr">
        <is>
          <t>B</t>
        </is>
      </c>
      <c r="CJ325" s="81" t="inlineStr">
        <is>
          <t>Raiders and biters near your towers slow down</t>
        </is>
      </c>
      <c r="CK325" s="81" t="inlineStr">
        <is>
          <t>yes</t>
        </is>
      </c>
      <c r="CL325" s="81" t="n">
        <v>20</v>
      </c>
      <c r="CM325" s="81" t="n">
        <v>2</v>
      </c>
      <c r="CP325" s="81" t="n">
        <v>25</v>
      </c>
      <c r="CQ325" s="81" t="n">
        <v>2</v>
      </c>
    </row>
    <row r="326">
      <c r="A326" s="81" t="inlineStr">
        <is>
          <t>Amber Resin Cannon</t>
        </is>
      </c>
      <c r="B326" s="81" t="inlineStr">
        <is>
          <t>Resin Shell</t>
        </is>
      </c>
      <c r="C326" s="81" t="inlineStr">
        <is>
          <t>support</t>
        </is>
      </c>
      <c r="D326" s="81" t="n">
        <v>4</v>
      </c>
      <c r="E326" s="81">
        <f>E315</f>
        <v/>
      </c>
      <c r="F326" s="81">
        <f>F315</f>
        <v/>
      </c>
      <c r="G326" s="110" t="n">
        <v>1</v>
      </c>
      <c r="H326" s="110" t="n">
        <v>1</v>
      </c>
      <c r="I326" s="110" t="n">
        <v>1</v>
      </c>
      <c r="L326" s="110" t="n">
        <v>1</v>
      </c>
      <c r="M326" s="81" t="inlineStr">
        <is>
          <t>Sticky Thorns</t>
        </is>
      </c>
      <c r="AV326" s="81" t="n">
        <v>5</v>
      </c>
      <c r="CI326" s="81" t="inlineStr">
        <is>
          <t>C</t>
        </is>
      </c>
      <c r="CJ326" s="81" t="inlineStr">
        <is>
          <t>Biters get slowed and take 5 damage</t>
        </is>
      </c>
      <c r="CP326" s="81" t="n">
        <v>15</v>
      </c>
      <c r="CQ326" s="81" t="n">
        <v>1.5</v>
      </c>
    </row>
    <row r="327">
      <c r="A327" s="81" t="inlineStr">
        <is>
          <t>Amber Resin Cannon</t>
        </is>
      </c>
      <c r="B327" s="81" t="inlineStr">
        <is>
          <t>Resin Shell</t>
        </is>
      </c>
      <c r="C327" s="81" t="inlineStr">
        <is>
          <t>support</t>
        </is>
      </c>
      <c r="D327" s="81" t="n">
        <v>5</v>
      </c>
      <c r="E327" s="81">
        <f>E316</f>
        <v/>
      </c>
      <c r="F327" s="81">
        <f>F316</f>
        <v/>
      </c>
      <c r="G327" s="110" t="n">
        <v>1</v>
      </c>
      <c r="H327" s="110" t="n">
        <v>1</v>
      </c>
      <c r="I327" s="110" t="n">
        <v>1</v>
      </c>
      <c r="L327" s="110" t="n">
        <v>1</v>
      </c>
      <c r="M327" s="81" t="inlineStr">
        <is>
          <t>Resin Wall</t>
        </is>
      </c>
      <c r="CI327" s="81" t="inlineStr">
        <is>
          <t>B</t>
        </is>
      </c>
      <c r="CJ327" s="81" t="inlineStr">
        <is>
          <t>Once a round, an amber wall holds every dino 3 s</t>
        </is>
      </c>
      <c r="DL327" s="81" t="n">
        <v>3</v>
      </c>
    </row>
    <row r="328">
      <c r="A328" s="81" t="inlineStr">
        <is>
          <t>Amber Resin Cannon</t>
        </is>
      </c>
      <c r="B328" s="81" t="inlineStr">
        <is>
          <t>Resin Shell</t>
        </is>
      </c>
      <c r="C328" s="81" t="inlineStr">
        <is>
          <t>support</t>
        </is>
      </c>
      <c r="D328" s="81" t="n">
        <v>5</v>
      </c>
      <c r="E328" s="81">
        <f>E316</f>
        <v/>
      </c>
      <c r="F328" s="81">
        <f>F316</f>
        <v/>
      </c>
      <c r="G328" s="110" t="n">
        <v>1</v>
      </c>
      <c r="H328" s="110" t="n">
        <v>1</v>
      </c>
      <c r="I328" s="110" t="n">
        <v>1</v>
      </c>
      <c r="L328" s="110" t="n">
        <v>1</v>
      </c>
      <c r="M328" s="81" t="inlineStr">
        <is>
          <t>Amber Mirror</t>
        </is>
      </c>
      <c r="BR328" s="81" t="n">
        <v>1</v>
      </c>
      <c r="CI328" s="81" t="inlineStr">
        <is>
          <t>C</t>
        </is>
      </c>
      <c r="CJ328" s="81" t="inlineStr">
        <is>
          <t>Throws at your towers bounce back</t>
        </is>
      </c>
      <c r="DK328" s="81" t="n">
        <v>60</v>
      </c>
    </row>
    <row r="329">
      <c r="A329" s="81" t="inlineStr">
        <is>
          <t>Raptor Pen</t>
        </is>
      </c>
      <c r="B329" s="81" t="inlineStr">
        <is>
          <t>Pack</t>
        </is>
      </c>
      <c r="C329" s="81" t="inlineStr">
        <is>
          <t>pack damage</t>
        </is>
      </c>
      <c r="D329" s="81" t="n">
        <v>1</v>
      </c>
      <c r="E329" s="81">
        <f>ROUND('Towers'!$C$20*POWER('Tuning'!$B$12,D329),0)</f>
        <v/>
      </c>
      <c r="F329" s="81">
        <f>'Towers'!$C$20+E329</f>
        <v/>
      </c>
      <c r="G329" s="110" t="n">
        <v>1</v>
      </c>
      <c r="H329" s="110" t="n">
        <v>1</v>
      </c>
      <c r="I329" s="110" t="n">
        <v>1</v>
      </c>
      <c r="J329" s="81">
        <f>'Towers'!$G$20*G329*H329*I329</f>
        <v/>
      </c>
      <c r="K329" s="81">
        <f>IF(J329=0,0,F329/J329)</f>
        <v/>
      </c>
      <c r="L329" s="110" t="n">
        <v>1</v>
      </c>
      <c r="M329" s="81" t="inlineStr">
        <is>
          <t>Second Raptor</t>
        </is>
      </c>
      <c r="DN329" s="81" t="n">
        <v>2</v>
      </c>
    </row>
    <row r="330">
      <c r="A330" s="81" t="inlineStr">
        <is>
          <t>Raptor Pen</t>
        </is>
      </c>
      <c r="B330" s="81" t="inlineStr">
        <is>
          <t>Pack</t>
        </is>
      </c>
      <c r="C330" s="81" t="inlineStr">
        <is>
          <t>pack damage</t>
        </is>
      </c>
      <c r="D330" s="81" t="n">
        <v>2</v>
      </c>
      <c r="E330" s="81">
        <f>ROUND('Towers'!$C$20*POWER('Tuning'!$B$12,D330),0)</f>
        <v/>
      </c>
      <c r="F330" s="81">
        <f>F329+E330</f>
        <v/>
      </c>
      <c r="G330" s="110" t="n">
        <v>1.4</v>
      </c>
      <c r="H330" s="110" t="n">
        <v>1</v>
      </c>
      <c r="I330" s="110" t="n">
        <v>1</v>
      </c>
      <c r="J330" s="81">
        <f>'Towers'!$G$20*G330*H330*I330</f>
        <v/>
      </c>
      <c r="K330" s="81">
        <f>IF(J330=0,0,F330/J330)</f>
        <v/>
      </c>
      <c r="L330" s="110" t="n">
        <v>1</v>
      </c>
      <c r="M330" s="81" t="inlineStr">
        <is>
          <t>Quick Whistle</t>
        </is>
      </c>
      <c r="DN330" s="81" t="n">
        <v>2</v>
      </c>
      <c r="DP330" s="81" t="n">
        <v>1.3</v>
      </c>
      <c r="DR330" s="81" t="n">
        <v>0.7</v>
      </c>
    </row>
    <row r="331">
      <c r="A331" s="81" t="inlineStr">
        <is>
          <t>Raptor Pen</t>
        </is>
      </c>
      <c r="B331" s="81" t="inlineStr">
        <is>
          <t>Pack</t>
        </is>
      </c>
      <c r="C331" s="81" t="inlineStr">
        <is>
          <t>pack damage</t>
        </is>
      </c>
      <c r="D331" s="81" t="n">
        <v>3</v>
      </c>
      <c r="E331" s="81">
        <f>ROUND('Towers'!$C$20*POWER('Tuning'!$B$12,D331),0)</f>
        <v/>
      </c>
      <c r="F331" s="81">
        <f>F330+E331</f>
        <v/>
      </c>
      <c r="G331" s="110" t="n">
        <v>1.4</v>
      </c>
      <c r="H331" s="110" t="n">
        <v>1</v>
      </c>
      <c r="I331" s="110" t="n">
        <v>1</v>
      </c>
      <c r="J331" s="81">
        <f>'Towers'!$G$20*G331*H331*I331</f>
        <v/>
      </c>
      <c r="K331" s="81">
        <f>IF(J331=0,0,F331/J331)</f>
        <v/>
      </c>
      <c r="L331" s="110" t="n">
        <v>1</v>
      </c>
      <c r="M331" s="81" t="inlineStr">
        <is>
          <t>Pack of Five</t>
        </is>
      </c>
      <c r="DN331" s="81" t="n">
        <v>5</v>
      </c>
      <c r="DP331" s="81" t="n">
        <v>1.3</v>
      </c>
      <c r="DR331" s="81" t="n">
        <v>0.7</v>
      </c>
    </row>
    <row r="332">
      <c r="A332" s="81" t="inlineStr">
        <is>
          <t>Raptor Pen</t>
        </is>
      </c>
      <c r="B332" s="81" t="inlineStr">
        <is>
          <t>Pack</t>
        </is>
      </c>
      <c r="C332" s="81" t="inlineStr">
        <is>
          <t>pack damage</t>
        </is>
      </c>
      <c r="D332" s="81" t="n">
        <v>4</v>
      </c>
      <c r="E332" s="81">
        <f>ROUND('Towers'!$C$20*POWER('Tuning'!$B$12,D332),0)</f>
        <v/>
      </c>
      <c r="F332" s="81">
        <f>F331+E332</f>
        <v/>
      </c>
      <c r="G332" s="110" t="n">
        <v>1.75</v>
      </c>
      <c r="H332" s="110" t="n">
        <v>1</v>
      </c>
      <c r="I332" s="110" t="n">
        <v>1</v>
      </c>
      <c r="J332" s="81">
        <f>J331*G332*H332*I332</f>
        <v/>
      </c>
      <c r="K332" s="81">
        <f>IF(J332=0,0,F332/J332)</f>
        <v/>
      </c>
      <c r="L332" s="110" t="n">
        <v>1</v>
      </c>
      <c r="M332" s="81" t="inlineStr">
        <is>
          <t>Hide Rippers</t>
        </is>
      </c>
      <c r="N332" s="81" t="inlineStr">
        <is>
          <t>Yes</t>
        </is>
      </c>
      <c r="CI332" s="81" t="inlineStr">
        <is>
          <t>A</t>
        </is>
      </c>
      <c r="CJ332" s="81" t="inlineStr">
        <is>
          <t>Raptors bite through armour</t>
        </is>
      </c>
    </row>
    <row r="333">
      <c r="A333" s="81" t="inlineStr">
        <is>
          <t>Raptor Pen</t>
        </is>
      </c>
      <c r="B333" s="81" t="inlineStr">
        <is>
          <t>Pack</t>
        </is>
      </c>
      <c r="C333" s="81" t="inlineStr">
        <is>
          <t>pack damage</t>
        </is>
      </c>
      <c r="D333" s="81" t="n">
        <v>5</v>
      </c>
      <c r="E333" s="81">
        <f>ROUND('Towers'!$C$20*POWER('Tuning'!$B$12,D333),0)</f>
        <v/>
      </c>
      <c r="F333" s="81">
        <f>F332+E333</f>
        <v/>
      </c>
      <c r="G333" s="110" t="n">
        <v>1.7</v>
      </c>
      <c r="H333" s="110" t="n">
        <v>1</v>
      </c>
      <c r="I333" s="110" t="n">
        <v>1</v>
      </c>
      <c r="J333" s="81">
        <f>J332*G333*H333*I333</f>
        <v/>
      </c>
      <c r="K333" s="81">
        <f>IF(J333=0,0,F333/J333)</f>
        <v/>
      </c>
      <c r="L333" s="110" t="n">
        <v>1</v>
      </c>
      <c r="M333" s="81" t="inlineStr">
        <is>
          <t>Raptor Swarm</t>
        </is>
      </c>
      <c r="CI333" s="81" t="inlineStr">
        <is>
          <t>A</t>
        </is>
      </c>
      <c r="CJ333" s="81" t="inlineStr">
        <is>
          <t>10 small raptors flood the track once a round</t>
        </is>
      </c>
      <c r="EA333" s="81" t="inlineStr">
        <is>
          <t>Yes</t>
        </is>
      </c>
    </row>
    <row r="334">
      <c r="A334" s="81" t="inlineStr">
        <is>
          <t>Raptor Pen</t>
        </is>
      </c>
      <c r="B334" s="81" t="inlineStr">
        <is>
          <t>Alpha</t>
        </is>
      </c>
      <c r="C334" s="81" t="inlineStr">
        <is>
          <t>one big hunter</t>
        </is>
      </c>
      <c r="D334" s="81" t="n">
        <v>1</v>
      </c>
      <c r="E334" s="81">
        <f>ROUND('Towers'!$C$20*POWER('Tuning'!$B$12,D334),0)</f>
        <v/>
      </c>
      <c r="F334" s="81">
        <f>'Towers'!$C$20+E334</f>
        <v/>
      </c>
      <c r="G334" s="110" t="n">
        <v>1.9</v>
      </c>
      <c r="H334" s="110" t="n">
        <v>1</v>
      </c>
      <c r="I334" s="110" t="n">
        <v>1</v>
      </c>
      <c r="J334" s="81">
        <f>'Towers'!$G$20*G334*H334*I334</f>
        <v/>
      </c>
      <c r="K334" s="81">
        <f>IF(J334=0,0,F334/J334)</f>
        <v/>
      </c>
      <c r="L334" s="110" t="n">
        <v>1</v>
      </c>
      <c r="M334" s="81" t="inlineStr">
        <is>
          <t>Sharp Claws</t>
        </is>
      </c>
    </row>
    <row r="335">
      <c r="A335" s="81" t="inlineStr">
        <is>
          <t>Raptor Pen</t>
        </is>
      </c>
      <c r="B335" s="81" t="inlineStr">
        <is>
          <t>Alpha</t>
        </is>
      </c>
      <c r="C335" s="81" t="inlineStr">
        <is>
          <t>one big hunter</t>
        </is>
      </c>
      <c r="D335" s="81" t="n">
        <v>2</v>
      </c>
      <c r="E335" s="81">
        <f>ROUND('Towers'!$C$20*POWER('Tuning'!$B$12,D335),0)</f>
        <v/>
      </c>
      <c r="F335" s="81">
        <f>F334+E335</f>
        <v/>
      </c>
      <c r="G335" s="110" t="n">
        <v>3.6</v>
      </c>
      <c r="H335" s="110" t="n">
        <v>1</v>
      </c>
      <c r="I335" s="110" t="n">
        <v>1</v>
      </c>
      <c r="J335" s="81">
        <f>'Towers'!$G$20*G335*H335*I335</f>
        <v/>
      </c>
      <c r="K335" s="81">
        <f>IF(J335=0,0,F335/J335)</f>
        <v/>
      </c>
      <c r="L335" s="110" t="n">
        <v>1</v>
      </c>
      <c r="M335" s="81" t="inlineStr">
        <is>
          <t>Thick Hide</t>
        </is>
      </c>
      <c r="DO335" s="81" t="n">
        <v>1.6</v>
      </c>
      <c r="DQ335" s="81" t="n">
        <v>25</v>
      </c>
    </row>
    <row r="336">
      <c r="A336" s="81" t="inlineStr">
        <is>
          <t>Raptor Pen</t>
        </is>
      </c>
      <c r="B336" s="81" t="inlineStr">
        <is>
          <t>Alpha</t>
        </is>
      </c>
      <c r="C336" s="81" t="inlineStr">
        <is>
          <t>one big hunter</t>
        </is>
      </c>
      <c r="D336" s="81" t="n">
        <v>3</v>
      </c>
      <c r="E336" s="81">
        <f>ROUND('Towers'!$C$20*POWER('Tuning'!$B$12,D336),0)</f>
        <v/>
      </c>
      <c r="F336" s="81">
        <f>F335+E336</f>
        <v/>
      </c>
      <c r="G336" s="110" t="n">
        <v>7</v>
      </c>
      <c r="H336" s="110" t="n">
        <v>1</v>
      </c>
      <c r="I336" s="110" t="n">
        <v>1</v>
      </c>
      <c r="J336" s="81">
        <f>'Towers'!$G$20*G336*H336*I336</f>
        <v/>
      </c>
      <c r="K336" s="81">
        <f>IF(J336=0,0,F336/J336)</f>
        <v/>
      </c>
      <c r="L336" s="110" t="n">
        <v>1</v>
      </c>
      <c r="M336" s="81" t="inlineStr">
        <is>
          <t>Alpha Raptor</t>
        </is>
      </c>
      <c r="BJ336" s="81" t="n">
        <v>2</v>
      </c>
      <c r="DO336" s="81" t="n">
        <v>3</v>
      </c>
      <c r="DQ336" s="81" t="n">
        <v>25</v>
      </c>
      <c r="DS336" s="81" t="n">
        <v>1</v>
      </c>
      <c r="DZ336" s="81" t="inlineStr">
        <is>
          <t>Yes</t>
        </is>
      </c>
    </row>
    <row r="337">
      <c r="A337" s="81" t="inlineStr">
        <is>
          <t>Raptor Pen</t>
        </is>
      </c>
      <c r="B337" s="81" t="inlineStr">
        <is>
          <t>Alpha</t>
        </is>
      </c>
      <c r="C337" s="81" t="inlineStr">
        <is>
          <t>one big hunter</t>
        </is>
      </c>
      <c r="D337" s="81" t="n">
        <v>4</v>
      </c>
      <c r="E337" s="81">
        <f>ROUND('Towers'!$C$20*POWER('Tuning'!$B$12,D337),0)</f>
        <v/>
      </c>
      <c r="F337" s="81">
        <f>F336+E337</f>
        <v/>
      </c>
      <c r="G337" s="110" t="n">
        <v>1.8</v>
      </c>
      <c r="H337" s="110" t="n">
        <v>1</v>
      </c>
      <c r="I337" s="110" t="n">
        <v>1</v>
      </c>
      <c r="J337" s="81">
        <f>J336*G337*H337*I337</f>
        <v/>
      </c>
      <c r="K337" s="81">
        <f>IF(J337=0,0,F337/J337)</f>
        <v/>
      </c>
      <c r="L337" s="110" t="n">
        <v>1</v>
      </c>
      <c r="M337" s="81" t="inlineStr">
        <is>
          <t>Sickle Claw</t>
        </is>
      </c>
      <c r="BJ337" s="81" t="n">
        <v>3</v>
      </c>
      <c r="CI337" s="81" t="inlineStr">
        <is>
          <t>A</t>
        </is>
      </c>
      <c r="CJ337" s="81" t="inlineStr">
        <is>
          <t>×3 on its target, breaks 3</t>
        </is>
      </c>
    </row>
    <row r="338">
      <c r="A338" s="81" t="inlineStr">
        <is>
          <t>Raptor Pen</t>
        </is>
      </c>
      <c r="B338" s="81" t="inlineStr">
        <is>
          <t>Alpha</t>
        </is>
      </c>
      <c r="C338" s="81" t="inlineStr">
        <is>
          <t>one big hunter</t>
        </is>
      </c>
      <c r="D338" s="81" t="n">
        <v>5</v>
      </c>
      <c r="E338" s="81">
        <f>ROUND('Towers'!$C$20*POWER('Tuning'!$B$12,D338),0)</f>
        <v/>
      </c>
      <c r="F338" s="81">
        <f>F337+E338</f>
        <v/>
      </c>
      <c r="G338" s="110" t="n">
        <v>1.9</v>
      </c>
      <c r="H338" s="110" t="n">
        <v>1</v>
      </c>
      <c r="I338" s="110" t="n">
        <v>1</v>
      </c>
      <c r="J338" s="81">
        <f>J337*G338*H338*I338</f>
        <v/>
      </c>
      <c r="K338" s="81">
        <f>IF(J338=0,0,F338/J338)</f>
        <v/>
      </c>
      <c r="L338" s="110" t="n">
        <v>1</v>
      </c>
      <c r="M338" s="81" t="inlineStr">
        <is>
          <t>King of the Pack</t>
        </is>
      </c>
      <c r="BJ338" s="81" t="n">
        <v>4</v>
      </c>
      <c r="CI338" s="81" t="inlineStr">
        <is>
          <t>A</t>
        </is>
      </c>
      <c r="CJ338" s="81" t="inlineStr">
        <is>
          <t>A giant raptor, half damage taken</t>
        </is>
      </c>
      <c r="DO338" s="81" t="n">
        <v>1.5</v>
      </c>
      <c r="DQ338" s="81" t="n">
        <v>50</v>
      </c>
    </row>
    <row r="339">
      <c r="A339" s="81" t="inlineStr">
        <is>
          <t>Raptor Pen</t>
        </is>
      </c>
      <c r="B339" s="81" t="inlineStr">
        <is>
          <t>Trainer</t>
        </is>
      </c>
      <c r="C339" s="81" t="inlineStr">
        <is>
          <t>support</t>
        </is>
      </c>
      <c r="D339" s="81" t="n">
        <v>1</v>
      </c>
      <c r="E339" s="81">
        <f>ROUND('Towers'!$C$20*POWER('Tuning'!$B$12,D339),0)</f>
        <v/>
      </c>
      <c r="F339" s="81">
        <f>'Towers'!$C$20+E339</f>
        <v/>
      </c>
      <c r="G339" s="110" t="n">
        <v>1.3</v>
      </c>
      <c r="H339" s="110" t="n">
        <v>1</v>
      </c>
      <c r="I339" s="110" t="n">
        <v>1</v>
      </c>
      <c r="J339" s="81">
        <f>'Towers'!$G$20*G339*H339*I339</f>
        <v/>
      </c>
      <c r="K339" s="81">
        <f>IF(J339=0,0,F339/J339)</f>
        <v/>
      </c>
      <c r="L339" s="110" t="n">
        <v>1.15</v>
      </c>
      <c r="M339" s="81" t="inlineStr">
        <is>
          <t>Tracking Nose</t>
        </is>
      </c>
      <c r="DV339" s="81" t="inlineStr">
        <is>
          <t>Yes</t>
        </is>
      </c>
    </row>
    <row r="340">
      <c r="A340" s="81" t="inlineStr">
        <is>
          <t>Raptor Pen</t>
        </is>
      </c>
      <c r="B340" s="81" t="inlineStr">
        <is>
          <t>Trainer</t>
        </is>
      </c>
      <c r="C340" s="81" t="inlineStr">
        <is>
          <t>support</t>
        </is>
      </c>
      <c r="D340" s="81" t="n">
        <v>2</v>
      </c>
      <c r="E340" s="81">
        <f>ROUND('Towers'!$C$20*POWER('Tuning'!$B$12,D340),0)</f>
        <v/>
      </c>
      <c r="F340" s="81">
        <f>F339+E340</f>
        <v/>
      </c>
      <c r="G340" s="110" t="n">
        <v>1.6</v>
      </c>
      <c r="H340" s="110" t="n">
        <v>1</v>
      </c>
      <c r="I340" s="110" t="n">
        <v>1</v>
      </c>
      <c r="J340" s="81">
        <f>'Towers'!$G$20*G340*H340*I340</f>
        <v/>
      </c>
      <c r="K340" s="81">
        <f>IF(J340=0,0,F340/J340)</f>
        <v/>
      </c>
      <c r="L340" s="110" t="n">
        <v>1.15</v>
      </c>
      <c r="M340" s="81" t="inlineStr">
        <is>
          <t>Herding Call</t>
        </is>
      </c>
      <c r="AE340" s="81" t="n">
        <v>20</v>
      </c>
      <c r="AF340" s="81" t="n">
        <v>1</v>
      </c>
      <c r="DV340" s="81" t="inlineStr">
        <is>
          <t>Yes</t>
        </is>
      </c>
    </row>
    <row r="341">
      <c r="A341" s="81" t="inlineStr">
        <is>
          <t>Raptor Pen</t>
        </is>
      </c>
      <c r="B341" s="81" t="inlineStr">
        <is>
          <t>Trainer</t>
        </is>
      </c>
      <c r="C341" s="81" t="inlineStr">
        <is>
          <t>support</t>
        </is>
      </c>
      <c r="D341" s="81" t="n">
        <v>3</v>
      </c>
      <c r="E341" s="81">
        <f>ROUND('Towers'!$C$20*POWER('Tuning'!$B$12,D341),0)</f>
        <v/>
      </c>
      <c r="F341" s="81">
        <f>F340+E341</f>
        <v/>
      </c>
      <c r="G341" s="110" t="n">
        <v>2.2</v>
      </c>
      <c r="H341" s="110" t="n">
        <v>1</v>
      </c>
      <c r="I341" s="110" t="n">
        <v>1</v>
      </c>
      <c r="J341" s="81">
        <f>'Towers'!$G$20*G341*H341*I341</f>
        <v/>
      </c>
      <c r="K341" s="81">
        <f>IF(J341=0,0,F341/J341)</f>
        <v/>
      </c>
      <c r="L341" s="110" t="n">
        <v>1.15</v>
      </c>
      <c r="M341" s="81" t="inlineStr">
        <is>
          <t>Pack Howl</t>
        </is>
      </c>
      <c r="AE341" s="81" t="n">
        <v>20</v>
      </c>
      <c r="AF341" s="81" t="n">
        <v>1</v>
      </c>
      <c r="BY341" s="81" t="n">
        <v>15</v>
      </c>
      <c r="DN341" s="81" t="n">
        <v>2</v>
      </c>
      <c r="DV341" s="81" t="inlineStr">
        <is>
          <t>Yes</t>
        </is>
      </c>
    </row>
    <row r="342">
      <c r="A342" s="81" t="inlineStr">
        <is>
          <t>Raptor Pen</t>
        </is>
      </c>
      <c r="B342" s="81" t="inlineStr">
        <is>
          <t>Trainer</t>
        </is>
      </c>
      <c r="C342" s="81" t="inlineStr">
        <is>
          <t>support</t>
        </is>
      </c>
      <c r="D342" s="81" t="n">
        <v>4</v>
      </c>
      <c r="E342" s="81">
        <f>ROUND('Towers'!$C$20*POWER('Tuning'!$B$12,D342),0)</f>
        <v/>
      </c>
      <c r="F342" s="81">
        <f>F341+E342</f>
        <v/>
      </c>
      <c r="G342" s="110" t="n">
        <v>1.4</v>
      </c>
      <c r="H342" s="110" t="n">
        <v>1</v>
      </c>
      <c r="I342" s="110" t="n">
        <v>1</v>
      </c>
      <c r="J342" s="81">
        <f>J341*G342*H342*I342</f>
        <v/>
      </c>
      <c r="K342" s="81">
        <f>IF(J342=0,0,F342/J342)</f>
        <v/>
      </c>
      <c r="L342" s="110" t="n">
        <v>1</v>
      </c>
      <c r="M342" s="81" t="inlineStr">
        <is>
          <t>Treat Bag</t>
        </is>
      </c>
      <c r="CI342" s="81" t="inlineStr">
        <is>
          <t>A</t>
        </is>
      </c>
      <c r="CJ342" s="81" t="inlineStr">
        <is>
          <t>Raptors heal and return faster</t>
        </is>
      </c>
      <c r="DR342" s="81" t="n">
        <v>0.5</v>
      </c>
      <c r="DX342" s="81" t="inlineStr">
        <is>
          <t>Yes</t>
        </is>
      </c>
    </row>
    <row r="343">
      <c r="A343" s="81" t="inlineStr">
        <is>
          <t>Raptor Pen</t>
        </is>
      </c>
      <c r="B343" s="81" t="inlineStr">
        <is>
          <t>Trainer</t>
        </is>
      </c>
      <c r="C343" s="81" t="inlineStr">
        <is>
          <t>support</t>
        </is>
      </c>
      <c r="D343" s="81" t="n">
        <v>5</v>
      </c>
      <c r="E343" s="81">
        <f>ROUND('Towers'!$C$20*POWER('Tuning'!$B$12,D343),0)</f>
        <v/>
      </c>
      <c r="F343" s="81">
        <f>F342+E343</f>
        <v/>
      </c>
      <c r="G343" s="110" t="n">
        <v>1.5</v>
      </c>
      <c r="H343" s="110" t="n">
        <v>1</v>
      </c>
      <c r="I343" s="110" t="n">
        <v>1</v>
      </c>
      <c r="J343" s="81">
        <f>J342*G343*H343*I343</f>
        <v/>
      </c>
      <c r="K343" s="81">
        <f>IF(J343=0,0,F343/J343)</f>
        <v/>
      </c>
      <c r="L343" s="110" t="n">
        <v>1</v>
      </c>
      <c r="M343" s="81" t="inlineStr">
        <is>
          <t>Raptor Charge</t>
        </is>
      </c>
      <c r="CI343" s="81" t="inlineStr">
        <is>
          <t>A</t>
        </is>
      </c>
      <c r="CJ343" s="81" t="inlineStr">
        <is>
          <t>Every raptor charges the track once a round</t>
        </is>
      </c>
      <c r="EB343" s="81" t="inlineStr">
        <is>
          <t>Yes</t>
        </is>
      </c>
    </row>
    <row r="344">
      <c r="A344" s="81" t="inlineStr">
        <is>
          <t>Raptor Pen</t>
        </is>
      </c>
      <c r="B344" s="81" t="inlineStr">
        <is>
          <t>Pack</t>
        </is>
      </c>
      <c r="C344" s="81" t="inlineStr">
        <is>
          <t>pack damage</t>
        </is>
      </c>
      <c r="D344" s="81" t="n">
        <v>4</v>
      </c>
      <c r="E344" s="81">
        <f>E332</f>
        <v/>
      </c>
      <c r="F344" s="81">
        <f>F332</f>
        <v/>
      </c>
      <c r="G344" s="110" t="n">
        <v>1.85</v>
      </c>
      <c r="H344" s="110" t="n">
        <v>1</v>
      </c>
      <c r="I344" s="110" t="n">
        <v>1</v>
      </c>
      <c r="L344" s="110" t="n">
        <v>1</v>
      </c>
      <c r="M344" s="81" t="inlineStr">
        <is>
          <t>Flanking</t>
        </is>
      </c>
      <c r="CI344" s="81" t="inlineStr">
        <is>
          <t>B</t>
        </is>
      </c>
      <c r="CJ344" s="81" t="inlineStr">
        <is>
          <t>Each raptor picks a different dino</t>
        </is>
      </c>
      <c r="DU344" s="81" t="inlineStr">
        <is>
          <t>Yes</t>
        </is>
      </c>
    </row>
    <row r="345">
      <c r="A345" s="81" t="inlineStr">
        <is>
          <t>Raptor Pen</t>
        </is>
      </c>
      <c r="B345" s="81" t="inlineStr">
        <is>
          <t>Pack</t>
        </is>
      </c>
      <c r="C345" s="81" t="inlineStr">
        <is>
          <t>pack damage</t>
        </is>
      </c>
      <c r="D345" s="81" t="n">
        <v>4</v>
      </c>
      <c r="E345" s="81">
        <f>E332</f>
        <v/>
      </c>
      <c r="F345" s="81">
        <f>F332</f>
        <v/>
      </c>
      <c r="G345" s="110" t="n">
        <v>1.75</v>
      </c>
      <c r="H345" s="110" t="n">
        <v>1</v>
      </c>
      <c r="I345" s="110" t="n">
        <v>1</v>
      </c>
      <c r="L345" s="110" t="n">
        <v>1</v>
      </c>
      <c r="M345" s="81" t="inlineStr">
        <is>
          <t>Ambush</t>
        </is>
      </c>
      <c r="BU345" s="81" t="n">
        <v>2</v>
      </c>
      <c r="CI345" s="81" t="inlineStr">
        <is>
          <t>C</t>
        </is>
      </c>
      <c r="CJ345" s="81" t="inlineStr">
        <is>
          <t>Each raptor's first pounce hits double</t>
        </is>
      </c>
    </row>
    <row r="346">
      <c r="A346" s="81" t="inlineStr">
        <is>
          <t>Raptor Pen</t>
        </is>
      </c>
      <c r="B346" s="81" t="inlineStr">
        <is>
          <t>Pack</t>
        </is>
      </c>
      <c r="C346" s="81" t="inlineStr">
        <is>
          <t>pack damage</t>
        </is>
      </c>
      <c r="D346" s="81" t="n">
        <v>5</v>
      </c>
      <c r="E346" s="81">
        <f>E333</f>
        <v/>
      </c>
      <c r="F346" s="81">
        <f>F333</f>
        <v/>
      </c>
      <c r="G346" s="110" t="n">
        <v>1.75</v>
      </c>
      <c r="H346" s="110" t="n">
        <v>1</v>
      </c>
      <c r="I346" s="110" t="n">
        <v>1</v>
      </c>
      <c r="L346" s="110" t="n">
        <v>1</v>
      </c>
      <c r="M346" s="81" t="inlineStr">
        <is>
          <t>Clever Girls</t>
        </is>
      </c>
      <c r="CI346" s="81" t="inlineStr">
        <is>
          <t>B</t>
        </is>
      </c>
      <c r="CJ346" s="81" t="inlineStr">
        <is>
          <t>Raptors dodge bites and never get trampled</t>
        </is>
      </c>
      <c r="DY346" s="81" t="inlineStr">
        <is>
          <t>Yes</t>
        </is>
      </c>
    </row>
    <row r="347">
      <c r="A347" s="81" t="inlineStr">
        <is>
          <t>Raptor Pen</t>
        </is>
      </c>
      <c r="B347" s="81" t="inlineStr">
        <is>
          <t>Pack</t>
        </is>
      </c>
      <c r="C347" s="81" t="inlineStr">
        <is>
          <t>pack damage</t>
        </is>
      </c>
      <c r="D347" s="81" t="n">
        <v>5</v>
      </c>
      <c r="E347" s="81">
        <f>E333</f>
        <v/>
      </c>
      <c r="F347" s="81">
        <f>F333</f>
        <v/>
      </c>
      <c r="G347" s="110" t="n">
        <v>1.95</v>
      </c>
      <c r="H347" s="110" t="n">
        <v>1</v>
      </c>
      <c r="I347" s="110" t="n">
        <v>1</v>
      </c>
      <c r="L347" s="110" t="n">
        <v>1</v>
      </c>
      <c r="M347" s="81" t="inlineStr">
        <is>
          <t>Sky Leap</t>
        </is>
      </c>
      <c r="CI347" s="81" t="inlineStr">
        <is>
          <t>C</t>
        </is>
      </c>
      <c r="CJ347" s="81" t="inlineStr">
        <is>
          <t>Raptors jump at low flyers</t>
        </is>
      </c>
      <c r="DW347" s="81" t="inlineStr">
        <is>
          <t>Yes</t>
        </is>
      </c>
    </row>
    <row r="348">
      <c r="A348" s="81" t="inlineStr">
        <is>
          <t>Raptor Pen</t>
        </is>
      </c>
      <c r="B348" s="81" t="inlineStr">
        <is>
          <t>Alpha</t>
        </is>
      </c>
      <c r="C348" s="81" t="inlineStr">
        <is>
          <t>one big hunter</t>
        </is>
      </c>
      <c r="D348" s="81" t="n">
        <v>4</v>
      </c>
      <c r="E348" s="81">
        <f>E337</f>
        <v/>
      </c>
      <c r="F348" s="81">
        <f>F337</f>
        <v/>
      </c>
      <c r="G348" s="110" t="n">
        <v>1.6</v>
      </c>
      <c r="H348" s="110" t="n">
        <v>1</v>
      </c>
      <c r="I348" s="110" t="n">
        <v>1</v>
      </c>
      <c r="L348" s="110" t="n">
        <v>1</v>
      </c>
      <c r="M348" s="81" t="inlineStr">
        <is>
          <t>Boss Hunter</t>
        </is>
      </c>
      <c r="P348" s="81" t="n">
        <v>1.6</v>
      </c>
      <c r="CI348" s="81" t="inlineStr">
        <is>
          <t>B</t>
        </is>
      </c>
      <c r="CJ348" s="81" t="inlineStr">
        <is>
          <t>Can hold a boss for a moment</t>
        </is>
      </c>
      <c r="DT348" s="81" t="n">
        <v>0.5</v>
      </c>
    </row>
    <row r="349">
      <c r="A349" s="81" t="inlineStr">
        <is>
          <t>Raptor Pen</t>
        </is>
      </c>
      <c r="B349" s="81" t="inlineStr">
        <is>
          <t>Alpha</t>
        </is>
      </c>
      <c r="C349" s="81" t="inlineStr">
        <is>
          <t>one big hunter</t>
        </is>
      </c>
      <c r="D349" s="81" t="n">
        <v>4</v>
      </c>
      <c r="E349" s="81">
        <f>E337</f>
        <v/>
      </c>
      <c r="F349" s="81">
        <f>F337</f>
        <v/>
      </c>
      <c r="G349" s="110" t="n">
        <v>1.7</v>
      </c>
      <c r="H349" s="110" t="n">
        <v>1</v>
      </c>
      <c r="I349" s="110" t="n">
        <v>1</v>
      </c>
      <c r="L349" s="110" t="n">
        <v>1</v>
      </c>
      <c r="M349" s="81" t="inlineStr">
        <is>
          <t>Scent Trail</t>
        </is>
      </c>
      <c r="T349" s="81" t="n">
        <v>15</v>
      </c>
      <c r="CI349" s="81" t="inlineStr">
        <is>
          <t>C</t>
        </is>
      </c>
      <c r="CJ349" s="81" t="inlineStr">
        <is>
          <t>Its target is marked +15%</t>
        </is>
      </c>
    </row>
    <row r="350">
      <c r="A350" s="81" t="inlineStr">
        <is>
          <t>Raptor Pen</t>
        </is>
      </c>
      <c r="B350" s="81" t="inlineStr">
        <is>
          <t>Alpha</t>
        </is>
      </c>
      <c r="C350" s="81" t="inlineStr">
        <is>
          <t>one big hunter</t>
        </is>
      </c>
      <c r="D350" s="81" t="n">
        <v>5</v>
      </c>
      <c r="E350" s="81">
        <f>E338</f>
        <v/>
      </c>
      <c r="F350" s="81">
        <f>F338</f>
        <v/>
      </c>
      <c r="G350" s="110" t="n">
        <v>2</v>
      </c>
      <c r="H350" s="110" t="n">
        <v>1</v>
      </c>
      <c r="I350" s="110" t="n">
        <v>1</v>
      </c>
      <c r="L350" s="110" t="n">
        <v>1</v>
      </c>
      <c r="M350" s="81" t="inlineStr">
        <is>
          <t>Rex Tamer</t>
        </is>
      </c>
      <c r="U350" s="81" t="n">
        <v>1</v>
      </c>
      <c r="CI350" s="81" t="inlineStr">
        <is>
          <t>B</t>
        </is>
      </c>
      <c r="CJ350" s="81" t="inlineStr">
        <is>
          <t>A tamed T. rex whose roar stuns</t>
        </is>
      </c>
      <c r="DO350" s="81" t="n">
        <v>1.4</v>
      </c>
      <c r="ED350" s="81" t="n">
        <v>15</v>
      </c>
    </row>
    <row r="351">
      <c r="A351" s="81" t="inlineStr">
        <is>
          <t>Raptor Pen</t>
        </is>
      </c>
      <c r="B351" s="81" t="inlineStr">
        <is>
          <t>Alpha</t>
        </is>
      </c>
      <c r="C351" s="81" t="inlineStr">
        <is>
          <t>one big hunter</t>
        </is>
      </c>
      <c r="D351" s="81" t="n">
        <v>5</v>
      </c>
      <c r="E351" s="81">
        <f>E338</f>
        <v/>
      </c>
      <c r="F351" s="81">
        <f>F338</f>
        <v/>
      </c>
      <c r="G351" s="110" t="n">
        <v>1.75</v>
      </c>
      <c r="H351" s="110" t="n">
        <v>1</v>
      </c>
      <c r="I351" s="110" t="n">
        <v>1</v>
      </c>
      <c r="L351" s="110" t="n">
        <v>1</v>
      </c>
      <c r="M351" s="81" t="inlineStr">
        <is>
          <t>Hungry Alpha</t>
        </is>
      </c>
      <c r="CI351" s="81" t="inlineStr">
        <is>
          <t>C</t>
        </is>
      </c>
      <c r="CJ351" s="81" t="inlineStr">
        <is>
          <t>Stronger with every take-down</t>
        </is>
      </c>
      <c r="EE351" s="81" t="n">
        <v>10</v>
      </c>
    </row>
    <row r="352">
      <c r="A352" s="81" t="inlineStr">
        <is>
          <t>Raptor Pen</t>
        </is>
      </c>
      <c r="B352" s="81" t="inlineStr">
        <is>
          <t>Trainer</t>
        </is>
      </c>
      <c r="C352" s="81" t="inlineStr">
        <is>
          <t>support</t>
        </is>
      </c>
      <c r="D352" s="81" t="n">
        <v>4</v>
      </c>
      <c r="E352" s="81">
        <f>E342</f>
        <v/>
      </c>
      <c r="F352" s="81">
        <f>F342</f>
        <v/>
      </c>
      <c r="G352" s="110" t="n">
        <v>1.3</v>
      </c>
      <c r="H352" s="110" t="n">
        <v>1</v>
      </c>
      <c r="I352" s="110" t="n">
        <v>1</v>
      </c>
      <c r="L352" s="110" t="n">
        <v>1</v>
      </c>
      <c r="M352" s="81" t="inlineStr">
        <is>
          <t>Guard Raptors</t>
        </is>
      </c>
      <c r="CI352" s="81" t="inlineStr">
        <is>
          <t>B</t>
        </is>
      </c>
      <c r="CJ352" s="81" t="inlineStr">
        <is>
          <t>A raptor guards each tower</t>
        </is>
      </c>
      <c r="EC352" s="81" t="inlineStr">
        <is>
          <t>Yes</t>
        </is>
      </c>
    </row>
    <row r="353">
      <c r="A353" s="81" t="inlineStr">
        <is>
          <t>Raptor Pen</t>
        </is>
      </c>
      <c r="B353" s="81" t="inlineStr">
        <is>
          <t>Trainer</t>
        </is>
      </c>
      <c r="C353" s="81" t="inlineStr">
        <is>
          <t>support</t>
        </is>
      </c>
      <c r="D353" s="81" t="n">
        <v>4</v>
      </c>
      <c r="E353" s="81">
        <f>E342</f>
        <v/>
      </c>
      <c r="F353" s="81">
        <f>F342</f>
        <v/>
      </c>
      <c r="G353" s="110" t="n">
        <v>1.3</v>
      </c>
      <c r="H353" s="110" t="n">
        <v>1</v>
      </c>
      <c r="I353" s="110" t="n">
        <v>1</v>
      </c>
      <c r="L353" s="110" t="n">
        <v>1</v>
      </c>
      <c r="M353" s="81" t="inlineStr">
        <is>
          <t>Whistle Drill</t>
        </is>
      </c>
      <c r="BY353" s="81" t="n">
        <v>20</v>
      </c>
      <c r="CI353" s="81" t="inlineStr">
        <is>
          <t>C</t>
        </is>
      </c>
      <c r="CJ353" s="81" t="inlineStr">
        <is>
          <t>Raptors run 30% faster</t>
        </is>
      </c>
      <c r="DP353" s="81" t="n">
        <v>1.3</v>
      </c>
    </row>
    <row r="354">
      <c r="A354" s="81" t="inlineStr">
        <is>
          <t>Raptor Pen</t>
        </is>
      </c>
      <c r="B354" s="81" t="inlineStr">
        <is>
          <t>Trainer</t>
        </is>
      </c>
      <c r="C354" s="81" t="inlineStr">
        <is>
          <t>support</t>
        </is>
      </c>
      <c r="D354" s="81" t="n">
        <v>5</v>
      </c>
      <c r="E354" s="81">
        <f>E343</f>
        <v/>
      </c>
      <c r="F354" s="81">
        <f>F343</f>
        <v/>
      </c>
      <c r="G354" s="110" t="n">
        <v>1.1</v>
      </c>
      <c r="H354" s="110" t="n">
        <v>1</v>
      </c>
      <c r="I354" s="110" t="n">
        <v>1</v>
      </c>
      <c r="L354" s="110" t="n">
        <v>1</v>
      </c>
      <c r="M354" s="81" t="inlineStr">
        <is>
          <t>Pack Bond</t>
        </is>
      </c>
      <c r="CI354" s="81" t="inlineStr">
        <is>
          <t>B</t>
        </is>
      </c>
      <c r="CJ354" s="81" t="inlineStr">
        <is>
          <t>Hunters nearby +20% with 3+ raptors out</t>
        </is>
      </c>
      <c r="DN354" s="81" t="n">
        <v>3</v>
      </c>
      <c r="EG354" s="81" t="n">
        <v>20</v>
      </c>
    </row>
    <row r="355">
      <c r="A355" s="81" t="inlineStr">
        <is>
          <t>Raptor Pen</t>
        </is>
      </c>
      <c r="B355" s="81" t="inlineStr">
        <is>
          <t>Trainer</t>
        </is>
      </c>
      <c r="C355" s="81" t="inlineStr">
        <is>
          <t>support</t>
        </is>
      </c>
      <c r="D355" s="81" t="n">
        <v>5</v>
      </c>
      <c r="E355" s="81">
        <f>E343</f>
        <v/>
      </c>
      <c r="F355" s="81">
        <f>F343</f>
        <v/>
      </c>
      <c r="G355" s="110" t="n">
        <v>1.5</v>
      </c>
      <c r="H355" s="110" t="n">
        <v>1</v>
      </c>
      <c r="I355" s="110" t="n">
        <v>1</v>
      </c>
      <c r="L355" s="110" t="n">
        <v>1</v>
      </c>
      <c r="M355" s="81" t="inlineStr">
        <is>
          <t>Raider Hounds</t>
        </is>
      </c>
      <c r="BJ355" s="81" t="n">
        <v>2</v>
      </c>
      <c r="CI355" s="81" t="inlineStr">
        <is>
          <t>C</t>
        </is>
      </c>
      <c r="CJ355" s="81" t="inlineStr">
        <is>
          <t>Raptors chase raiders (or the dino that hurt a tower)</t>
        </is>
      </c>
      <c r="CK355" s="81" t="inlineStr">
        <is>
          <t>yes</t>
        </is>
      </c>
      <c r="CL355" s="81" t="n">
        <v>20</v>
      </c>
      <c r="CM355" s="81" t="n">
        <v>1</v>
      </c>
      <c r="CN355" s="81" t="n">
        <v>10</v>
      </c>
      <c r="EF355" s="81" t="n">
        <v>2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12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  <col width="13" customWidth="1" style="90" min="53" max="53"/>
    <col width="13" customWidth="1" style="90" min="56" max="56"/>
    <col width="13" customWidth="1" style="90" min="57" max="57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  <c r="BD4" s="104" t="inlineStr">
        <is>
          <t>Heal regen HP/s</t>
        </is>
      </c>
      <c r="BE4" s="104" t="inlineStr">
        <is>
          <t>Heal regen (s)</t>
        </is>
      </c>
      <c r="BF4" s="81" t="inlineStr">
        <is>
          <t>One round per trigger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  <row r="89">
      <c r="A89" s="43" t="inlineStr">
        <is>
          <t>Big Game Hunter</t>
        </is>
      </c>
      <c r="B89" s="43" t="inlineStr">
        <is>
          <t>Stalker</t>
        </is>
      </c>
      <c r="C89" s="43" t="inlineStr">
        <is>
          <t>control</t>
        </is>
      </c>
      <c r="D89" s="43" t="n">
        <v>4</v>
      </c>
      <c r="E89" s="43" t="inlineStr">
        <is>
          <t>Snap Bursts</t>
        </is>
      </c>
      <c r="F89" s="56">
        <f>F23</f>
        <v/>
      </c>
      <c r="G89" s="57" t="n">
        <v>1.2</v>
      </c>
      <c r="H89" s="57" t="n"/>
      <c r="I89" s="57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BB89" s="81" t="inlineStr">
        <is>
          <t>B</t>
        </is>
      </c>
      <c r="BC89" s="81" t="inlineStr">
        <is>
          <t>Bursts come 20% faster</t>
        </is>
      </c>
    </row>
    <row r="90">
      <c r="A90" s="43" t="inlineStr">
        <is>
          <t>Big Game Hunter</t>
        </is>
      </c>
      <c r="B90" s="43" t="inlineStr">
        <is>
          <t>Stalker</t>
        </is>
      </c>
      <c r="C90" s="43" t="inlineStr">
        <is>
          <t>control</t>
        </is>
      </c>
      <c r="D90" s="43" t="n">
        <v>4</v>
      </c>
      <c r="E90" s="43" t="inlineStr">
        <is>
          <t>Quick Mag</t>
        </is>
      </c>
      <c r="F90" s="56">
        <f>F23</f>
        <v/>
      </c>
      <c r="G90" s="57" t="n"/>
      <c r="H90" s="57" t="n"/>
      <c r="I90" s="57" t="n">
        <v>0.75</v>
      </c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BB90" s="81" t="inlineStr">
        <is>
          <t>C</t>
        </is>
      </c>
      <c r="BC90" s="81" t="inlineStr">
        <is>
          <t>Reload 25% faster</t>
        </is>
      </c>
    </row>
    <row r="91">
      <c r="A91" s="43" t="inlineStr">
        <is>
          <t>Big Game Hunter</t>
        </is>
      </c>
      <c r="B91" s="43" t="inlineStr">
        <is>
          <t>Stalker</t>
        </is>
      </c>
      <c r="C91" s="43" t="inlineStr">
        <is>
          <t>control</t>
        </is>
      </c>
      <c r="D91" s="43" t="n">
        <v>5</v>
      </c>
      <c r="E91" s="43" t="inlineStr">
        <is>
          <t>Marking Burst</t>
        </is>
      </c>
      <c r="F91" s="56">
        <f>F24</f>
        <v/>
      </c>
      <c r="G91" s="57" t="n">
        <v>1.1</v>
      </c>
      <c r="H91" s="57" t="n">
        <v>1.3</v>
      </c>
      <c r="I91" s="57" t="n"/>
      <c r="J91" s="57" t="n"/>
      <c r="K91" s="57" t="n"/>
      <c r="L91" s="57" t="n"/>
      <c r="M91" s="57" t="n"/>
      <c r="N91" s="57" t="n"/>
      <c r="O91" s="57" t="n">
        <v>4</v>
      </c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>
        <v>25</v>
      </c>
      <c r="AB91" s="57" t="n"/>
      <c r="AC91" s="57" t="n"/>
      <c r="AD91" s="57" t="n"/>
      <c r="AE91" s="57" t="n"/>
      <c r="AF91" s="57" t="n"/>
      <c r="AG91" s="57" t="n"/>
      <c r="AH91" s="57" t="n"/>
      <c r="AI91" s="57" t="n"/>
      <c r="BB91" s="81" t="inlineStr">
        <is>
          <t>B</t>
        </is>
      </c>
      <c r="BC91" s="81" t="inlineStr">
        <is>
          <t>4-round bursts that mark: +25% from everything</t>
        </is>
      </c>
    </row>
    <row r="92">
      <c r="A92" s="43" t="inlineStr">
        <is>
          <t>Big Game Hunter</t>
        </is>
      </c>
      <c r="B92" s="43" t="inlineStr">
        <is>
          <t>Stalker</t>
        </is>
      </c>
      <c r="C92" s="43" t="inlineStr">
        <is>
          <t>control</t>
        </is>
      </c>
      <c r="D92" s="43" t="n">
        <v>5</v>
      </c>
      <c r="E92" s="43" t="inlineStr">
        <is>
          <t>Rapid Volley</t>
        </is>
      </c>
      <c r="F92" s="56">
        <f>F24</f>
        <v/>
      </c>
      <c r="G92" s="57" t="n">
        <v>1.35</v>
      </c>
      <c r="H92" s="57" t="n">
        <v>1.5</v>
      </c>
      <c r="I92" s="57" t="n"/>
      <c r="J92" s="57" t="n"/>
      <c r="K92" s="57" t="n">
        <v>0.5</v>
      </c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BB92" s="81" t="inlineStr">
        <is>
          <t>C</t>
        </is>
      </c>
      <c r="BC92" s="81" t="inlineStr">
        <is>
          <t>Bursts 35% faster, half the kick, bigger mag</t>
        </is>
      </c>
    </row>
    <row r="93">
      <c r="A93" s="43" t="inlineStr">
        <is>
          <t>Big Game Hunter</t>
        </is>
      </c>
      <c r="B93" s="43" t="inlineStr">
        <is>
          <t>Heavy</t>
        </is>
      </c>
      <c r="C93" s="43" t="inlineStr">
        <is>
          <t>sustain</t>
        </is>
      </c>
      <c r="D93" s="43" t="n">
        <v>4</v>
      </c>
      <c r="E93" s="43" t="inlineStr">
        <is>
          <t>Steady Sling</t>
        </is>
      </c>
      <c r="F93" s="56">
        <f>F28</f>
        <v/>
      </c>
      <c r="G93" s="57" t="n"/>
      <c r="H93" s="57" t="n"/>
      <c r="I93" s="57" t="n"/>
      <c r="J93" s="57" t="n"/>
      <c r="K93" s="57" t="n">
        <v>0.65</v>
      </c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BB93" s="81" t="inlineStr">
        <is>
          <t>B</t>
        </is>
      </c>
      <c r="BC93" s="81" t="inlineStr">
        <is>
          <t>35% less kick, moving or not</t>
        </is>
      </c>
    </row>
    <row r="94">
      <c r="A94" s="43" t="inlineStr">
        <is>
          <t>Big Game Hunter</t>
        </is>
      </c>
      <c r="B94" s="43" t="inlineStr">
        <is>
          <t>Heavy</t>
        </is>
      </c>
      <c r="C94" s="43" t="inlineStr">
        <is>
          <t>sustain</t>
        </is>
      </c>
      <c r="D94" s="43" t="n">
        <v>4</v>
      </c>
      <c r="E94" s="43" t="inlineStr">
        <is>
          <t>Quick Belt</t>
        </is>
      </c>
      <c r="F94" s="56">
        <f>F28</f>
        <v/>
      </c>
      <c r="G94" s="57" t="n"/>
      <c r="H94" s="57" t="n"/>
      <c r="I94" s="57" t="n">
        <v>0.7</v>
      </c>
      <c r="J94" s="57" t="n"/>
      <c r="K94" s="57" t="n">
        <v>0.8</v>
      </c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BB94" s="81" t="inlineStr">
        <is>
          <t>C</t>
        </is>
      </c>
      <c r="BC94" s="81" t="inlineStr">
        <is>
          <t>Belt changes 30% faster; 20% less kick</t>
        </is>
      </c>
    </row>
    <row r="95">
      <c r="A95" s="43" t="inlineStr">
        <is>
          <t>Big Game Hunter</t>
        </is>
      </c>
      <c r="B95" s="43" t="inlineStr">
        <is>
          <t>Heavy</t>
        </is>
      </c>
      <c r="C95" s="43" t="inlineStr">
        <is>
          <t>sustain</t>
        </is>
      </c>
      <c r="D95" s="43" t="n">
        <v>5</v>
      </c>
      <c r="E95" s="43" t="inlineStr">
        <is>
          <t>Hot Barrel</t>
        </is>
      </c>
      <c r="F95" s="56">
        <f>F29</f>
        <v/>
      </c>
      <c r="G95" s="57" t="n">
        <v>1.5</v>
      </c>
      <c r="H95" s="57" t="n">
        <v>1.3</v>
      </c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>
        <v>1.6</v>
      </c>
      <c r="AG95" s="57" t="n"/>
      <c r="AH95" s="57" t="n"/>
      <c r="AI95" s="57" t="n"/>
      <c r="BB95" s="81" t="inlineStr">
        <is>
          <t>B</t>
        </is>
      </c>
      <c r="BC95" s="81" t="inlineStr">
        <is>
          <t>50% faster at once, spins up to +60% more</t>
        </is>
      </c>
    </row>
    <row r="96">
      <c r="A96" s="43" t="inlineStr">
        <is>
          <t>Big Game Hunter</t>
        </is>
      </c>
      <c r="B96" s="43" t="inlineStr">
        <is>
          <t>Heavy</t>
        </is>
      </c>
      <c r="C96" s="43" t="inlineStr">
        <is>
          <t>sustain</t>
        </is>
      </c>
      <c r="D96" s="43" t="n">
        <v>5</v>
      </c>
      <c r="E96" s="43" t="inlineStr">
        <is>
          <t>War Drum</t>
        </is>
      </c>
      <c r="F96" s="56">
        <f>F29</f>
        <v/>
      </c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>
        <v>0.5</v>
      </c>
      <c r="AD96" s="57" t="n"/>
      <c r="AE96" s="57" t="n"/>
      <c r="AF96" s="57" t="n">
        <v>2.3</v>
      </c>
      <c r="AG96" s="57" t="n"/>
      <c r="AH96" s="57" t="n"/>
      <c r="AI96" s="57" t="n"/>
      <c r="BB96" s="81" t="inlineStr">
        <is>
          <t>C</t>
        </is>
      </c>
      <c r="BC96" s="81" t="inlineStr">
        <is>
          <t>Rally Cry twice as often; spins up to +130%</t>
        </is>
      </c>
    </row>
    <row r="97">
      <c r="A97" s="43" t="inlineStr">
        <is>
          <t>Big Game Hunter</t>
        </is>
      </c>
      <c r="B97" s="43" t="inlineStr">
        <is>
          <t>Special Ammo</t>
        </is>
      </c>
      <c r="C97" s="43" t="inlineStr">
        <is>
          <t>rounds</t>
        </is>
      </c>
      <c r="D97" s="43" t="n">
        <v>4</v>
      </c>
      <c r="E97" s="43" t="inlineStr">
        <is>
          <t>Phosphor Rounds</t>
        </is>
      </c>
      <c r="F97" s="56">
        <f>F33</f>
        <v/>
      </c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>
        <v>1.1</v>
      </c>
      <c r="X97" s="57" t="n">
        <v>3</v>
      </c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BB97" s="81" t="inlineStr">
        <is>
          <t>B</t>
        </is>
      </c>
      <c r="BC97" s="81" t="inlineStr">
        <is>
          <t>Fires burn 10% hotter and 50% longer</t>
        </is>
      </c>
    </row>
    <row r="98">
      <c r="A98" s="43" t="inlineStr">
        <is>
          <t>Big Game Hunter</t>
        </is>
      </c>
      <c r="B98" s="43" t="inlineStr">
        <is>
          <t>Special Ammo</t>
        </is>
      </c>
      <c r="C98" s="43" t="inlineStr">
        <is>
          <t>rounds</t>
        </is>
      </c>
      <c r="D98" s="43" t="n">
        <v>4</v>
      </c>
      <c r="E98" s="43" t="inlineStr">
        <is>
          <t>Bright Tracers</t>
        </is>
      </c>
      <c r="F98" s="56">
        <f>F33</f>
        <v/>
      </c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>
        <v>30</v>
      </c>
      <c r="AB98" s="57" t="n"/>
      <c r="AC98" s="57" t="n"/>
      <c r="AD98" s="57" t="n"/>
      <c r="AE98" s="57" t="n"/>
      <c r="AF98" s="57" t="n"/>
      <c r="AG98" s="57" t="n"/>
      <c r="AH98" s="57" t="n"/>
      <c r="AI98" s="57" t="n"/>
      <c r="BB98" s="81" t="inlineStr">
        <is>
          <t>C</t>
        </is>
      </c>
      <c r="BC98" s="81" t="inlineStr">
        <is>
          <t>Hits mark dinos: +30% from everything</t>
        </is>
      </c>
    </row>
    <row r="99">
      <c r="A99" s="43" t="inlineStr">
        <is>
          <t>Big Game Hunter</t>
        </is>
      </c>
      <c r="B99" s="43" t="inlineStr">
        <is>
          <t>Special Ammo</t>
        </is>
      </c>
      <c r="C99" s="43" t="inlineStr">
        <is>
          <t>rounds</t>
        </is>
      </c>
      <c r="D99" s="43" t="n">
        <v>5</v>
      </c>
      <c r="E99" s="43" t="inlineStr">
        <is>
          <t>Fire Tips</t>
        </is>
      </c>
      <c r="F99" s="56">
        <f>F34</f>
        <v/>
      </c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>
        <v>2.5</v>
      </c>
      <c r="Y99" s="57" t="n">
        <v>3</v>
      </c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BB99" s="81" t="inlineStr">
        <is>
          <t>B</t>
        </is>
      </c>
      <c r="BC99" s="81" t="inlineStr">
        <is>
          <t>Small blasts; dinos burn 25% longer</t>
        </is>
      </c>
    </row>
    <row r="100">
      <c r="A100" s="43" t="inlineStr">
        <is>
          <t>Big Game Hunter</t>
        </is>
      </c>
      <c r="B100" s="43" t="inlineStr">
        <is>
          <t>Special Ammo</t>
        </is>
      </c>
      <c r="C100" s="43" t="inlineStr">
        <is>
          <t>rounds</t>
        </is>
      </c>
      <c r="D100" s="43" t="n">
        <v>5</v>
      </c>
      <c r="E100" s="43" t="inlineStr">
        <is>
          <t>Flat Tips</t>
        </is>
      </c>
      <c r="F100" s="56">
        <f>F34</f>
        <v/>
      </c>
      <c r="G100" s="57" t="n"/>
      <c r="H100" s="57" t="n"/>
      <c r="I100" s="57" t="n"/>
      <c r="J100" s="57" t="n"/>
      <c r="K100" s="57" t="n"/>
      <c r="L100" s="57" t="n">
        <v>1.25</v>
      </c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>
        <v>3</v>
      </c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BB100" s="81" t="inlineStr">
        <is>
          <t>C</t>
        </is>
      </c>
      <c r="BC100" s="81" t="inlineStr">
        <is>
          <t>Small blasts; rounds fly 25% further</t>
        </is>
      </c>
    </row>
    <row r="101">
      <c r="A101" s="43" t="inlineStr">
        <is>
          <t>Brush Beater</t>
        </is>
      </c>
      <c r="B101" s="43" t="inlineStr">
        <is>
          <t>Slug</t>
        </is>
      </c>
      <c r="C101" s="43" t="inlineStr">
        <is>
          <t>reach</t>
        </is>
      </c>
      <c r="D101" s="43" t="n">
        <v>4</v>
      </c>
      <c r="E101" s="43" t="inlineStr">
        <is>
          <t>Quick Pump</t>
        </is>
      </c>
      <c r="F101" s="56">
        <f>F38</f>
        <v/>
      </c>
      <c r="G101" s="57" t="n">
        <v>1.25</v>
      </c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BB101" s="81" t="inlineStr">
        <is>
          <t>B</t>
        </is>
      </c>
      <c r="BC101" s="81" t="inlineStr">
        <is>
          <t>Pump 25% faster</t>
        </is>
      </c>
    </row>
    <row r="102">
      <c r="A102" s="43" t="inlineStr">
        <is>
          <t>Brush Beater</t>
        </is>
      </c>
      <c r="B102" s="43" t="inlineStr">
        <is>
          <t>Slug</t>
        </is>
      </c>
      <c r="C102" s="43" t="inlineStr">
        <is>
          <t>reach</t>
        </is>
      </c>
      <c r="D102" s="43" t="n">
        <v>4</v>
      </c>
      <c r="E102" s="43" t="inlineStr">
        <is>
          <t>Side Saddle</t>
        </is>
      </c>
      <c r="F102" s="56">
        <f>F38</f>
        <v/>
      </c>
      <c r="G102" s="57" t="n"/>
      <c r="H102" s="57" t="n">
        <v>1.5</v>
      </c>
      <c r="I102" s="57" t="n">
        <v>0.8</v>
      </c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BB102" s="81" t="inlineStr">
        <is>
          <t>C</t>
        </is>
      </c>
      <c r="BC102" s="81" t="inlineStr">
        <is>
          <t>Holds 50% more slugs, loads 20% faster</t>
        </is>
      </c>
    </row>
    <row r="103">
      <c r="A103" s="43" t="inlineStr">
        <is>
          <t>Brush Beater</t>
        </is>
      </c>
      <c r="B103" s="43" t="inlineStr">
        <is>
          <t>Slug</t>
        </is>
      </c>
      <c r="C103" s="43" t="inlineStr">
        <is>
          <t>reach</t>
        </is>
      </c>
      <c r="D103" s="43" t="n">
        <v>5</v>
      </c>
      <c r="E103" s="43" t="inlineStr">
        <is>
          <t>Express Slug</t>
        </is>
      </c>
      <c r="F103" s="56">
        <f>F39</f>
        <v/>
      </c>
      <c r="G103" s="57" t="n">
        <v>1.6</v>
      </c>
      <c r="H103" s="57" t="n">
        <v>1.5</v>
      </c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>
        <v>6</v>
      </c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BB103" s="81" t="inlineStr">
        <is>
          <t>B</t>
        </is>
      </c>
      <c r="BC103" s="81" t="inlineStr">
        <is>
          <t>Slugs through 6, 60% faster, bigger tube</t>
        </is>
      </c>
    </row>
    <row r="104">
      <c r="A104" s="43" t="inlineStr">
        <is>
          <t>Brush Beater</t>
        </is>
      </c>
      <c r="B104" s="43" t="inlineStr">
        <is>
          <t>Slug</t>
        </is>
      </c>
      <c r="C104" s="43" t="inlineStr">
        <is>
          <t>reach</t>
        </is>
      </c>
      <c r="D104" s="43" t="n">
        <v>5</v>
      </c>
      <c r="E104" s="43" t="inlineStr">
        <is>
          <t>Twin Slug</t>
        </is>
      </c>
      <c r="F104" s="56">
        <f>F39</f>
        <v/>
      </c>
      <c r="G104" s="57" t="n"/>
      <c r="H104" s="57" t="n">
        <v>1.5</v>
      </c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>
        <v>2</v>
      </c>
      <c r="S104" s="57" t="n">
        <v>4</v>
      </c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BB104" s="81" t="inlineStr">
        <is>
          <t>C</t>
        </is>
      </c>
      <c r="BC104" s="81" t="inlineStr">
        <is>
          <t>Two slugs per pump, each through 4</t>
        </is>
      </c>
      <c r="BF104" s="81" t="inlineStr">
        <is>
          <t>Yes</t>
        </is>
      </c>
    </row>
    <row r="105">
      <c r="A105" s="43" t="inlineStr">
        <is>
          <t>Brush Beater</t>
        </is>
      </c>
      <c r="B105" s="43" t="inlineStr">
        <is>
          <t>Buckshot</t>
        </is>
      </c>
      <c r="C105" s="43" t="inlineStr">
        <is>
          <t>crowds</t>
        </is>
      </c>
      <c r="D105" s="43" t="n">
        <v>4</v>
      </c>
      <c r="E105" s="43" t="inlineStr">
        <is>
          <t>Hot Shells</t>
        </is>
      </c>
      <c r="F105" s="56">
        <f>F43</f>
        <v/>
      </c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>
        <v>2.3</v>
      </c>
      <c r="X105" s="57" t="n">
        <v>3</v>
      </c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BB105" s="81" t="inlineStr">
        <is>
          <t>B</t>
        </is>
      </c>
      <c r="BC105" s="81" t="inlineStr">
        <is>
          <t>Fires burn more than twice as hot</t>
        </is>
      </c>
    </row>
    <row r="106">
      <c r="A106" s="43" t="inlineStr">
        <is>
          <t>Brush Beater</t>
        </is>
      </c>
      <c r="B106" s="43" t="inlineStr">
        <is>
          <t>Buckshot</t>
        </is>
      </c>
      <c r="C106" s="43" t="inlineStr">
        <is>
          <t>crowds</t>
        </is>
      </c>
      <c r="D106" s="43" t="n">
        <v>4</v>
      </c>
      <c r="E106" s="43" t="inlineStr">
        <is>
          <t>Shell Belt</t>
        </is>
      </c>
      <c r="F106" s="56">
        <f>F43</f>
        <v/>
      </c>
      <c r="G106" s="57" t="n">
        <v>1.5</v>
      </c>
      <c r="H106" s="57" t="n">
        <v>1.5</v>
      </c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BB106" s="81" t="inlineStr">
        <is>
          <t>C</t>
        </is>
      </c>
      <c r="BC106" s="81" t="inlineStr">
        <is>
          <t>Pump 50% faster; holds 50% more</t>
        </is>
      </c>
    </row>
    <row r="107">
      <c r="A107" s="43" t="inlineStr">
        <is>
          <t>Brush Beater</t>
        </is>
      </c>
      <c r="B107" s="43" t="inlineStr">
        <is>
          <t>Buckshot</t>
        </is>
      </c>
      <c r="C107" s="43" t="inlineStr">
        <is>
          <t>crowds</t>
        </is>
      </c>
      <c r="D107" s="43" t="n">
        <v>5</v>
      </c>
      <c r="E107" s="43" t="inlineStr">
        <is>
          <t>Flame Choke</t>
        </is>
      </c>
      <c r="F107" s="56">
        <f>F44</f>
        <v/>
      </c>
      <c r="G107" s="57" t="n">
        <v>1.2</v>
      </c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7" t="n">
        <v>0.9</v>
      </c>
      <c r="BB107" s="81" t="inlineStr">
        <is>
          <t>B</t>
        </is>
      </c>
      <c r="BC107" s="81" t="inlineStr">
        <is>
          <t>Dragon's Breath bursts for 90% of a shot</t>
        </is>
      </c>
    </row>
    <row r="108">
      <c r="A108" s="43" t="inlineStr">
        <is>
          <t>Brush Beater</t>
        </is>
      </c>
      <c r="B108" s="43" t="inlineStr">
        <is>
          <t>Buckshot</t>
        </is>
      </c>
      <c r="C108" s="43" t="inlineStr">
        <is>
          <t>crowds</t>
        </is>
      </c>
      <c r="D108" s="43" t="n">
        <v>5</v>
      </c>
      <c r="E108" s="43" t="inlineStr">
        <is>
          <t>Pump Storm</t>
        </is>
      </c>
      <c r="F108" s="56">
        <f>F44</f>
        <v/>
      </c>
      <c r="G108" s="57" t="n">
        <v>1.5</v>
      </c>
      <c r="H108" s="57" t="n">
        <v>1.5</v>
      </c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BB108" s="81" t="inlineStr">
        <is>
          <t>C</t>
        </is>
      </c>
      <c r="BC108" s="81" t="inlineStr">
        <is>
          <t>Pump 50% faster, bigger tube</t>
        </is>
      </c>
    </row>
    <row r="109">
      <c r="A109" s="43" t="inlineStr">
        <is>
          <t>Brush Beater</t>
        </is>
      </c>
      <c r="B109" s="43" t="inlineStr">
        <is>
          <t>Point Blank</t>
        </is>
      </c>
      <c r="C109" s="43" t="inlineStr">
        <is>
          <t>burst</t>
        </is>
      </c>
      <c r="D109" s="43" t="n">
        <v>4</v>
      </c>
      <c r="E109" s="43" t="inlineStr">
        <is>
          <t>Quick Breech</t>
        </is>
      </c>
      <c r="F109" s="56">
        <f>F48</f>
        <v/>
      </c>
      <c r="G109" s="57" t="n">
        <v>1.2</v>
      </c>
      <c r="H109" s="57" t="n"/>
      <c r="I109" s="57" t="n">
        <v>0.65</v>
      </c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BB109" s="81" t="inlineStr">
        <is>
          <t>B</t>
        </is>
      </c>
      <c r="BC109" s="81" t="inlineStr">
        <is>
          <t>Reload 35% faster, fire 20% faster</t>
        </is>
      </c>
    </row>
    <row r="110">
      <c r="A110" s="43" t="inlineStr">
        <is>
          <t>Brush Beater</t>
        </is>
      </c>
      <c r="B110" s="43" t="inlineStr">
        <is>
          <t>Point Blank</t>
        </is>
      </c>
      <c r="C110" s="43" t="inlineStr">
        <is>
          <t>burst</t>
        </is>
      </c>
      <c r="D110" s="43" t="n">
        <v>4</v>
      </c>
      <c r="E110" s="43" t="inlineStr">
        <is>
          <t>Bird Shot</t>
        </is>
      </c>
      <c r="F110" s="56">
        <f>F48</f>
        <v/>
      </c>
      <c r="G110" s="57" t="n">
        <v>1.15</v>
      </c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inlineStr">
        <is>
          <t>Yes</t>
        </is>
      </c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BB110" s="81" t="inlineStr">
        <is>
          <t>C</t>
        </is>
      </c>
      <c r="BC110" s="81" t="inlineStr">
        <is>
          <t>Blasts hit flying dinos; fire 15% faster</t>
        </is>
      </c>
    </row>
    <row r="111">
      <c r="A111" s="43" t="inlineStr">
        <is>
          <t>Brush Beater</t>
        </is>
      </c>
      <c r="B111" s="43" t="inlineStr">
        <is>
          <t>Point Blank</t>
        </is>
      </c>
      <c r="C111" s="43" t="inlineStr">
        <is>
          <t>burst</t>
        </is>
      </c>
      <c r="D111" s="43" t="n">
        <v>5</v>
      </c>
      <c r="E111" s="43" t="inlineStr">
        <is>
          <t>Breech Loader</t>
        </is>
      </c>
      <c r="F111" s="56">
        <f>F49</f>
        <v/>
      </c>
      <c r="G111" s="57" t="n">
        <v>1.45</v>
      </c>
      <c r="H111" s="57" t="n">
        <v>1.5</v>
      </c>
      <c r="I111" s="57" t="n">
        <v>0.6</v>
      </c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7" t="n"/>
      <c r="BB111" s="81" t="inlineStr">
        <is>
          <t>B</t>
        </is>
      </c>
      <c r="BC111" s="81" t="inlineStr">
        <is>
          <t>45% faster, bigger tube, quick reload</t>
        </is>
      </c>
    </row>
    <row r="112">
      <c r="A112" s="43" t="inlineStr">
        <is>
          <t>Brush Beater</t>
        </is>
      </c>
      <c r="B112" s="43" t="inlineStr">
        <is>
          <t>Point Blank</t>
        </is>
      </c>
      <c r="C112" s="43" t="inlineStr">
        <is>
          <t>burst</t>
        </is>
      </c>
      <c r="D112" s="43" t="n">
        <v>5</v>
      </c>
      <c r="E112" s="43" t="inlineStr">
        <is>
          <t>Slam Fire</t>
        </is>
      </c>
      <c r="F112" s="56">
        <f>F49</f>
        <v/>
      </c>
      <c r="G112" s="57" t="n">
        <v>1.7</v>
      </c>
      <c r="H112" s="57" t="n"/>
      <c r="I112" s="57" t="n"/>
      <c r="J112" s="57" t="n"/>
      <c r="K112" s="57" t="n"/>
      <c r="L112" s="57" t="n"/>
      <c r="M112" s="57" t="n"/>
      <c r="N112" s="57" t="inlineStr">
        <is>
          <t>auto</t>
        </is>
      </c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7" t="n"/>
      <c r="BB112" s="81" t="inlineStr">
        <is>
          <t>C</t>
        </is>
      </c>
      <c r="BC112" s="81" t="inlineStr">
        <is>
          <t>Hold to keep both barrels firing, 70% faster</t>
        </is>
      </c>
    </row>
    <row r="113">
      <c r="A113" s="43" t="inlineStr">
        <is>
          <t>Field Medic</t>
        </is>
      </c>
      <c r="B113" s="43" t="inlineStr">
        <is>
          <t>Triage</t>
        </is>
      </c>
      <c r="C113" s="43" t="inlineStr">
        <is>
          <t>ability</t>
        </is>
      </c>
      <c r="D113" s="43" t="n">
        <v>4</v>
      </c>
      <c r="E113" s="43" t="inlineStr">
        <is>
          <t>Thick Gauze</t>
        </is>
      </c>
      <c r="F113" s="56">
        <f>F53</f>
        <v/>
      </c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  <c r="AG113" s="57" t="n"/>
      <c r="AH113" s="57" t="n"/>
      <c r="AI113" s="57" t="n"/>
      <c r="AJ113" s="81" t="n">
        <v>1.55</v>
      </c>
      <c r="AK113" s="81" t="n"/>
      <c r="AL113" s="81" t="n"/>
      <c r="BB113" s="81" t="inlineStr">
        <is>
          <t>B</t>
        </is>
      </c>
      <c r="BC113" s="81" t="inlineStr">
        <is>
          <t>Triage Kit heals 55% more</t>
        </is>
      </c>
    </row>
    <row r="114">
      <c r="A114" s="43" t="inlineStr">
        <is>
          <t>Field Medic</t>
        </is>
      </c>
      <c r="B114" s="43" t="inlineStr">
        <is>
          <t>Triage</t>
        </is>
      </c>
      <c r="C114" s="43" t="inlineStr">
        <is>
          <t>ability</t>
        </is>
      </c>
      <c r="D114" s="43" t="n">
        <v>4</v>
      </c>
      <c r="E114" s="43" t="inlineStr">
        <is>
          <t>Quick Kit</t>
        </is>
      </c>
      <c r="F114" s="56">
        <f>F53</f>
        <v/>
      </c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  <c r="Z114" s="57" t="n"/>
      <c r="AA114" s="57" t="n"/>
      <c r="AB114" s="57" t="n"/>
      <c r="AC114" s="57" t="n">
        <v>0.67</v>
      </c>
      <c r="AD114" s="57" t="n"/>
      <c r="AE114" s="57" t="n"/>
      <c r="AF114" s="57" t="n"/>
      <c r="AG114" s="57" t="n"/>
      <c r="AH114" s="57" t="n"/>
      <c r="AI114" s="57" t="n"/>
      <c r="AJ114" s="81" t="n"/>
      <c r="AK114" s="81" t="n"/>
      <c r="AL114" s="81" t="n"/>
      <c r="BB114" s="81" t="inlineStr">
        <is>
          <t>C</t>
        </is>
      </c>
      <c r="BC114" s="81" t="inlineStr">
        <is>
          <t>Triage Kit is ready a third sooner</t>
        </is>
      </c>
    </row>
    <row r="115">
      <c r="A115" s="43" t="inlineStr">
        <is>
          <t>Field Medic</t>
        </is>
      </c>
      <c r="B115" s="43" t="inlineStr">
        <is>
          <t>Triage</t>
        </is>
      </c>
      <c r="C115" s="43" t="inlineStr">
        <is>
          <t>ability</t>
        </is>
      </c>
      <c r="D115" s="43" t="n">
        <v>5</v>
      </c>
      <c r="E115" s="43" t="inlineStr">
        <is>
          <t>Mending Salve</t>
        </is>
      </c>
      <c r="F115" s="56">
        <f>F54</f>
        <v/>
      </c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  <c r="AG115" s="57" t="n"/>
      <c r="AH115" s="57" t="n"/>
      <c r="AI115" s="57" t="n"/>
      <c r="AJ115" s="81" t="n"/>
      <c r="AK115" s="81" t="n"/>
      <c r="AL115" s="81" t="n"/>
      <c r="AM115" s="81" t="n"/>
      <c r="AN115" s="81" t="n"/>
      <c r="BB115" s="81" t="inlineStr">
        <is>
          <t>B</t>
        </is>
      </c>
      <c r="BC115" s="81" t="inlineStr">
        <is>
          <t>Everything healed regains 2 HP/s for 8 s</t>
        </is>
      </c>
      <c r="BD115" s="81" t="n">
        <v>2</v>
      </c>
      <c r="BE115" s="81" t="n">
        <v>8</v>
      </c>
    </row>
    <row r="116">
      <c r="A116" s="43" t="inlineStr">
        <is>
          <t>Field Medic</t>
        </is>
      </c>
      <c r="B116" s="43" t="inlineStr">
        <is>
          <t>Triage</t>
        </is>
      </c>
      <c r="C116" s="43" t="inlineStr">
        <is>
          <t>ability</t>
        </is>
      </c>
      <c r="D116" s="43" t="n">
        <v>5</v>
      </c>
      <c r="E116" s="43" t="inlineStr">
        <is>
          <t>Field Surgeon</t>
        </is>
      </c>
      <c r="F116" s="56">
        <f>F54</f>
        <v/>
      </c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  <c r="Z116" s="57" t="n"/>
      <c r="AA116" s="57" t="n"/>
      <c r="AB116" s="57" t="n"/>
      <c r="AC116" s="57" t="n">
        <v>0.78</v>
      </c>
      <c r="AD116" s="57" t="n"/>
      <c r="AE116" s="57" t="n"/>
      <c r="AF116" s="57" t="n"/>
      <c r="AG116" s="57" t="n"/>
      <c r="AH116" s="57" t="n"/>
      <c r="AI116" s="57" t="n"/>
      <c r="AJ116" s="81" t="n"/>
      <c r="AK116" s="81" t="n"/>
      <c r="AL116" s="81" t="n"/>
      <c r="AM116" s="81" t="n"/>
      <c r="AN116" s="81" t="n"/>
      <c r="BB116" s="81" t="inlineStr">
        <is>
          <t>C</t>
        </is>
      </c>
      <c r="BC116" s="81" t="inlineStr">
        <is>
          <t>Triage Kit is ready 22% sooner</t>
        </is>
      </c>
    </row>
    <row r="117">
      <c r="A117" s="43" t="inlineStr">
        <is>
          <t>Field Medic</t>
        </is>
      </c>
      <c r="B117" s="43" t="inlineStr">
        <is>
          <t>Lever Action</t>
        </is>
      </c>
      <c r="C117" s="43" t="inlineStr">
        <is>
          <t>handling</t>
        </is>
      </c>
      <c r="D117" s="43" t="n">
        <v>4</v>
      </c>
      <c r="E117" s="43" t="inlineStr">
        <is>
          <t>Long Tube</t>
        </is>
      </c>
      <c r="F117" s="56">
        <f>F58</f>
        <v/>
      </c>
      <c r="G117" s="57" t="n"/>
      <c r="H117" s="57" t="n">
        <v>1.8</v>
      </c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  <c r="AG117" s="57" t="n"/>
      <c r="AH117" s="57" t="n"/>
      <c r="AI117" s="57" t="n"/>
      <c r="BB117" s="81" t="inlineStr">
        <is>
          <t>B</t>
        </is>
      </c>
      <c r="BC117" s="81" t="inlineStr">
        <is>
          <t>Holds 80% more rounds</t>
        </is>
      </c>
    </row>
    <row r="118">
      <c r="A118" s="43" t="inlineStr">
        <is>
          <t>Field Medic</t>
        </is>
      </c>
      <c r="B118" s="43" t="inlineStr">
        <is>
          <t>Lever Action</t>
        </is>
      </c>
      <c r="C118" s="43" t="inlineStr">
        <is>
          <t>handling</t>
        </is>
      </c>
      <c r="D118" s="43" t="n">
        <v>4</v>
      </c>
      <c r="E118" s="43" t="inlineStr">
        <is>
          <t>Snap Lever</t>
        </is>
      </c>
      <c r="F118" s="56">
        <f>F58</f>
        <v/>
      </c>
      <c r="G118" s="57" t="n">
        <v>1.14</v>
      </c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  <c r="AG118" s="57" t="n"/>
      <c r="AH118" s="57" t="n"/>
      <c r="AI118" s="57" t="n"/>
      <c r="BB118" s="81" t="inlineStr">
        <is>
          <t>C</t>
        </is>
      </c>
      <c r="BC118" s="81" t="inlineStr">
        <is>
          <t>Cycles 14% faster</t>
        </is>
      </c>
    </row>
    <row r="119">
      <c r="A119" s="43" t="inlineStr">
        <is>
          <t>Field Medic</t>
        </is>
      </c>
      <c r="B119" s="43" t="inlineStr">
        <is>
          <t>Lever Action</t>
        </is>
      </c>
      <c r="C119" s="43" t="inlineStr">
        <is>
          <t>handling</t>
        </is>
      </c>
      <c r="D119" s="43" t="n">
        <v>5</v>
      </c>
      <c r="E119" s="43" t="inlineStr">
        <is>
          <t>Triple Cycle</t>
        </is>
      </c>
      <c r="F119" s="56">
        <f>F59</f>
        <v/>
      </c>
      <c r="G119" s="57" t="n">
        <v>1.33</v>
      </c>
      <c r="H119" s="57" t="n"/>
      <c r="I119" s="57" t="n"/>
      <c r="J119" s="57" t="n"/>
      <c r="K119" s="57" t="n"/>
      <c r="L119" s="57" t="n"/>
      <c r="M119" s="57" t="n"/>
      <c r="N119" s="57" t="n"/>
      <c r="O119" s="57" t="n">
        <v>3</v>
      </c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  <c r="AG119" s="57" t="n"/>
      <c r="AH119" s="57" t="n"/>
      <c r="AI119" s="57" t="n"/>
      <c r="BB119" s="81" t="inlineStr">
        <is>
          <t>B</t>
        </is>
      </c>
      <c r="BC119" s="81" t="inlineStr">
        <is>
          <t>3-round bursts, cycling 33% faster</t>
        </is>
      </c>
    </row>
    <row r="120">
      <c r="A120" s="43" t="inlineStr">
        <is>
          <t>Field Medic</t>
        </is>
      </c>
      <c r="B120" s="43" t="inlineStr">
        <is>
          <t>Lever Action</t>
        </is>
      </c>
      <c r="C120" s="43" t="inlineStr">
        <is>
          <t>handling</t>
        </is>
      </c>
      <c r="D120" s="43" t="n">
        <v>5</v>
      </c>
      <c r="E120" s="43" t="inlineStr">
        <is>
          <t>Steady Lever</t>
        </is>
      </c>
      <c r="F120" s="56">
        <f>F59</f>
        <v/>
      </c>
      <c r="G120" s="57" t="n">
        <v>1.1</v>
      </c>
      <c r="H120" s="57" t="n"/>
      <c r="I120" s="57" t="n"/>
      <c r="J120" s="57" t="n">
        <v>0.6</v>
      </c>
      <c r="K120" s="57" t="n">
        <v>0.5</v>
      </c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  <c r="AG120" s="57" t="n"/>
      <c r="AH120" s="57" t="n"/>
      <c r="AI120" s="57" t="n"/>
      <c r="BB120" s="81" t="inlineStr">
        <is>
          <t>C</t>
        </is>
      </c>
      <c r="BC120" s="81" t="inlineStr">
        <is>
          <t>10% faster, half the kick, tighter aim</t>
        </is>
      </c>
    </row>
    <row r="121">
      <c r="A121" s="43" t="inlineStr">
        <is>
          <t>Field Medic</t>
        </is>
      </c>
      <c r="B121" s="43" t="inlineStr">
        <is>
          <t>Muzzle</t>
        </is>
      </c>
      <c r="C121" s="43" t="inlineStr">
        <is>
          <t>protective rounds</t>
        </is>
      </c>
      <c r="D121" s="43" t="n">
        <v>4</v>
      </c>
      <c r="E121" s="43" t="inlineStr">
        <is>
          <t>Quick Dose</t>
        </is>
      </c>
      <c r="F121" s="56">
        <f>F63</f>
        <v/>
      </c>
      <c r="G121" s="57" t="n">
        <v>1.12</v>
      </c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  <c r="AG121" s="57" t="n"/>
      <c r="AH121" s="57" t="n"/>
      <c r="AI121" s="57" t="n"/>
      <c r="AO121" s="81" t="n"/>
      <c r="AP121" s="81" t="n"/>
      <c r="AQ121" s="81" t="n">
        <v>2.6</v>
      </c>
      <c r="BB121" s="81" t="inlineStr">
        <is>
          <t>B</t>
        </is>
      </c>
      <c r="BC121" s="81" t="inlineStr">
        <is>
          <t>Fire 12% faster; jaws locked 2.6 s</t>
        </is>
      </c>
    </row>
    <row r="122">
      <c r="A122" s="43" t="inlineStr">
        <is>
          <t>Field Medic</t>
        </is>
      </c>
      <c r="B122" s="43" t="inlineStr">
        <is>
          <t>Muzzle</t>
        </is>
      </c>
      <c r="C122" s="43" t="inlineStr">
        <is>
          <t>protective rounds</t>
        </is>
      </c>
      <c r="D122" s="43" t="n">
        <v>4</v>
      </c>
      <c r="E122" s="43" t="inlineStr">
        <is>
          <t>Strap Toss</t>
        </is>
      </c>
      <c r="F122" s="56">
        <f>F63</f>
        <v/>
      </c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  <c r="AG122" s="57" t="n"/>
      <c r="AH122" s="57" t="n"/>
      <c r="AI122" s="57" t="n"/>
      <c r="AO122" s="81" t="n">
        <v>40</v>
      </c>
      <c r="AP122" s="81" t="n"/>
      <c r="AQ122" s="81" t="n"/>
      <c r="AR122" s="81" t="n">
        <v>2</v>
      </c>
      <c r="BB122" s="81" t="inlineStr">
        <is>
          <t>C</t>
        </is>
      </c>
      <c r="BC122" s="81" t="inlineStr">
        <is>
          <t>Lock jumps 2 studs; hits slow dinos 40%</t>
        </is>
      </c>
    </row>
    <row r="123">
      <c r="A123" s="43" t="inlineStr">
        <is>
          <t>Field Medic</t>
        </is>
      </c>
      <c r="B123" s="43" t="inlineStr">
        <is>
          <t>Muzzle</t>
        </is>
      </c>
      <c r="C123" s="43" t="inlineStr">
        <is>
          <t>protective rounds</t>
        </is>
      </c>
      <c r="D123" s="43" t="n">
        <v>5</v>
      </c>
      <c r="E123" s="43" t="inlineStr">
        <is>
          <t>Heavy Lids</t>
        </is>
      </c>
      <c r="F123" s="56">
        <f>F64</f>
        <v/>
      </c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  <c r="AG123" s="57" t="n"/>
      <c r="AH123" s="57" t="n"/>
      <c r="AI123" s="57" t="n"/>
      <c r="AO123" s="81" t="n"/>
      <c r="AP123" s="81" t="n"/>
      <c r="AQ123" s="81" t="n">
        <v>4.2</v>
      </c>
      <c r="AR123" s="81" t="n"/>
      <c r="BB123" s="81" t="inlineStr">
        <is>
          <t>B</t>
        </is>
      </c>
      <c r="BC123" s="81" t="inlineStr">
        <is>
          <t>Locked jaws stay shut 4.2 s</t>
        </is>
      </c>
    </row>
    <row r="124">
      <c r="A124" s="43" t="inlineStr">
        <is>
          <t>Field Medic</t>
        </is>
      </c>
      <c r="B124" s="43" t="inlineStr">
        <is>
          <t>Muzzle</t>
        </is>
      </c>
      <c r="C124" s="43" t="inlineStr">
        <is>
          <t>protective rounds</t>
        </is>
      </c>
      <c r="D124" s="43" t="n">
        <v>5</v>
      </c>
      <c r="E124" s="43" t="inlineStr">
        <is>
          <t>Drowsy Cloud</t>
        </is>
      </c>
      <c r="F124" s="56">
        <f>F64</f>
        <v/>
      </c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  <c r="AG124" s="57" t="n"/>
      <c r="AH124" s="57" t="n"/>
      <c r="AI124" s="57" t="n"/>
      <c r="AO124" s="81" t="n">
        <v>40</v>
      </c>
      <c r="AP124" s="81" t="n">
        <v>2</v>
      </c>
      <c r="AQ124" s="81" t="n"/>
      <c r="AR124" s="81" t="n">
        <v>4</v>
      </c>
      <c r="BB124" s="81" t="inlineStr">
        <is>
          <t>C</t>
        </is>
      </c>
      <c r="BC124" s="81" t="inlineStr">
        <is>
          <t>Lock spreads 4 studs; hits slow 40% for 2 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2026-10-14T22:09:10Z</dcterms:modified>
</cp:coreProperties>
</file>