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uning" sheetId="2" state="visible" r:id="rId4"/>
    <sheet name="Towers" sheetId="3" state="visible" r:id="rId5"/>
    <sheet name="Tower Upgrades" sheetId="4" state="visible" r:id="rId6"/>
    <sheet name="Weapons" sheetId="5" state="visible" r:id="rId7"/>
    <sheet name="Mastery" sheetId="6" state="visible" r:id="rId8"/>
    <sheet name="Enemies" sheetId="7" state="visible" r:id="rId9"/>
    <sheet name="Rounds" sheetId="8" state="visible" r:id="rId10"/>
    <sheet name="Balance Check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<sst xmlns="http://schemas.openxmlformats.org/spreadsheetml/2006/main" count="583" uniqueCount="296">
  <si>
    <t xml:space="preserve">STORM SPLIT — Balance Model</t>
  </si>
  <si>
    <t xml:space="preserve">Single source of truth for every number in the game. Verse reads constants exported from here.</t>
  </si>
  <si>
    <t xml:space="preserve">HOW TO USE</t>
  </si>
  <si>
    <t xml:space="preserve">Blue cells</t>
  </si>
  <si>
    <t xml:space="preserve">Inputs and levers. These are the ONLY cells you edit. Change one and everything recalculates.</t>
  </si>
  <si>
    <t xml:space="preserve">Black cells</t>
  </si>
  <si>
    <t xml:space="preserve">Formulas. Do not overwrite — you will silently break the model.</t>
  </si>
  <si>
    <t xml:space="preserve">Green cells</t>
  </si>
  <si>
    <t xml:space="preserve">Links pulling a value from another sheet.</t>
  </si>
  <si>
    <t xml:space="preserve">Yellow fill</t>
  </si>
  <si>
    <t xml:space="preserve">Key assumptions worth arguing about before you build anything on them.</t>
  </si>
  <si>
    <t xml:space="preserve">SHEETS</t>
  </si>
  <si>
    <t xml:space="preserve">Tuning</t>
  </si>
  <si>
    <t xml:space="preserve">Master knobs. Start here. Almost every number downstream derives from this sheet.</t>
  </si>
  <si>
    <t xml:space="preserve">Towers</t>
  </si>
  <si>
    <t xml:space="preserve">The 5 base towers: purchase cost, damage, fire rate, range, whether they hit air.</t>
  </si>
  <si>
    <t xml:space="preserve">Tower Upgrades</t>
  </si>
  <si>
    <t xml:space="preserve">75 rows — 5 towers x 3 paths x 5 tiers. Costs and stat multipliers per tier.</t>
  </si>
  <si>
    <t xml:space="preserve">Weapons</t>
  </si>
  <si>
    <t xml:space="preserve">3 weapon types x 5 in-round tiers. The player's own upgrade track.</t>
  </si>
  <si>
    <t xml:space="preserve">Mastery</t>
  </si>
  <si>
    <t xml:space="preserve">20 permanent levels per weapon type, bought with Storm Cores.</t>
  </si>
  <si>
    <t xml:space="preserve">Enemies</t>
  </si>
  <si>
    <t xml:space="preserve">The splitting ladder. Effective HP is the important derived column — read its note.</t>
  </si>
  <si>
    <t xml:space="preserve">Rounds</t>
  </si>
  <si>
    <t xml:space="preserve">All 40 rounds: composition, income, required DPS.</t>
  </si>
  <si>
    <t xml:space="preserve">Balance Check</t>
  </si>
  <si>
    <t xml:space="preserve">The validator. Tells you which rounds are unwinnable. Check this after every change.</t>
  </si>
  <si>
    <t xml:space="preserve">WORKFLOW</t>
  </si>
  <si>
    <t xml:space="preserve">1</t>
  </si>
  <si>
    <t xml:space="preserve">Tune a lever on the Tuning sheet.</t>
  </si>
  <si>
    <t xml:space="preserve">2</t>
  </si>
  <si>
    <t xml:space="preserve">Open Balance Check. Any round flagged TIGHT is one the player probably cannot afford to clear.</t>
  </si>
  <si>
    <t xml:space="preserve">3</t>
  </si>
  <si>
    <t xml:space="preserve">Adjust and repeat. Do not tune individual rounds until the curve is right.</t>
  </si>
  <si>
    <t xml:space="preserve">4</t>
  </si>
  <si>
    <t xml:space="preserve">Export the settled constants into the Verse constants file. Never hardcode a number in behavior scripts.</t>
  </si>
  <si>
    <t xml:space="preserve">WARNING</t>
  </si>
  <si>
    <t xml:space="preserve">Seeded values</t>
  </si>
  <si>
    <t xml:space="preserve">Every number here is a defensible starting point, not a tested one. They came from design</t>
  </si>
  <si>
    <t xml:space="preserve">reasoning, not playtesting. Expect to change most of them once the game is playable.</t>
  </si>
  <si>
    <t xml:space="preserve">TUNING — master levers</t>
  </si>
  <si>
    <t xml:space="preserve">Every blue cell here drives the rest of the workbook. Change these, not the downstream sheets.</t>
  </si>
  <si>
    <t xml:space="preserve">Lever</t>
  </si>
  <si>
    <t xml:space="preserve">Value</t>
  </si>
  <si>
    <t xml:space="preserve">Unit</t>
  </si>
  <si>
    <t xml:space="preserve">What it controls</t>
  </si>
  <si>
    <t xml:space="preserve">ECONOMY</t>
  </si>
  <si>
    <t xml:space="preserve">Starting cash</t>
  </si>
  <si>
    <t xml:space="preserve">cash</t>
  </si>
  <si>
    <t xml:space="preserve">What players have before round 1.</t>
  </si>
  <si>
    <t xml:space="preserve">Starting lives</t>
  </si>
  <si>
    <t xml:space="preserve">lives</t>
  </si>
  <si>
    <t xml:space="preserve">Low on purpose. 40 makes a leak hurt, which is what makes Chiller worth buying.</t>
  </si>
  <si>
    <t xml:space="preserve">Cash per effective HP</t>
  </si>
  <si>
    <t xml:space="preserve">Cash per point of enemy HP destroyed, counting every split layer. Solved to make late rounds tight.</t>
  </si>
  <si>
    <t xml:space="preserve">Round bonus base</t>
  </si>
  <si>
    <t xml:space="preserve">Flat end-of-round payment.</t>
  </si>
  <si>
    <t xml:space="preserve">Round bonus per round</t>
  </si>
  <si>
    <t xml:space="preserve">Added per round number, so round 30 pays base + 30.</t>
  </si>
  <si>
    <t xml:space="preserve">TOWERS</t>
  </si>
  <si>
    <t xml:space="preserve">Tier cost growth</t>
  </si>
  <si>
    <t xml:space="preserve">x</t>
  </si>
  <si>
    <t xml:space="preserve">Each upgrade tier costs this multiple of the tower's base cost, compounding.</t>
  </si>
  <si>
    <t xml:space="preserve">Tier damage growth</t>
  </si>
  <si>
    <t xml:space="preserve">Baseline damage multiple per tier before path character is applied.</t>
  </si>
  <si>
    <t xml:space="preserve">Sell refund</t>
  </si>
  <si>
    <t xml:space="preserve">fraction</t>
  </si>
  <si>
    <t xml:space="preserve">Fraction of cash spent returned when selling a tower.</t>
  </si>
  <si>
    <t xml:space="preserve">ENEMIES</t>
  </si>
  <si>
    <t xml:space="preserve">Global HP scalar</t>
  </si>
  <si>
    <t xml:space="preserve">Multiplies every enemy's base HP. The fastest single difficulty dial.</t>
  </si>
  <si>
    <t xml:space="preserve">Round HP ramp</t>
  </si>
  <si>
    <t xml:space="preserve">Enemy HP compounds by this much per round. THIS is what makes late rounds hard, not enemy count.</t>
  </si>
  <si>
    <t xml:space="preserve">Max concurrent enemies</t>
  </si>
  <si>
    <t xml:space="preserve">count</t>
  </si>
  <si>
    <t xml:space="preserve">Hard ceiling on a round's spawn count. Set by UEFN performance, not by design. Validate in phase 1.</t>
  </si>
  <si>
    <t xml:space="preserve">Global speed scalar</t>
  </si>
  <si>
    <t xml:space="preserve">Multiplies every enemy's speed.</t>
  </si>
  <si>
    <t xml:space="preserve">PLAYER</t>
  </si>
  <si>
    <t xml:space="preserve">Weapon tier 1 cost</t>
  </si>
  <si>
    <t xml:space="preserve">Entry price of the player's own upgrade track.</t>
  </si>
  <si>
    <t xml:space="preserve">Weapon cost growth</t>
  </si>
  <si>
    <t xml:space="preserve">Compounding multiple per weapon tier.</t>
  </si>
  <si>
    <t xml:space="preserve">Weapon damage growth</t>
  </si>
  <si>
    <t xml:space="preserve">Far below tower tier damage growth (1.90x) on purpose. A maxed weapon must land near 50% of a maxed tower's DPS, never above it.</t>
  </si>
  <si>
    <t xml:space="preserve">PROGRESSION</t>
  </si>
  <si>
    <t xml:space="preserve">Core payout base</t>
  </si>
  <si>
    <t xml:space="preserve">cores</t>
  </si>
  <si>
    <t xml:space="preserve">Storm Cores awarded for finishing a match at all.</t>
  </si>
  <si>
    <t xml:space="preserve">Core payout per round</t>
  </si>
  <si>
    <t xml:space="preserve">Cores per round reached. A loss at round 27 still pays.</t>
  </si>
  <si>
    <t xml:space="preserve">Mastery cost base</t>
  </si>
  <si>
    <t xml:space="preserve">Cost of mastery level 1.</t>
  </si>
  <si>
    <t xml:space="preserve">Mastery cost growth</t>
  </si>
  <si>
    <t xml:space="preserve">Compounding cost per mastery level to 20.</t>
  </si>
  <si>
    <t xml:space="preserve">VALIDATION</t>
  </si>
  <si>
    <t xml:space="preserve">Assumed spend on towers</t>
  </si>
  <si>
    <t xml:space="preserve">Share of cumulative cash a competent player puts into tower DPS.</t>
  </si>
  <si>
    <t xml:space="preserve">Expected efficiency</t>
  </si>
  <si>
    <t xml:space="preserve">Share of theoretical DPS actually landing, after targeting and travel-time losses.</t>
  </si>
  <si>
    <t xml:space="preserve">Rounds per tier</t>
  </si>
  <si>
    <t xml:space="preserve">rounds</t>
  </si>
  <si>
    <t xml:space="preserve">How fast the reference build climbs tiers. Drives the rising cost per DPS.</t>
  </si>
  <si>
    <t xml:space="preserve">TOWERS — base stats</t>
  </si>
  <si>
    <t xml:space="preserve">Purchase cost and tier-0 stats. Upgrade scaling lives on the Tower Upgrades sheet.</t>
  </si>
  <si>
    <t xml:space="preserve">Tower</t>
  </si>
  <si>
    <t xml:space="preserve">Role</t>
  </si>
  <si>
    <t xml:space="preserve">Cost</t>
  </si>
  <si>
    <t xml:space="preserve">Damage</t>
  </si>
  <si>
    <t xml:space="preserve">Fire rate /s</t>
  </si>
  <si>
    <t xml:space="preserve">Targets hit</t>
  </si>
  <si>
    <t xml:space="preserve">Base DPS</t>
  </si>
  <si>
    <t xml:space="preserve">Range (m)</t>
  </si>
  <si>
    <t xml:space="preserve">Hits air</t>
  </si>
  <si>
    <t xml:space="preserve">Income/round</t>
  </si>
  <si>
    <t xml:space="preserve">Design note</t>
  </si>
  <si>
    <t xml:space="preserve">Scout</t>
  </si>
  <si>
    <t xml:space="preserve">Cheap single-target DPS</t>
  </si>
  <si>
    <t xml:space="preserve">Yes</t>
  </si>
  <si>
    <t xml:space="preserve">Spam early, never stop buying. The DPS baseline everything else is measured against.</t>
  </si>
  <si>
    <t xml:space="preserve">Sniper</t>
  </si>
  <si>
    <t xml:space="preserve">Global range, slow</t>
  </si>
  <si>
    <t xml:space="preserve">Range covers the whole map. Your answer to anything the ground towers cannot reach.</t>
  </si>
  <si>
    <t xml:space="preserve">Grenadier</t>
  </si>
  <si>
    <t xml:space="preserve">Area damage, ground only</t>
  </si>
  <si>
    <t xml:space="preserve">No</t>
  </si>
  <si>
    <t xml:space="preserve">Targets hit = average enemies caught per blast. Cannot hit air at all, by design.</t>
  </si>
  <si>
    <t xml:space="preserve">Chiller</t>
  </si>
  <si>
    <t xml:space="preserve">Support / crowd control</t>
  </si>
  <si>
    <t xml:space="preserve">Damage is nearly irrelevant. Its value is the slow, which multiplies every tower nearby.</t>
  </si>
  <si>
    <t xml:space="preserve">Quartermaster</t>
  </si>
  <si>
    <t xml:space="preserve">Economy, no attack</t>
  </si>
  <si>
    <t xml:space="preserve">Never shoots. Decides whether round 35 is affordable.</t>
  </si>
  <si>
    <t xml:space="preserve">Cost per DPS (Scout baseline)</t>
  </si>
  <si>
    <t xml:space="preserve">Cash needed to buy 1 DPS at tier 0. Balance Check uses this.</t>
  </si>
  <si>
    <t xml:space="preserve">TOWER UPGRADES — 5 towers x 3 paths x 5 tiers</t>
  </si>
  <si>
    <t xml:space="preserve">Multipliers are blue because they define each path's character. Costs are formulas off Tuning.</t>
  </si>
  <si>
    <t xml:space="preserve">Path</t>
  </si>
  <si>
    <t xml:space="preserve">Path focus</t>
  </si>
  <si>
    <t xml:space="preserve">Tier</t>
  </si>
  <si>
    <t xml:space="preserve">Upgrade cost</t>
  </si>
  <si>
    <t xml:space="preserve">Cumulative cost</t>
  </si>
  <si>
    <t xml:space="preserve">Damage x</t>
  </si>
  <si>
    <t xml:space="preserve">Rate x</t>
  </si>
  <si>
    <t xml:space="preserve">Targets x</t>
  </si>
  <si>
    <t xml:space="preserve">Resulting DPS</t>
  </si>
  <si>
    <t xml:space="preserve">Cost per DPS</t>
  </si>
  <si>
    <t xml:space="preserve">Range</t>
  </si>
  <si>
    <t xml:space="preserve">range</t>
  </si>
  <si>
    <t xml:space="preserve">Rate</t>
  </si>
  <si>
    <t xml:space="preserve">rate</t>
  </si>
  <si>
    <t xml:space="preserve">damage</t>
  </si>
  <si>
    <t xml:space="preserve">Pierce</t>
  </si>
  <si>
    <t xml:space="preserve">targets</t>
  </si>
  <si>
    <t xml:space="preserve">Spotter</t>
  </si>
  <si>
    <t xml:space="preserve">Siege</t>
  </si>
  <si>
    <t xml:space="preserve">Blast</t>
  </si>
  <si>
    <t xml:space="preserve">Cluster</t>
  </si>
  <si>
    <t xml:space="preserve">Concussive</t>
  </si>
  <si>
    <t xml:space="preserve">Field</t>
  </si>
  <si>
    <t xml:space="preserve">Freeze</t>
  </si>
  <si>
    <t xml:space="preserve">Brittle</t>
  </si>
  <si>
    <t xml:space="preserve">Yield</t>
  </si>
  <si>
    <t xml:space="preserve">economy</t>
  </si>
  <si>
    <t xml:space="preserve">n/a</t>
  </si>
  <si>
    <t xml:space="preserve">Airdrop</t>
  </si>
  <si>
    <t xml:space="preserve">Logistics</t>
  </si>
  <si>
    <t xml:space="preserve">PLAYER WEAPONS — in-round track</t>
  </si>
  <si>
    <t xml:space="preserve">Resets every match. Bought from the same shared cash as towers. Abilities unlock at tier 2.</t>
  </si>
  <si>
    <t xml:space="preserve">Weapon type</t>
  </si>
  <si>
    <t xml:space="preserve">Ability</t>
  </si>
  <si>
    <t xml:space="preserve">Weapon</t>
  </si>
  <si>
    <t xml:space="preserve">Cumulative</t>
  </si>
  <si>
    <t xml:space="preserve">Targets</t>
  </si>
  <si>
    <t xml:space="preserve">DPS</t>
  </si>
  <si>
    <t xml:space="preserve">Cooldown (s)</t>
  </si>
  <si>
    <t xml:space="preserve">Trade-off</t>
  </si>
  <si>
    <t xml:space="preserve">Precision</t>
  </si>
  <si>
    <t xml:space="preserve">— locked —</t>
  </si>
  <si>
    <t xml:space="preserve">Scoped pistol</t>
  </si>
  <si>
    <t xml:space="preserve">Huge single-target damage. Useless against swarms. Railgun pierces 2 in a lane.</t>
  </si>
  <si>
    <t xml:space="preserve">Mark</t>
  </si>
  <si>
    <t xml:space="preserve">Marksman rifle</t>
  </si>
  <si>
    <t xml:space="preserve">Heavy marksman</t>
  </si>
  <si>
    <t xml:space="preserve">Anti-materiel rifle</t>
  </si>
  <si>
    <t xml:space="preserve">Railgun</t>
  </si>
  <si>
    <t xml:space="preserve">Sustained</t>
  </si>
  <si>
    <t xml:space="preserve">SMG</t>
  </si>
  <si>
    <t xml:space="preserve">Shreds crowds. Stopped cold by armor.</t>
  </si>
  <si>
    <t xml:space="preserve">Overdrive</t>
  </si>
  <si>
    <t xml:space="preserve">Assault rifle</t>
  </si>
  <si>
    <t xml:space="preserve">Heavy AR</t>
  </si>
  <si>
    <t xml:space="preserve">LMG</t>
  </si>
  <si>
    <t xml:space="preserve">Minigun</t>
  </si>
  <si>
    <t xml:space="preserve">Ordnance</t>
  </si>
  <si>
    <t xml:space="preserve">Shotgun</t>
  </si>
  <si>
    <t xml:space="preserve">Best clear in the game. Cannot hit air at all.</t>
  </si>
  <si>
    <t xml:space="preserve">Airburst</t>
  </si>
  <si>
    <t xml:space="preserve">Grenade launcher</t>
  </si>
  <si>
    <t xml:space="preserve">Twin launcher</t>
  </si>
  <si>
    <t xml:space="preserve">Mortar</t>
  </si>
  <si>
    <t xml:space="preserve">Rocket launcher</t>
  </si>
  <si>
    <t xml:space="preserve">CROSSOVER RULE</t>
  </si>
  <si>
    <t xml:space="preserve">Max one path to tier 5. Second path caps at tier 2. Third stays locked. Mastery 20 raises that cap to 3 for one weapon.</t>
  </si>
  <si>
    <t xml:space="preserve">WEAPON MASTERY — permanent, per weapon type</t>
  </si>
  <si>
    <t xml:space="preserve">Bought with Storm Cores. Head starts and unlocks only — never damage multipliers.</t>
  </si>
  <si>
    <t xml:space="preserve">Level</t>
  </si>
  <si>
    <t xml:space="preserve">Core cost</t>
  </si>
  <si>
    <t xml:space="preserve">Cumulative cores</t>
  </si>
  <si>
    <t xml:space="preserve">Matches to earn</t>
  </si>
  <si>
    <t xml:space="preserve">Unlock at this level</t>
  </si>
  <si>
    <t xml:space="preserve">-5% on this weapon's in-round upgrade costs</t>
  </si>
  <si>
    <t xml:space="preserve">-10% cumulative</t>
  </si>
  <si>
    <t xml:space="preserve">-15% cumulative</t>
  </si>
  <si>
    <t xml:space="preserve">-20% cumulative (cap on cost reduction)</t>
  </si>
  <si>
    <t xml:space="preserve">Ability cooldown -15%</t>
  </si>
  <si>
    <t xml:space="preserve">Start every match at tier 1, and unlock a second ability variant chosen at match start</t>
  </si>
  <si>
    <t xml:space="preserve">Ability cooldown -30%, and the ability gains a secondary effect</t>
  </si>
  <si>
    <t xml:space="preserve">Mastery skin, and the crossover cap rises to tier 3 for this weapon only</t>
  </si>
  <si>
    <t xml:space="preserve">'Matches to earn' assumes an average run reaching round 25.</t>
  </si>
  <si>
    <t xml:space="preserve">ENEMY LADDER — the splitting chain</t>
  </si>
  <si>
    <t xml:space="preserve">Ordered bottom-up so each row's effective HP can reference its children. Do not reorder these rows.</t>
  </si>
  <si>
    <t xml:space="preserve">Key</t>
  </si>
  <si>
    <t xml:space="preserve">Enemy</t>
  </si>
  <si>
    <t xml:space="preserve">Base HP</t>
  </si>
  <si>
    <t xml:space="preserve">Scaled HP</t>
  </si>
  <si>
    <t xml:space="preserve">Speed x</t>
  </si>
  <si>
    <t xml:space="preserve">Splits into</t>
  </si>
  <si>
    <t xml:space="preserve">Split count</t>
  </si>
  <si>
    <t xml:space="preserve">Effective HP</t>
  </si>
  <si>
    <t xml:space="preserve">Cash value</t>
  </si>
  <si>
    <t xml:space="preserve">Flying</t>
  </si>
  <si>
    <t xml:space="preserve">Note</t>
  </si>
  <si>
    <t xml:space="preserve">HUSK</t>
  </si>
  <si>
    <t xml:space="preserve">Husk</t>
  </si>
  <si>
    <t xml:space="preserve">—</t>
  </si>
  <si>
    <t xml:space="preserve">Baseline. Everything else is measured in these.</t>
  </si>
  <si>
    <t xml:space="preserve">BRUTE</t>
  </si>
  <si>
    <t xml:space="preserve">Brute Husk</t>
  </si>
  <si>
    <t xml:space="preserve">SHIELD</t>
  </si>
  <si>
    <t xml:space="preserve">Shielded Husk</t>
  </si>
  <si>
    <t xml:space="preserve">ARMOR</t>
  </si>
  <si>
    <t xml:space="preserve">Armored Husk</t>
  </si>
  <si>
    <t xml:space="preserve">Immune to base Scout. Forces a damage-path purchase.</t>
  </si>
  <si>
    <t xml:space="preserve">STORM</t>
  </si>
  <si>
    <t xml:space="preserve">Storm Husk</t>
  </si>
  <si>
    <t xml:space="preserve">Fast and dense. Slow becomes mandatory here.</t>
  </si>
  <si>
    <t xml:space="preserve">LLAMA</t>
  </si>
  <si>
    <t xml:space="preserve">Drifter Llama</t>
  </si>
  <si>
    <t xml:space="preserve">Flying. Grenadier cannot touch it.</t>
  </si>
  <si>
    <t xml:space="preserve">ZEP</t>
  </si>
  <si>
    <t xml:space="preserve">Loot Zeppelin</t>
  </si>
  <si>
    <t xml:space="preserve">MOAB-class. Bursts into loot on death.</t>
  </si>
  <si>
    <t xml:space="preserve">BARGE</t>
  </si>
  <si>
    <t xml:space="preserve">Storm Barge</t>
  </si>
  <si>
    <t xml:space="preserve">Round 40 finale.</t>
  </si>
  <si>
    <t xml:space="preserve">EFFECTIVE HP</t>
  </si>
  <si>
    <t xml:space="preserve">Total damage needed to fully clear one enemy including every descendant it splits into. This is the number that matters for balance — a Storm Husk's 4 HP is irrelevant next to the 57 HP of husks it leaves behind.</t>
  </si>
  <si>
    <t xml:space="preserve">ROUND TABLE — 40 rounds</t>
  </si>
  <si>
    <t xml:space="preserve">Blue counts are the designer's call, not a formula. Everything to the right of them is derived.</t>
  </si>
  <si>
    <t xml:space="preserve">Round</t>
  </si>
  <si>
    <t xml:space="preserve">Brute</t>
  </si>
  <si>
    <t xml:space="preserve">Shield</t>
  </si>
  <si>
    <t xml:space="preserve">Armor</t>
  </si>
  <si>
    <t xml:space="preserve">Storm</t>
  </si>
  <si>
    <t xml:space="preserve">Llama</t>
  </si>
  <si>
    <t xml:space="preserve">Zeppelin</t>
  </si>
  <si>
    <t xml:space="preserve">Barge</t>
  </si>
  <si>
    <t xml:space="preserve">HP multiplier</t>
  </si>
  <si>
    <t xml:space="preserve">Spawn gap (s)</t>
  </si>
  <si>
    <t xml:space="preserve">Total EHP</t>
  </si>
  <si>
    <t xml:space="preserve">Round length (s)</t>
  </si>
  <si>
    <t xml:space="preserve">Required DPS</t>
  </si>
  <si>
    <t xml:space="preserve">Kill income</t>
  </si>
  <si>
    <t xml:space="preserve">Round bonus</t>
  </si>
  <si>
    <t xml:space="preserve">Round income</t>
  </si>
  <si>
    <t xml:space="preserve">Cumulative cash</t>
  </si>
  <si>
    <t xml:space="preserve">Shaded rows are band transitions, where a new enemy type enters and difficulty spikes. That sawtooth is intentional.</t>
  </si>
  <si>
    <t xml:space="preserve">Enemy counts plateau at 130 because UEFN, not design, sets the ceiling. Late difficulty comes from the HP multiplier instead — the same reason BTD6 late rounds are a few BADs and not two thousand bloons.</t>
  </si>
  <si>
    <t xml:space="preserve">Round length assumes spawn gap x enemy count plus 14s of walk time. Rough, but consistent across rounds, which is what matters for comparison.</t>
  </si>
  <si>
    <t xml:space="preserve">BALANCE CHECK — is each round actually winnable?</t>
  </si>
  <si>
    <t xml:space="preserve">An economy smoke test, not a difficulty simulator. Open it after every change to Tuning.</t>
  </si>
  <si>
    <t xml:space="preserve">Ref tier</t>
  </si>
  <si>
    <t xml:space="preserve">Cash needed</t>
  </si>
  <si>
    <t xml:space="preserve">Cash in towers</t>
  </si>
  <si>
    <t xml:space="preserve">Affordability</t>
  </si>
  <si>
    <t xml:space="preserve">Status</t>
  </si>
  <si>
    <t xml:space="preserve">WHAT THIS MEASURES</t>
  </si>
  <si>
    <t xml:space="preserve">Whether cash income keeps pace with the rising cost of the DPS each round demands. Cost per DPS climbs because tier cost growth (2.30x) outruns tier damage growth (1.90x) — that gap is the real difficulty engine, not enemy count.</t>
  </si>
  <si>
    <t xml:space="preserve">TIGHT — under 1.0. The player cannot comfortably afford the DPS this round needs. Correct for the last stretch; a run of these in the midgame means the curve is broken.</t>
  </si>
  <si>
    <t xml:space="preserve">OK — between 1.0 and 2.0. Where most rounds should sit.</t>
  </si>
  <si>
    <t xml:space="preserve">EASY — over 2.0. Fine for the first ten rounds while players are learning. A block of these at rounds 12-20 is why people quit.</t>
  </si>
  <si>
    <t xml:space="preserve">WHAT THIS CANNOT SEE</t>
  </si>
  <si>
    <t xml:space="preserve">Tower placement, range coverage, targeting priority, path synergy, or the Chiller's slow multiplying everything near it. It also assumes one competent player buying efficiently.</t>
  </si>
  <si>
    <t xml:space="preserve">It catches broken economies. It does not tell you whether the game is fun. Only playtesting does that.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</si>
</sst>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#,##0.0"/>
    <numFmt numFmtId="168" formatCode="#,##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40404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F2B6E"/>
        <bgColor rgb="FF404040"/>
      </patternFill>
    </fill>
    <fill>
      <patternFill patternType="solid">
        <fgColor rgb="FFF2EF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BDD"/>
      </left>
      <right style="thin">
        <color rgb="FFD0CBDD"/>
      </right>
      <top style="thin">
        <color rgb="FFD0CBDD"/>
      </top>
      <bottom style="thin">
        <color rgb="FFD0CB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EFF7"/>
      <rgbColor rgb="FFCCFFFF"/>
      <rgbColor rgb="FF660066"/>
      <rgbColor rgb="FFFF8080"/>
      <rgbColor rgb="FF0066CC"/>
      <rgbColor rgb="FFD0CB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F2B6E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/>
      <c r="B10" s="4"/>
    </row>
    <row r="11" customFormat="false" ht="15" hidden="false" customHeight="false" outlineLevel="0" collapsed="false">
      <c r="A11" s="5" t="s">
        <v>11</v>
      </c>
    </row>
    <row r="12" customFormat="false" ht="15" hidden="false" customHeight="false" outlineLevel="0" collapsed="false">
      <c r="A12" s="3" t="s">
        <v>12</v>
      </c>
      <c r="B12" s="4" t="s">
        <v>13</v>
      </c>
    </row>
    <row r="13" customFormat="false" ht="15" hidden="false" customHeight="false" outlineLevel="0" collapsed="false">
      <c r="A13" s="3" t="s">
        <v>14</v>
      </c>
      <c r="B13" s="4" t="s">
        <v>15</v>
      </c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 t="s">
        <v>24</v>
      </c>
      <c r="B18" s="4" t="s">
        <v>25</v>
      </c>
    </row>
    <row r="19" customFormat="false" ht="15" hidden="false" customHeight="false" outlineLevel="0" collapsed="false">
      <c r="A19" s="3" t="s">
        <v>26</v>
      </c>
      <c r="B19" s="4" t="s">
        <v>27</v>
      </c>
    </row>
    <row r="20" customFormat="false" ht="15" hidden="false" customHeight="false" outlineLevel="0" collapsed="false">
      <c r="A20" s="3"/>
      <c r="B20" s="4"/>
    </row>
    <row r="21" customFormat="false" ht="15" hidden="false" customHeight="false" outlineLevel="0" collapsed="false">
      <c r="A21" s="5" t="s">
        <v>28</v>
      </c>
    </row>
    <row r="22" customFormat="false" ht="15" hidden="false" customHeight="false" outlineLevel="0" collapsed="false">
      <c r="A22" s="3" t="s">
        <v>29</v>
      </c>
      <c r="B22" s="4" t="s">
        <v>30</v>
      </c>
    </row>
    <row r="23" customFormat="false" ht="15" hidden="false" customHeight="false" outlineLevel="0" collapsed="false">
      <c r="A23" s="3" t="s">
        <v>31</v>
      </c>
      <c r="B23" s="4" t="s">
        <v>32</v>
      </c>
    </row>
    <row r="24" customFormat="false" ht="15" hidden="false" customHeight="false" outlineLevel="0" collapsed="false">
      <c r="A24" s="3" t="s">
        <v>33</v>
      </c>
      <c r="B24" s="4" t="s">
        <v>34</v>
      </c>
    </row>
    <row r="25" customFormat="false" ht="15" hidden="false" customHeight="false" outlineLevel="0" collapsed="false">
      <c r="A25" s="3" t="s">
        <v>35</v>
      </c>
      <c r="B25" s="4" t="s">
        <v>36</v>
      </c>
    </row>
    <row r="26" customFormat="false" ht="15" hidden="false" customHeight="false" outlineLevel="0" collapsed="false">
      <c r="A26" s="3"/>
      <c r="B26" s="4"/>
    </row>
    <row r="27" customFormat="false" ht="15" hidden="false" customHeight="false" outlineLevel="0" collapsed="false">
      <c r="A27" s="5" t="s">
        <v>37</v>
      </c>
    </row>
    <row r="28" customFormat="false" ht="15" hidden="false" customHeight="false" outlineLevel="0" collapsed="false">
      <c r="A28" s="3" t="s">
        <v>38</v>
      </c>
      <c r="B28" s="4" t="s">
        <v>39</v>
      </c>
    </row>
    <row r="29" customFormat="false" ht="15" hidden="false" customHeight="false" outlineLevel="0" collapsed="false">
      <c r="A29" s="3"/>
      <c r="B29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4" min="4" style="0" width="74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27.75" hidden="false" customHeight="true" outlineLevel="0" collapsed="false">
      <c r="A4" s="6" t="s">
        <v>43</v>
      </c>
      <c r="B4" s="6" t="s">
        <v>44</v>
      </c>
      <c r="C4" s="6" t="s">
        <v>45</v>
      </c>
      <c r="D4" s="6" t="s">
        <v>46</v>
      </c>
    </row>
    <row r="5" customFormat="false" ht="15" hidden="false" customHeight="false" outlineLevel="0" collapsed="false">
      <c r="A5" s="7" t="s">
        <v>47</v>
      </c>
      <c r="B5" s="8"/>
      <c r="C5" s="8"/>
      <c r="D5" s="8"/>
    </row>
    <row r="6" customFormat="false" ht="15" hidden="false" customHeight="false" outlineLevel="0" collapsed="false">
      <c r="A6" s="3" t="s">
        <v>48</v>
      </c>
      <c r="B6" s="9" t="n">
        <v>650</v>
      </c>
      <c r="C6" s="10" t="s">
        <v>49</v>
      </c>
      <c r="D6" s="11" t="s">
        <v>50</v>
      </c>
    </row>
    <row r="7" customFormat="false" ht="15" hidden="false" customHeight="false" outlineLevel="0" collapsed="false">
      <c r="A7" s="3" t="s">
        <v>51</v>
      </c>
      <c r="B7" s="9" t="n">
        <v>40</v>
      </c>
      <c r="C7" s="10" t="s">
        <v>52</v>
      </c>
      <c r="D7" s="11" t="s">
        <v>53</v>
      </c>
    </row>
    <row r="8" customFormat="false" ht="15" hidden="false" customHeight="false" outlineLevel="0" collapsed="false">
      <c r="A8" s="3" t="s">
        <v>54</v>
      </c>
      <c r="B8" s="12" t="n">
        <v>0.43</v>
      </c>
      <c r="C8" s="10" t="s">
        <v>49</v>
      </c>
      <c r="D8" s="11" t="s">
        <v>55</v>
      </c>
    </row>
    <row r="9" customFormat="false" ht="15" hidden="false" customHeight="false" outlineLevel="0" collapsed="false">
      <c r="A9" s="3" t="s">
        <v>56</v>
      </c>
      <c r="B9" s="9" t="n">
        <v>60</v>
      </c>
      <c r="C9" s="10" t="s">
        <v>49</v>
      </c>
      <c r="D9" s="11" t="s">
        <v>57</v>
      </c>
    </row>
    <row r="10" customFormat="false" ht="15" hidden="false" customHeight="false" outlineLevel="0" collapsed="false">
      <c r="A10" s="3" t="s">
        <v>58</v>
      </c>
      <c r="B10" s="12" t="n">
        <v>1</v>
      </c>
      <c r="C10" s="10" t="s">
        <v>49</v>
      </c>
      <c r="D10" s="11" t="s">
        <v>59</v>
      </c>
    </row>
    <row r="11" customFormat="false" ht="15" hidden="false" customHeight="false" outlineLevel="0" collapsed="false">
      <c r="A11" s="7" t="s">
        <v>60</v>
      </c>
      <c r="B11" s="8"/>
      <c r="C11" s="8"/>
      <c r="D11" s="8"/>
    </row>
    <row r="12" customFormat="false" ht="15" hidden="false" customHeight="false" outlineLevel="0" collapsed="false">
      <c r="A12" s="3" t="s">
        <v>61</v>
      </c>
      <c r="B12" s="12" t="n">
        <v>2.3</v>
      </c>
      <c r="C12" s="10" t="s">
        <v>62</v>
      </c>
      <c r="D12" s="11" t="s">
        <v>63</v>
      </c>
    </row>
    <row r="13" customFormat="false" ht="15" hidden="false" customHeight="false" outlineLevel="0" collapsed="false">
      <c r="A13" s="3" t="s">
        <v>64</v>
      </c>
      <c r="B13" s="12" t="n">
        <v>1.9</v>
      </c>
      <c r="C13" s="10" t="s">
        <v>62</v>
      </c>
      <c r="D13" s="11" t="s">
        <v>65</v>
      </c>
    </row>
    <row r="14" customFormat="false" ht="15" hidden="false" customHeight="false" outlineLevel="0" collapsed="false">
      <c r="A14" s="3" t="s">
        <v>66</v>
      </c>
      <c r="B14" s="12" t="n">
        <v>0.7</v>
      </c>
      <c r="C14" s="10" t="s">
        <v>67</v>
      </c>
      <c r="D14" s="11" t="s">
        <v>68</v>
      </c>
    </row>
    <row r="15" customFormat="false" ht="15" hidden="false" customHeight="false" outlineLevel="0" collapsed="false">
      <c r="A15" s="7" t="s">
        <v>69</v>
      </c>
      <c r="B15" s="8"/>
      <c r="C15" s="8"/>
      <c r="D15" s="8"/>
    </row>
    <row r="16" customFormat="false" ht="15" hidden="false" customHeight="false" outlineLevel="0" collapsed="false">
      <c r="A16" s="3" t="s">
        <v>70</v>
      </c>
      <c r="B16" s="12" t="n">
        <v>1</v>
      </c>
      <c r="C16" s="10" t="s">
        <v>62</v>
      </c>
      <c r="D16" s="11" t="s">
        <v>71</v>
      </c>
    </row>
    <row r="17" customFormat="false" ht="15" hidden="false" customHeight="false" outlineLevel="0" collapsed="false">
      <c r="A17" s="3" t="s">
        <v>72</v>
      </c>
      <c r="B17" s="12" t="n">
        <v>1.052</v>
      </c>
      <c r="C17" s="10" t="s">
        <v>62</v>
      </c>
      <c r="D17" s="11" t="s">
        <v>73</v>
      </c>
    </row>
    <row r="18" customFormat="false" ht="15" hidden="false" customHeight="false" outlineLevel="0" collapsed="false">
      <c r="A18" s="3" t="s">
        <v>74</v>
      </c>
      <c r="B18" s="9" t="n">
        <v>130</v>
      </c>
      <c r="C18" s="10" t="s">
        <v>75</v>
      </c>
      <c r="D18" s="11" t="s">
        <v>76</v>
      </c>
    </row>
    <row r="19" customFormat="false" ht="15" hidden="false" customHeight="false" outlineLevel="0" collapsed="false">
      <c r="A19" s="3" t="s">
        <v>77</v>
      </c>
      <c r="B19" s="12" t="n">
        <v>1</v>
      </c>
      <c r="C19" s="10" t="s">
        <v>62</v>
      </c>
      <c r="D19" s="11" t="s">
        <v>78</v>
      </c>
    </row>
    <row r="20" customFormat="false" ht="15" hidden="false" customHeight="false" outlineLevel="0" collapsed="false">
      <c r="A20" s="7" t="s">
        <v>79</v>
      </c>
      <c r="B20" s="8"/>
      <c r="C20" s="8"/>
      <c r="D20" s="8"/>
    </row>
    <row r="21" customFormat="false" ht="15" hidden="false" customHeight="false" outlineLevel="0" collapsed="false">
      <c r="A21" s="3" t="s">
        <v>80</v>
      </c>
      <c r="B21" s="9" t="n">
        <v>300</v>
      </c>
      <c r="C21" s="10" t="s">
        <v>49</v>
      </c>
      <c r="D21" s="11" t="s">
        <v>81</v>
      </c>
    </row>
    <row r="22" customFormat="false" ht="15" hidden="false" customHeight="false" outlineLevel="0" collapsed="false">
      <c r="A22" s="3" t="s">
        <v>82</v>
      </c>
      <c r="B22" s="12" t="n">
        <v>2.35</v>
      </c>
      <c r="C22" s="10" t="s">
        <v>62</v>
      </c>
      <c r="D22" s="11" t="s">
        <v>83</v>
      </c>
    </row>
    <row r="23" customFormat="false" ht="15" hidden="false" customHeight="false" outlineLevel="0" collapsed="false">
      <c r="A23" s="3" t="s">
        <v>84</v>
      </c>
      <c r="B23" s="12" t="n">
        <v>1.35</v>
      </c>
      <c r="C23" s="10" t="s">
        <v>62</v>
      </c>
      <c r="D23" s="11" t="s">
        <v>85</v>
      </c>
    </row>
    <row r="24" customFormat="false" ht="15" hidden="false" customHeight="false" outlineLevel="0" collapsed="false">
      <c r="A24" s="7" t="s">
        <v>86</v>
      </c>
      <c r="B24" s="8"/>
      <c r="C24" s="8"/>
      <c r="D24" s="8"/>
    </row>
    <row r="25" customFormat="false" ht="15" hidden="false" customHeight="false" outlineLevel="0" collapsed="false">
      <c r="A25" s="3" t="s">
        <v>87</v>
      </c>
      <c r="B25" s="9" t="n">
        <v>5</v>
      </c>
      <c r="C25" s="10" t="s">
        <v>88</v>
      </c>
      <c r="D25" s="11" t="s">
        <v>89</v>
      </c>
    </row>
    <row r="26" customFormat="false" ht="15" hidden="false" customHeight="false" outlineLevel="0" collapsed="false">
      <c r="A26" s="3" t="s">
        <v>90</v>
      </c>
      <c r="B26" s="12" t="n">
        <v>1.5</v>
      </c>
      <c r="C26" s="10" t="s">
        <v>88</v>
      </c>
      <c r="D26" s="11" t="s">
        <v>91</v>
      </c>
    </row>
    <row r="27" customFormat="false" ht="15" hidden="false" customHeight="false" outlineLevel="0" collapsed="false">
      <c r="A27" s="3" t="s">
        <v>92</v>
      </c>
      <c r="B27" s="9" t="n">
        <v>25</v>
      </c>
      <c r="C27" s="10" t="s">
        <v>88</v>
      </c>
      <c r="D27" s="11" t="s">
        <v>93</v>
      </c>
    </row>
    <row r="28" customFormat="false" ht="15" hidden="false" customHeight="false" outlineLevel="0" collapsed="false">
      <c r="A28" s="3" t="s">
        <v>94</v>
      </c>
      <c r="B28" s="12" t="n">
        <v>1.18</v>
      </c>
      <c r="C28" s="10" t="s">
        <v>62</v>
      </c>
      <c r="D28" s="11" t="s">
        <v>95</v>
      </c>
    </row>
    <row r="29" customFormat="false" ht="15" hidden="false" customHeight="false" outlineLevel="0" collapsed="false">
      <c r="A29" s="7" t="s">
        <v>96</v>
      </c>
      <c r="B29" s="8"/>
      <c r="C29" s="8"/>
      <c r="D29" s="8"/>
    </row>
    <row r="30" customFormat="false" ht="15" hidden="false" customHeight="false" outlineLevel="0" collapsed="false">
      <c r="A30" s="3" t="s">
        <v>97</v>
      </c>
      <c r="B30" s="12" t="n">
        <v>0.75</v>
      </c>
      <c r="C30" s="10" t="s">
        <v>67</v>
      </c>
      <c r="D30" s="11" t="s">
        <v>98</v>
      </c>
    </row>
    <row r="31" customFormat="false" ht="15" hidden="false" customHeight="false" outlineLevel="0" collapsed="false">
      <c r="A31" s="3" t="s">
        <v>99</v>
      </c>
      <c r="B31" s="12" t="n">
        <v>0.6</v>
      </c>
      <c r="C31" s="10" t="s">
        <v>67</v>
      </c>
      <c r="D31" s="11" t="s">
        <v>100</v>
      </c>
    </row>
    <row r="32" customFormat="false" ht="15" hidden="false" customHeight="false" outlineLevel="0" collapsed="false">
      <c r="A32" s="3" t="s">
        <v>101</v>
      </c>
      <c r="B32" s="9" t="n">
        <v>8</v>
      </c>
      <c r="C32" s="10" t="s">
        <v>102</v>
      </c>
      <c r="D32" s="11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1" min="11" style="0" width="5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7.75" hidden="false" customHeight="true" outlineLevel="0" collapsed="false">
      <c r="A4" s="6" t="s">
        <v>106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6" t="s">
        <v>113</v>
      </c>
      <c r="I4" s="6" t="s">
        <v>114</v>
      </c>
      <c r="J4" s="6" t="s">
        <v>115</v>
      </c>
      <c r="K4" s="6" t="s">
        <v>116</v>
      </c>
    </row>
    <row r="5" customFormat="false" ht="15" hidden="false" customHeight="false" outlineLevel="0" collapsed="false">
      <c r="A5" s="13" t="s">
        <v>117</v>
      </c>
      <c r="B5" s="14" t="s">
        <v>118</v>
      </c>
      <c r="C5" s="9" t="n">
        <v>200</v>
      </c>
      <c r="D5" s="15" t="n">
        <v>1</v>
      </c>
      <c r="E5" s="12" t="n">
        <v>3</v>
      </c>
      <c r="F5" s="9" t="n">
        <v>1</v>
      </c>
      <c r="G5" s="16" t="n">
        <f aca="false">D5*E5*F5</f>
        <v>3</v>
      </c>
      <c r="H5" s="9" t="n">
        <v>20</v>
      </c>
      <c r="I5" s="17" t="s">
        <v>119</v>
      </c>
      <c r="J5" s="9" t="n">
        <v>0</v>
      </c>
      <c r="K5" s="18" t="s">
        <v>120</v>
      </c>
    </row>
    <row r="6" customFormat="false" ht="15" hidden="false" customHeight="false" outlineLevel="0" collapsed="false">
      <c r="A6" s="13" t="s">
        <v>121</v>
      </c>
      <c r="B6" s="14" t="s">
        <v>122</v>
      </c>
      <c r="C6" s="9" t="n">
        <v>350</v>
      </c>
      <c r="D6" s="15" t="n">
        <v>9</v>
      </c>
      <c r="E6" s="12" t="n">
        <v>0.45</v>
      </c>
      <c r="F6" s="9" t="n">
        <v>1</v>
      </c>
      <c r="G6" s="16" t="n">
        <f aca="false">D6*E6*F6</f>
        <v>4.05</v>
      </c>
      <c r="H6" s="9" t="n">
        <v>999</v>
      </c>
      <c r="I6" s="17" t="s">
        <v>119</v>
      </c>
      <c r="J6" s="9" t="n">
        <v>0</v>
      </c>
      <c r="K6" s="18" t="s">
        <v>123</v>
      </c>
    </row>
    <row r="7" customFormat="false" ht="15" hidden="false" customHeight="false" outlineLevel="0" collapsed="false">
      <c r="A7" s="13" t="s">
        <v>124</v>
      </c>
      <c r="B7" s="14" t="s">
        <v>125</v>
      </c>
      <c r="C7" s="9" t="n">
        <v>550</v>
      </c>
      <c r="D7" s="15" t="n">
        <v>5</v>
      </c>
      <c r="E7" s="12" t="n">
        <v>1</v>
      </c>
      <c r="F7" s="9" t="n">
        <v>3</v>
      </c>
      <c r="G7" s="16" t="n">
        <f aca="false">D7*E7*F7</f>
        <v>15</v>
      </c>
      <c r="H7" s="9" t="n">
        <v>18</v>
      </c>
      <c r="I7" s="17" t="s">
        <v>126</v>
      </c>
      <c r="J7" s="9" t="n">
        <v>0</v>
      </c>
      <c r="K7" s="18" t="s">
        <v>127</v>
      </c>
    </row>
    <row r="8" customFormat="false" ht="15" hidden="false" customHeight="false" outlineLevel="0" collapsed="false">
      <c r="A8" s="13" t="s">
        <v>128</v>
      </c>
      <c r="B8" s="14" t="s">
        <v>129</v>
      </c>
      <c r="C8" s="9" t="n">
        <v>400</v>
      </c>
      <c r="D8" s="15" t="n">
        <v>0.5</v>
      </c>
      <c r="E8" s="12" t="n">
        <v>1</v>
      </c>
      <c r="F8" s="9" t="n">
        <v>4</v>
      </c>
      <c r="G8" s="16" t="n">
        <f aca="false">D8*E8*F8</f>
        <v>2</v>
      </c>
      <c r="H8" s="9" t="n">
        <v>12</v>
      </c>
      <c r="I8" s="17" t="s">
        <v>119</v>
      </c>
      <c r="J8" s="9" t="n">
        <v>0</v>
      </c>
      <c r="K8" s="18" t="s">
        <v>130</v>
      </c>
    </row>
    <row r="9" customFormat="false" ht="15" hidden="false" customHeight="false" outlineLevel="0" collapsed="false">
      <c r="A9" s="13" t="s">
        <v>131</v>
      </c>
      <c r="B9" s="14" t="s">
        <v>132</v>
      </c>
      <c r="C9" s="9" t="n">
        <v>1000</v>
      </c>
      <c r="D9" s="15" t="n">
        <v>0</v>
      </c>
      <c r="E9" s="12" t="n">
        <v>0</v>
      </c>
      <c r="F9" s="9" t="n">
        <v>0</v>
      </c>
      <c r="G9" s="16" t="n">
        <f aca="false">D9*E9*F9</f>
        <v>0</v>
      </c>
      <c r="H9" s="9" t="n">
        <v>0</v>
      </c>
      <c r="I9" s="17" t="s">
        <v>126</v>
      </c>
      <c r="J9" s="9" t="n">
        <v>150</v>
      </c>
      <c r="K9" s="18" t="s">
        <v>133</v>
      </c>
    </row>
    <row r="11" customFormat="false" ht="15" hidden="false" customHeight="false" outlineLevel="0" collapsed="false">
      <c r="A11" s="13" t="s">
        <v>134</v>
      </c>
      <c r="C11" s="16" t="n">
        <f aca="false">C5/G5</f>
        <v>66.6666666666667</v>
      </c>
      <c r="D11" s="11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27.75" hidden="false" customHeight="true" outlineLevel="0" collapsed="false">
      <c r="A4" s="6" t="s">
        <v>106</v>
      </c>
      <c r="B4" s="6" t="s">
        <v>138</v>
      </c>
      <c r="C4" s="6" t="s">
        <v>139</v>
      </c>
      <c r="D4" s="6" t="s">
        <v>140</v>
      </c>
      <c r="E4" s="6" t="s">
        <v>141</v>
      </c>
      <c r="F4" s="6" t="s">
        <v>142</v>
      </c>
      <c r="G4" s="6" t="s">
        <v>143</v>
      </c>
      <c r="H4" s="6" t="s">
        <v>144</v>
      </c>
      <c r="I4" s="6" t="s">
        <v>145</v>
      </c>
      <c r="J4" s="6" t="s">
        <v>146</v>
      </c>
      <c r="K4" s="6" t="s">
        <v>147</v>
      </c>
    </row>
    <row r="5" customFormat="false" ht="15" hidden="false" customHeight="false" outlineLevel="0" collapsed="false">
      <c r="A5" s="14" t="s">
        <v>117</v>
      </c>
      <c r="B5" s="13" t="s">
        <v>148</v>
      </c>
      <c r="C5" s="14" t="s">
        <v>149</v>
      </c>
      <c r="D5" s="19" t="n">
        <v>1</v>
      </c>
      <c r="E5" s="19" t="n">
        <f aca="false">ROUND(Towers!$C$5*POWER(Tuning!$B$12,D5),0)</f>
        <v>460</v>
      </c>
      <c r="F5" s="19" t="n">
        <f aca="false">Towers!$C$5+E5</f>
        <v>660</v>
      </c>
      <c r="G5" s="20" t="n">
        <v>1.3</v>
      </c>
      <c r="H5" s="20" t="n">
        <v>1.15</v>
      </c>
      <c r="I5" s="20" t="n">
        <v>1</v>
      </c>
      <c r="J5" s="16" t="n">
        <f aca="false">Towers!$G$5*G5*H5*I5</f>
        <v>4.485</v>
      </c>
      <c r="K5" s="16" t="n">
        <f aca="false">IF(J5=0,0,F5/J5)</f>
        <v>147.157190635451</v>
      </c>
    </row>
    <row r="6" customFormat="false" ht="15" hidden="false" customHeight="false" outlineLevel="0" collapsed="false">
      <c r="A6" s="14" t="s">
        <v>117</v>
      </c>
      <c r="B6" s="13" t="s">
        <v>148</v>
      </c>
      <c r="C6" s="14" t="s">
        <v>149</v>
      </c>
      <c r="D6" s="19" t="n">
        <v>2</v>
      </c>
      <c r="E6" s="19" t="n">
        <f aca="false">ROUND(Towers!$C$5*POWER(Tuning!$B$12,D6),0)</f>
        <v>1058</v>
      </c>
      <c r="F6" s="19" t="n">
        <f aca="false">F5+E6</f>
        <v>1718</v>
      </c>
      <c r="G6" s="20" t="n">
        <v>1.69</v>
      </c>
      <c r="H6" s="20" t="n">
        <v>1.32</v>
      </c>
      <c r="I6" s="20" t="n">
        <v>1</v>
      </c>
      <c r="J6" s="16" t="n">
        <f aca="false">Towers!$G$5*G6*H6*I6</f>
        <v>6.6924</v>
      </c>
      <c r="K6" s="16" t="n">
        <f aca="false">IF(J6=0,0,F6/J6)</f>
        <v>256.709102862949</v>
      </c>
    </row>
    <row r="7" customFormat="false" ht="15" hidden="false" customHeight="false" outlineLevel="0" collapsed="false">
      <c r="A7" s="14" t="s">
        <v>117</v>
      </c>
      <c r="B7" s="13" t="s">
        <v>148</v>
      </c>
      <c r="C7" s="14" t="s">
        <v>149</v>
      </c>
      <c r="D7" s="19" t="n">
        <v>3</v>
      </c>
      <c r="E7" s="19" t="n">
        <f aca="false">ROUND(Towers!$C$5*POWER(Tuning!$B$12,D7),0)</f>
        <v>2433</v>
      </c>
      <c r="F7" s="19" t="n">
        <f aca="false">F6+E7</f>
        <v>4151</v>
      </c>
      <c r="G7" s="20" t="n">
        <v>2.2</v>
      </c>
      <c r="H7" s="20" t="n">
        <v>1.52</v>
      </c>
      <c r="I7" s="20" t="n">
        <v>1</v>
      </c>
      <c r="J7" s="16" t="n">
        <f aca="false">Towers!$G$5*G7*H7*I7</f>
        <v>10.032</v>
      </c>
      <c r="K7" s="16" t="n">
        <f aca="false">IF(J7=0,0,F7/J7)</f>
        <v>413.775917065391</v>
      </c>
    </row>
    <row r="8" customFormat="false" ht="15" hidden="false" customHeight="false" outlineLevel="0" collapsed="false">
      <c r="A8" s="14" t="s">
        <v>117</v>
      </c>
      <c r="B8" s="13" t="s">
        <v>148</v>
      </c>
      <c r="C8" s="14" t="s">
        <v>149</v>
      </c>
      <c r="D8" s="19" t="n">
        <v>4</v>
      </c>
      <c r="E8" s="19" t="n">
        <f aca="false">ROUND(Towers!$C$5*POWER(Tuning!$B$12,D8),0)</f>
        <v>5597</v>
      </c>
      <c r="F8" s="19" t="n">
        <f aca="false">F7+E8</f>
        <v>9748</v>
      </c>
      <c r="G8" s="20" t="n">
        <v>2.86</v>
      </c>
      <c r="H8" s="20" t="n">
        <v>1.75</v>
      </c>
      <c r="I8" s="20" t="n">
        <v>1</v>
      </c>
      <c r="J8" s="16" t="n">
        <f aca="false">Towers!$G$5*G8*H8*I8</f>
        <v>15.015</v>
      </c>
      <c r="K8" s="16" t="n">
        <f aca="false">IF(J8=0,0,F8/J8)</f>
        <v>649.217449217449</v>
      </c>
    </row>
    <row r="9" customFormat="false" ht="15" hidden="false" customHeight="false" outlineLevel="0" collapsed="false">
      <c r="A9" s="14" t="s">
        <v>117</v>
      </c>
      <c r="B9" s="13" t="s">
        <v>148</v>
      </c>
      <c r="C9" s="14" t="s">
        <v>149</v>
      </c>
      <c r="D9" s="19" t="n">
        <v>5</v>
      </c>
      <c r="E9" s="19" t="n">
        <f aca="false">ROUND(Towers!$C$5*POWER(Tuning!$B$12,D9),0)</f>
        <v>12873</v>
      </c>
      <c r="F9" s="19" t="n">
        <f aca="false">F8+E9</f>
        <v>22621</v>
      </c>
      <c r="G9" s="20" t="n">
        <v>3.71</v>
      </c>
      <c r="H9" s="20" t="n">
        <v>2.01</v>
      </c>
      <c r="I9" s="20" t="n">
        <v>1</v>
      </c>
      <c r="J9" s="16" t="n">
        <f aca="false">Towers!$G$5*G9*H9*I9</f>
        <v>22.3713</v>
      </c>
      <c r="K9" s="16" t="n">
        <f aca="false">IF(J9=0,0,F9/J9)</f>
        <v>1011.16162225709</v>
      </c>
    </row>
    <row r="10" customFormat="false" ht="15" hidden="false" customHeight="false" outlineLevel="0" collapsed="false">
      <c r="A10" s="14" t="s">
        <v>117</v>
      </c>
      <c r="B10" s="13" t="s">
        <v>150</v>
      </c>
      <c r="C10" s="14" t="s">
        <v>151</v>
      </c>
      <c r="D10" s="19" t="n">
        <v>1</v>
      </c>
      <c r="E10" s="19" t="n">
        <f aca="false">ROUND(Towers!$C$5*POWER(Tuning!$B$12,D10),0)</f>
        <v>460</v>
      </c>
      <c r="F10" s="19" t="n">
        <f aca="false">Towers!$C$5+E10</f>
        <v>660</v>
      </c>
      <c r="G10" s="20" t="n">
        <v>1.35</v>
      </c>
      <c r="H10" s="20" t="n">
        <v>1.42</v>
      </c>
      <c r="I10" s="20" t="n">
        <v>1</v>
      </c>
      <c r="J10" s="16" t="n">
        <f aca="false">Towers!$G$5*G10*H10*I10</f>
        <v>5.751</v>
      </c>
      <c r="K10" s="16" t="n">
        <f aca="false">IF(J10=0,0,F10/J10)</f>
        <v>114.762649973918</v>
      </c>
    </row>
    <row r="11" customFormat="false" ht="15" hidden="false" customHeight="false" outlineLevel="0" collapsed="false">
      <c r="A11" s="14" t="s">
        <v>117</v>
      </c>
      <c r="B11" s="13" t="s">
        <v>150</v>
      </c>
      <c r="C11" s="14" t="s">
        <v>151</v>
      </c>
      <c r="D11" s="19" t="n">
        <v>2</v>
      </c>
      <c r="E11" s="19" t="n">
        <f aca="false">ROUND(Towers!$C$5*POWER(Tuning!$B$12,D11),0)</f>
        <v>1058</v>
      </c>
      <c r="F11" s="19" t="n">
        <f aca="false">F10+E11</f>
        <v>1718</v>
      </c>
      <c r="G11" s="20" t="n">
        <v>1.82</v>
      </c>
      <c r="H11" s="20" t="n">
        <v>2.02</v>
      </c>
      <c r="I11" s="20" t="n">
        <v>1</v>
      </c>
      <c r="J11" s="16" t="n">
        <f aca="false">Towers!$G$5*G11*H11*I11</f>
        <v>11.0292</v>
      </c>
      <c r="K11" s="16" t="n">
        <f aca="false">IF(J11=0,0,F11/J11)</f>
        <v>155.768324085156</v>
      </c>
    </row>
    <row r="12" customFormat="false" ht="15" hidden="false" customHeight="false" outlineLevel="0" collapsed="false">
      <c r="A12" s="14" t="s">
        <v>117</v>
      </c>
      <c r="B12" s="13" t="s">
        <v>150</v>
      </c>
      <c r="C12" s="14" t="s">
        <v>151</v>
      </c>
      <c r="D12" s="19" t="n">
        <v>3</v>
      </c>
      <c r="E12" s="19" t="n">
        <f aca="false">ROUND(Towers!$C$5*POWER(Tuning!$B$12,D12),0)</f>
        <v>2433</v>
      </c>
      <c r="F12" s="19" t="n">
        <f aca="false">F11+E12</f>
        <v>4151</v>
      </c>
      <c r="G12" s="20" t="n">
        <v>2.46</v>
      </c>
      <c r="H12" s="20" t="n">
        <v>2.86</v>
      </c>
      <c r="I12" s="20" t="n">
        <v>1</v>
      </c>
      <c r="J12" s="16" t="n">
        <f aca="false">Towers!$G$5*G12*H12*I12</f>
        <v>21.1068</v>
      </c>
      <c r="K12" s="16" t="n">
        <f aca="false">IF(J12=0,0,F12/J12)</f>
        <v>196.666477154282</v>
      </c>
    </row>
    <row r="13" customFormat="false" ht="15" hidden="false" customHeight="false" outlineLevel="0" collapsed="false">
      <c r="A13" s="14" t="s">
        <v>117</v>
      </c>
      <c r="B13" s="13" t="s">
        <v>150</v>
      </c>
      <c r="C13" s="14" t="s">
        <v>151</v>
      </c>
      <c r="D13" s="19" t="n">
        <v>4</v>
      </c>
      <c r="E13" s="19" t="n">
        <f aca="false">ROUND(Towers!$C$5*POWER(Tuning!$B$12,D13),0)</f>
        <v>5597</v>
      </c>
      <c r="F13" s="19" t="n">
        <f aca="false">F12+E13</f>
        <v>9748</v>
      </c>
      <c r="G13" s="20" t="n">
        <v>3.32</v>
      </c>
      <c r="H13" s="20" t="n">
        <v>4.07</v>
      </c>
      <c r="I13" s="20" t="n">
        <v>1</v>
      </c>
      <c r="J13" s="16" t="n">
        <f aca="false">Towers!$G$5*G13*H13*I13</f>
        <v>40.5372</v>
      </c>
      <c r="K13" s="16" t="n">
        <f aca="false">IF(J13=0,0,F13/J13)</f>
        <v>240.470481434337</v>
      </c>
    </row>
    <row r="14" customFormat="false" ht="15" hidden="false" customHeight="false" outlineLevel="0" collapsed="false">
      <c r="A14" s="14" t="s">
        <v>117</v>
      </c>
      <c r="B14" s="13" t="s">
        <v>150</v>
      </c>
      <c r="C14" s="14" t="s">
        <v>151</v>
      </c>
      <c r="D14" s="19" t="n">
        <v>5</v>
      </c>
      <c r="E14" s="19" t="n">
        <f aca="false">ROUND(Towers!$C$5*POWER(Tuning!$B$12,D14),0)</f>
        <v>12873</v>
      </c>
      <c r="F14" s="19" t="n">
        <f aca="false">F13+E14</f>
        <v>22621</v>
      </c>
      <c r="G14" s="20" t="n">
        <v>4.48</v>
      </c>
      <c r="H14" s="20" t="n">
        <v>5.77</v>
      </c>
      <c r="I14" s="20" t="n">
        <v>1</v>
      </c>
      <c r="J14" s="16" t="n">
        <f aca="false">Towers!$G$5*G14*H14*I14</f>
        <v>77.5488</v>
      </c>
      <c r="K14" s="16" t="n">
        <f aca="false">IF(J14=0,0,F14/J14)</f>
        <v>291.700193942395</v>
      </c>
    </row>
    <row r="15" customFormat="false" ht="15" hidden="false" customHeight="false" outlineLevel="0" collapsed="false">
      <c r="A15" s="14" t="s">
        <v>117</v>
      </c>
      <c r="B15" s="13" t="s">
        <v>109</v>
      </c>
      <c r="C15" s="14" t="s">
        <v>152</v>
      </c>
      <c r="D15" s="19" t="n">
        <v>1</v>
      </c>
      <c r="E15" s="19" t="n">
        <f aca="false">ROUND(Towers!$C$5*POWER(Tuning!$B$12,D15),0)</f>
        <v>460</v>
      </c>
      <c r="F15" s="19" t="n">
        <f aca="false">Towers!$C$5+E15</f>
        <v>660</v>
      </c>
      <c r="G15" s="20" t="n">
        <v>1.9</v>
      </c>
      <c r="H15" s="20" t="n">
        <v>1</v>
      </c>
      <c r="I15" s="20" t="n">
        <v>1</v>
      </c>
      <c r="J15" s="16" t="n">
        <f aca="false">Towers!$G$5*G15*H15*I15</f>
        <v>5.7</v>
      </c>
      <c r="K15" s="16" t="n">
        <f aca="false">IF(J15=0,0,F15/J15)</f>
        <v>115.789473684211</v>
      </c>
    </row>
    <row r="16" customFormat="false" ht="15" hidden="false" customHeight="false" outlineLevel="0" collapsed="false">
      <c r="A16" s="14" t="s">
        <v>117</v>
      </c>
      <c r="B16" s="13" t="s">
        <v>109</v>
      </c>
      <c r="C16" s="14" t="s">
        <v>152</v>
      </c>
      <c r="D16" s="19" t="n">
        <v>2</v>
      </c>
      <c r="E16" s="19" t="n">
        <f aca="false">ROUND(Towers!$C$5*POWER(Tuning!$B$12,D16),0)</f>
        <v>1058</v>
      </c>
      <c r="F16" s="19" t="n">
        <f aca="false">F15+E16</f>
        <v>1718</v>
      </c>
      <c r="G16" s="20" t="n">
        <v>3.61</v>
      </c>
      <c r="H16" s="20" t="n">
        <v>1</v>
      </c>
      <c r="I16" s="20" t="n">
        <v>1</v>
      </c>
      <c r="J16" s="16" t="n">
        <f aca="false">Towers!$G$5*G16*H16*I16</f>
        <v>10.83</v>
      </c>
      <c r="K16" s="16" t="n">
        <f aca="false">IF(J16=0,0,F16/J16)</f>
        <v>158.633425669437</v>
      </c>
    </row>
    <row r="17" customFormat="false" ht="15" hidden="false" customHeight="false" outlineLevel="0" collapsed="false">
      <c r="A17" s="14" t="s">
        <v>117</v>
      </c>
      <c r="B17" s="13" t="s">
        <v>109</v>
      </c>
      <c r="C17" s="14" t="s">
        <v>152</v>
      </c>
      <c r="D17" s="19" t="n">
        <v>3</v>
      </c>
      <c r="E17" s="19" t="n">
        <f aca="false">ROUND(Towers!$C$5*POWER(Tuning!$B$12,D17),0)</f>
        <v>2433</v>
      </c>
      <c r="F17" s="19" t="n">
        <f aca="false">F16+E17</f>
        <v>4151</v>
      </c>
      <c r="G17" s="20" t="n">
        <v>6.86</v>
      </c>
      <c r="H17" s="20" t="n">
        <v>1</v>
      </c>
      <c r="I17" s="20" t="n">
        <v>1</v>
      </c>
      <c r="J17" s="16" t="n">
        <f aca="false">Towers!$G$5*G17*H17*I17</f>
        <v>20.58</v>
      </c>
      <c r="K17" s="16" t="n">
        <f aca="false">IF(J17=0,0,F17/J17)</f>
        <v>201.700680272109</v>
      </c>
    </row>
    <row r="18" customFormat="false" ht="15" hidden="false" customHeight="false" outlineLevel="0" collapsed="false">
      <c r="A18" s="14" t="s">
        <v>117</v>
      </c>
      <c r="B18" s="13" t="s">
        <v>109</v>
      </c>
      <c r="C18" s="14" t="s">
        <v>152</v>
      </c>
      <c r="D18" s="19" t="n">
        <v>4</v>
      </c>
      <c r="E18" s="19" t="n">
        <f aca="false">ROUND(Towers!$C$5*POWER(Tuning!$B$12,D18),0)</f>
        <v>5597</v>
      </c>
      <c r="F18" s="19" t="n">
        <f aca="false">F17+E18</f>
        <v>9748</v>
      </c>
      <c r="G18" s="20" t="n">
        <v>13.03</v>
      </c>
      <c r="H18" s="20" t="n">
        <v>1</v>
      </c>
      <c r="I18" s="20" t="n">
        <v>1</v>
      </c>
      <c r="J18" s="16" t="n">
        <f aca="false">Towers!$G$5*G18*H18*I18</f>
        <v>39.09</v>
      </c>
      <c r="K18" s="16" t="n">
        <f aca="false">IF(J18=0,0,F18/J18)</f>
        <v>249.373241238168</v>
      </c>
    </row>
    <row r="19" customFormat="false" ht="15" hidden="false" customHeight="false" outlineLevel="0" collapsed="false">
      <c r="A19" s="14" t="s">
        <v>117</v>
      </c>
      <c r="B19" s="13" t="s">
        <v>109</v>
      </c>
      <c r="C19" s="14" t="s">
        <v>152</v>
      </c>
      <c r="D19" s="19" t="n">
        <v>5</v>
      </c>
      <c r="E19" s="19" t="n">
        <f aca="false">ROUND(Towers!$C$5*POWER(Tuning!$B$12,D19),0)</f>
        <v>12873</v>
      </c>
      <c r="F19" s="19" t="n">
        <f aca="false">F18+E19</f>
        <v>22621</v>
      </c>
      <c r="G19" s="20" t="n">
        <v>24.76</v>
      </c>
      <c r="H19" s="20" t="n">
        <v>1</v>
      </c>
      <c r="I19" s="20" t="n">
        <v>1</v>
      </c>
      <c r="J19" s="16" t="n">
        <f aca="false">Towers!$G$5*G19*H19*I19</f>
        <v>74.28</v>
      </c>
      <c r="K19" s="16" t="n">
        <f aca="false">IF(J19=0,0,F19/J19)</f>
        <v>304.536887452881</v>
      </c>
    </row>
    <row r="20" customFormat="false" ht="15" hidden="false" customHeight="false" outlineLevel="0" collapsed="false">
      <c r="A20" s="14" t="s">
        <v>121</v>
      </c>
      <c r="B20" s="13" t="s">
        <v>153</v>
      </c>
      <c r="C20" s="14" t="s">
        <v>154</v>
      </c>
      <c r="D20" s="19" t="n">
        <v>1</v>
      </c>
      <c r="E20" s="19" t="n">
        <f aca="false">ROUND(Towers!$C$6*POWER(Tuning!$B$12,D20),0)</f>
        <v>805</v>
      </c>
      <c r="F20" s="19" t="n">
        <f aca="false">Towers!$C$6+E20</f>
        <v>1155</v>
      </c>
      <c r="G20" s="20" t="n">
        <v>1.45</v>
      </c>
      <c r="H20" s="20" t="n">
        <v>1</v>
      </c>
      <c r="I20" s="20" t="n">
        <v>1.32</v>
      </c>
      <c r="J20" s="16" t="n">
        <f aca="false">Towers!$G$6*G20*H20*I20</f>
        <v>7.7517</v>
      </c>
      <c r="K20" s="16" t="n">
        <f aca="false">IF(J20=0,0,F20/J20)</f>
        <v>148.999574286931</v>
      </c>
    </row>
    <row r="21" customFormat="false" ht="15" hidden="false" customHeight="false" outlineLevel="0" collapsed="false">
      <c r="A21" s="14" t="s">
        <v>121</v>
      </c>
      <c r="B21" s="13" t="s">
        <v>153</v>
      </c>
      <c r="C21" s="14" t="s">
        <v>154</v>
      </c>
      <c r="D21" s="19" t="n">
        <v>2</v>
      </c>
      <c r="E21" s="19" t="n">
        <f aca="false">ROUND(Towers!$C$6*POWER(Tuning!$B$12,D21),0)</f>
        <v>1851</v>
      </c>
      <c r="F21" s="19" t="n">
        <f aca="false">F20+E21</f>
        <v>3006</v>
      </c>
      <c r="G21" s="20" t="n">
        <v>2.1</v>
      </c>
      <c r="H21" s="20" t="n">
        <v>1</v>
      </c>
      <c r="I21" s="20" t="n">
        <v>1.74</v>
      </c>
      <c r="J21" s="16" t="n">
        <f aca="false">Towers!$G$6*G21*H21*I21</f>
        <v>14.7987</v>
      </c>
      <c r="K21" s="16" t="n">
        <f aca="false">IF(J21=0,0,F21/J21)</f>
        <v>203.125950252387</v>
      </c>
    </row>
    <row r="22" customFormat="false" ht="15" hidden="false" customHeight="false" outlineLevel="0" collapsed="false">
      <c r="A22" s="14" t="s">
        <v>121</v>
      </c>
      <c r="B22" s="13" t="s">
        <v>153</v>
      </c>
      <c r="C22" s="14" t="s">
        <v>154</v>
      </c>
      <c r="D22" s="19" t="n">
        <v>3</v>
      </c>
      <c r="E22" s="19" t="n">
        <f aca="false">ROUND(Towers!$C$6*POWER(Tuning!$B$12,D22),0)</f>
        <v>4258</v>
      </c>
      <c r="F22" s="19" t="n">
        <f aca="false">F21+E22</f>
        <v>7264</v>
      </c>
      <c r="G22" s="20" t="n">
        <v>3.05</v>
      </c>
      <c r="H22" s="20" t="n">
        <v>1</v>
      </c>
      <c r="I22" s="20" t="n">
        <v>2.3</v>
      </c>
      <c r="J22" s="16" t="n">
        <f aca="false">Towers!$G$6*G22*H22*I22</f>
        <v>28.41075</v>
      </c>
      <c r="K22" s="16" t="n">
        <f aca="false">IF(J22=0,0,F22/J22)</f>
        <v>255.677868412485</v>
      </c>
    </row>
    <row r="23" customFormat="false" ht="15" hidden="false" customHeight="false" outlineLevel="0" collapsed="false">
      <c r="A23" s="14" t="s">
        <v>121</v>
      </c>
      <c r="B23" s="13" t="s">
        <v>153</v>
      </c>
      <c r="C23" s="14" t="s">
        <v>154</v>
      </c>
      <c r="D23" s="19" t="n">
        <v>4</v>
      </c>
      <c r="E23" s="19" t="n">
        <f aca="false">ROUND(Towers!$C$6*POWER(Tuning!$B$12,D23),0)</f>
        <v>9794</v>
      </c>
      <c r="F23" s="19" t="n">
        <f aca="false">F22+E23</f>
        <v>17058</v>
      </c>
      <c r="G23" s="20" t="n">
        <v>4.42</v>
      </c>
      <c r="H23" s="20" t="n">
        <v>1</v>
      </c>
      <c r="I23" s="20" t="n">
        <v>3.04</v>
      </c>
      <c r="J23" s="16" t="n">
        <f aca="false">Towers!$G$6*G23*H23*I23</f>
        <v>54.41904</v>
      </c>
      <c r="K23" s="16" t="n">
        <f aca="false">IF(J23=0,0,F23/J23)</f>
        <v>313.456466707241</v>
      </c>
    </row>
    <row r="24" customFormat="false" ht="15" hidden="false" customHeight="false" outlineLevel="0" collapsed="false">
      <c r="A24" s="14" t="s">
        <v>121</v>
      </c>
      <c r="B24" s="13" t="s">
        <v>153</v>
      </c>
      <c r="C24" s="14" t="s">
        <v>154</v>
      </c>
      <c r="D24" s="19" t="n">
        <v>5</v>
      </c>
      <c r="E24" s="19" t="n">
        <f aca="false">ROUND(Towers!$C$6*POWER(Tuning!$B$12,D24),0)</f>
        <v>22527</v>
      </c>
      <c r="F24" s="19" t="n">
        <f aca="false">F23+E24</f>
        <v>39585</v>
      </c>
      <c r="G24" s="20" t="n">
        <v>6.41</v>
      </c>
      <c r="H24" s="20" t="n">
        <v>1</v>
      </c>
      <c r="I24" s="20" t="n">
        <v>4.01</v>
      </c>
      <c r="J24" s="16" t="n">
        <f aca="false">Towers!$G$6*G24*H24*I24</f>
        <v>104.101605</v>
      </c>
      <c r="K24" s="16" t="n">
        <f aca="false">IF(J24=0,0,F24/J24)</f>
        <v>380.253503296131</v>
      </c>
    </row>
    <row r="25" customFormat="false" ht="15" hidden="false" customHeight="false" outlineLevel="0" collapsed="false">
      <c r="A25" s="14" t="s">
        <v>121</v>
      </c>
      <c r="B25" s="13" t="s">
        <v>155</v>
      </c>
      <c r="C25" s="14" t="s">
        <v>151</v>
      </c>
      <c r="D25" s="19" t="n">
        <v>1</v>
      </c>
      <c r="E25" s="19" t="n">
        <f aca="false">ROUND(Towers!$C$6*POWER(Tuning!$B$12,D25),0)</f>
        <v>805</v>
      </c>
      <c r="F25" s="19" t="n">
        <f aca="false">Towers!$C$6+E25</f>
        <v>1155</v>
      </c>
      <c r="G25" s="20" t="n">
        <v>1.35</v>
      </c>
      <c r="H25" s="20" t="n">
        <v>1.42</v>
      </c>
      <c r="I25" s="20" t="n">
        <v>1</v>
      </c>
      <c r="J25" s="16" t="n">
        <f aca="false">Towers!$G$6*G25*H25*I25</f>
        <v>7.76385</v>
      </c>
      <c r="K25" s="16" t="n">
        <f aca="false">IF(J25=0,0,F25/J25)</f>
        <v>148.766398114338</v>
      </c>
    </row>
    <row r="26" customFormat="false" ht="15" hidden="false" customHeight="false" outlineLevel="0" collapsed="false">
      <c r="A26" s="14" t="s">
        <v>121</v>
      </c>
      <c r="B26" s="13" t="s">
        <v>155</v>
      </c>
      <c r="C26" s="14" t="s">
        <v>151</v>
      </c>
      <c r="D26" s="19" t="n">
        <v>2</v>
      </c>
      <c r="E26" s="19" t="n">
        <f aca="false">ROUND(Towers!$C$6*POWER(Tuning!$B$12,D26),0)</f>
        <v>1851</v>
      </c>
      <c r="F26" s="19" t="n">
        <f aca="false">F25+E26</f>
        <v>3006</v>
      </c>
      <c r="G26" s="20" t="n">
        <v>1.82</v>
      </c>
      <c r="H26" s="20" t="n">
        <v>2.02</v>
      </c>
      <c r="I26" s="20" t="n">
        <v>1</v>
      </c>
      <c r="J26" s="16" t="n">
        <f aca="false">Towers!$G$6*G26*H26*I26</f>
        <v>14.88942</v>
      </c>
      <c r="K26" s="16" t="n">
        <f aca="false">IF(J26=0,0,F26/J26)</f>
        <v>201.888320700202</v>
      </c>
    </row>
    <row r="27" customFormat="false" ht="15" hidden="false" customHeight="false" outlineLevel="0" collapsed="false">
      <c r="A27" s="14" t="s">
        <v>121</v>
      </c>
      <c r="B27" s="13" t="s">
        <v>155</v>
      </c>
      <c r="C27" s="14" t="s">
        <v>151</v>
      </c>
      <c r="D27" s="19" t="n">
        <v>3</v>
      </c>
      <c r="E27" s="19" t="n">
        <f aca="false">ROUND(Towers!$C$6*POWER(Tuning!$B$12,D27),0)</f>
        <v>4258</v>
      </c>
      <c r="F27" s="19" t="n">
        <f aca="false">F26+E27</f>
        <v>7264</v>
      </c>
      <c r="G27" s="20" t="n">
        <v>2.46</v>
      </c>
      <c r="H27" s="20" t="n">
        <v>2.86</v>
      </c>
      <c r="I27" s="20" t="n">
        <v>1</v>
      </c>
      <c r="J27" s="16" t="n">
        <f aca="false">Towers!$G$6*G27*H27*I27</f>
        <v>28.49418</v>
      </c>
      <c r="K27" s="16" t="n">
        <f aca="false">IF(J27=0,0,F27/J27)</f>
        <v>254.929252219225</v>
      </c>
    </row>
    <row r="28" customFormat="false" ht="15" hidden="false" customHeight="false" outlineLevel="0" collapsed="false">
      <c r="A28" s="14" t="s">
        <v>121</v>
      </c>
      <c r="B28" s="13" t="s">
        <v>155</v>
      </c>
      <c r="C28" s="14" t="s">
        <v>151</v>
      </c>
      <c r="D28" s="19" t="n">
        <v>4</v>
      </c>
      <c r="E28" s="19" t="n">
        <f aca="false">ROUND(Towers!$C$6*POWER(Tuning!$B$12,D28),0)</f>
        <v>9794</v>
      </c>
      <c r="F28" s="19" t="n">
        <f aca="false">F27+E28</f>
        <v>17058</v>
      </c>
      <c r="G28" s="20" t="n">
        <v>3.32</v>
      </c>
      <c r="H28" s="20" t="n">
        <v>4.07</v>
      </c>
      <c r="I28" s="20" t="n">
        <v>1</v>
      </c>
      <c r="J28" s="16" t="n">
        <f aca="false">Towers!$G$6*G28*H28*I28</f>
        <v>54.72522</v>
      </c>
      <c r="K28" s="16" t="n">
        <f aca="false">IF(J28=0,0,F28/J28)</f>
        <v>311.702721341276</v>
      </c>
    </row>
    <row r="29" customFormat="false" ht="15" hidden="false" customHeight="false" outlineLevel="0" collapsed="false">
      <c r="A29" s="14" t="s">
        <v>121</v>
      </c>
      <c r="B29" s="13" t="s">
        <v>155</v>
      </c>
      <c r="C29" s="14" t="s">
        <v>151</v>
      </c>
      <c r="D29" s="19" t="n">
        <v>5</v>
      </c>
      <c r="E29" s="19" t="n">
        <f aca="false">ROUND(Towers!$C$6*POWER(Tuning!$B$12,D29),0)</f>
        <v>22527</v>
      </c>
      <c r="F29" s="19" t="n">
        <f aca="false">F28+E29</f>
        <v>39585</v>
      </c>
      <c r="G29" s="20" t="n">
        <v>4.48</v>
      </c>
      <c r="H29" s="20" t="n">
        <v>5.77</v>
      </c>
      <c r="I29" s="20" t="n">
        <v>1</v>
      </c>
      <c r="J29" s="16" t="n">
        <f aca="false">Towers!$G$6*G29*H29*I29</f>
        <v>104.69088</v>
      </c>
      <c r="K29" s="16" t="n">
        <f aca="false">IF(J29=0,0,F29/J29)</f>
        <v>378.113165158226</v>
      </c>
    </row>
    <row r="30" customFormat="false" ht="15" hidden="false" customHeight="false" outlineLevel="0" collapsed="false">
      <c r="A30" s="14" t="s">
        <v>121</v>
      </c>
      <c r="B30" s="13" t="s">
        <v>156</v>
      </c>
      <c r="C30" s="14" t="s">
        <v>152</v>
      </c>
      <c r="D30" s="19" t="n">
        <v>1</v>
      </c>
      <c r="E30" s="19" t="n">
        <f aca="false">ROUND(Towers!$C$6*POWER(Tuning!$B$12,D30),0)</f>
        <v>805</v>
      </c>
      <c r="F30" s="19" t="n">
        <f aca="false">Towers!$C$6+E30</f>
        <v>1155</v>
      </c>
      <c r="G30" s="20" t="n">
        <v>1.9</v>
      </c>
      <c r="H30" s="20" t="n">
        <v>1</v>
      </c>
      <c r="I30" s="20" t="n">
        <v>1</v>
      </c>
      <c r="J30" s="16" t="n">
        <f aca="false">Towers!$G$6*G30*H30*I30</f>
        <v>7.695</v>
      </c>
      <c r="K30" s="16" t="n">
        <f aca="false">IF(J30=0,0,F30/J30)</f>
        <v>150.09746588694</v>
      </c>
    </row>
    <row r="31" customFormat="false" ht="15" hidden="false" customHeight="false" outlineLevel="0" collapsed="false">
      <c r="A31" s="14" t="s">
        <v>121</v>
      </c>
      <c r="B31" s="13" t="s">
        <v>156</v>
      </c>
      <c r="C31" s="14" t="s">
        <v>152</v>
      </c>
      <c r="D31" s="19" t="n">
        <v>2</v>
      </c>
      <c r="E31" s="19" t="n">
        <f aca="false">ROUND(Towers!$C$6*POWER(Tuning!$B$12,D31),0)</f>
        <v>1851</v>
      </c>
      <c r="F31" s="19" t="n">
        <f aca="false">F30+E31</f>
        <v>3006</v>
      </c>
      <c r="G31" s="20" t="n">
        <v>3.61</v>
      </c>
      <c r="H31" s="20" t="n">
        <v>1</v>
      </c>
      <c r="I31" s="20" t="n">
        <v>1</v>
      </c>
      <c r="J31" s="16" t="n">
        <f aca="false">Towers!$G$6*G31*H31*I31</f>
        <v>14.6205</v>
      </c>
      <c r="K31" s="16" t="n">
        <f aca="false">IF(J31=0,0,F31/J31)</f>
        <v>205.601723607264</v>
      </c>
    </row>
    <row r="32" customFormat="false" ht="15" hidden="false" customHeight="false" outlineLevel="0" collapsed="false">
      <c r="A32" s="14" t="s">
        <v>121</v>
      </c>
      <c r="B32" s="13" t="s">
        <v>156</v>
      </c>
      <c r="C32" s="14" t="s">
        <v>152</v>
      </c>
      <c r="D32" s="19" t="n">
        <v>3</v>
      </c>
      <c r="E32" s="19" t="n">
        <f aca="false">ROUND(Towers!$C$6*POWER(Tuning!$B$12,D32),0)</f>
        <v>4258</v>
      </c>
      <c r="F32" s="19" t="n">
        <f aca="false">F31+E32</f>
        <v>7264</v>
      </c>
      <c r="G32" s="20" t="n">
        <v>6.86</v>
      </c>
      <c r="H32" s="20" t="n">
        <v>1</v>
      </c>
      <c r="I32" s="20" t="n">
        <v>1</v>
      </c>
      <c r="J32" s="16" t="n">
        <f aca="false">Towers!$G$6*G32*H32*I32</f>
        <v>27.783</v>
      </c>
      <c r="K32" s="16" t="n">
        <f aca="false">IF(J32=0,0,F32/J32)</f>
        <v>261.45484648886</v>
      </c>
    </row>
    <row r="33" customFormat="false" ht="15" hidden="false" customHeight="false" outlineLevel="0" collapsed="false">
      <c r="A33" s="14" t="s">
        <v>121</v>
      </c>
      <c r="B33" s="13" t="s">
        <v>156</v>
      </c>
      <c r="C33" s="14" t="s">
        <v>152</v>
      </c>
      <c r="D33" s="19" t="n">
        <v>4</v>
      </c>
      <c r="E33" s="19" t="n">
        <f aca="false">ROUND(Towers!$C$6*POWER(Tuning!$B$12,D33),0)</f>
        <v>9794</v>
      </c>
      <c r="F33" s="19" t="n">
        <f aca="false">F32+E33</f>
        <v>17058</v>
      </c>
      <c r="G33" s="20" t="n">
        <v>13.03</v>
      </c>
      <c r="H33" s="20" t="n">
        <v>1</v>
      </c>
      <c r="I33" s="20" t="n">
        <v>1</v>
      </c>
      <c r="J33" s="16" t="n">
        <f aca="false">Towers!$G$6*G33*H33*I33</f>
        <v>52.7715</v>
      </c>
      <c r="K33" s="16" t="n">
        <f aca="false">IF(J33=0,0,F33/J33)</f>
        <v>323.242659390012</v>
      </c>
    </row>
    <row r="34" customFormat="false" ht="15" hidden="false" customHeight="false" outlineLevel="0" collapsed="false">
      <c r="A34" s="14" t="s">
        <v>121</v>
      </c>
      <c r="B34" s="13" t="s">
        <v>156</v>
      </c>
      <c r="C34" s="14" t="s">
        <v>152</v>
      </c>
      <c r="D34" s="19" t="n">
        <v>5</v>
      </c>
      <c r="E34" s="19" t="n">
        <f aca="false">ROUND(Towers!$C$6*POWER(Tuning!$B$12,D34),0)</f>
        <v>22527</v>
      </c>
      <c r="F34" s="19" t="n">
        <f aca="false">F33+E34</f>
        <v>39585</v>
      </c>
      <c r="G34" s="20" t="n">
        <v>24.76</v>
      </c>
      <c r="H34" s="20" t="n">
        <v>1</v>
      </c>
      <c r="I34" s="20" t="n">
        <v>1</v>
      </c>
      <c r="J34" s="16" t="n">
        <f aca="false">Towers!$G$6*G34*H34*I34</f>
        <v>100.278</v>
      </c>
      <c r="K34" s="16" t="n">
        <f aca="false">IF(J34=0,0,F34/J34)</f>
        <v>394.7525878059</v>
      </c>
    </row>
    <row r="35" customFormat="false" ht="15" hidden="false" customHeight="false" outlineLevel="0" collapsed="false">
      <c r="A35" s="14" t="s">
        <v>124</v>
      </c>
      <c r="B35" s="13" t="s">
        <v>157</v>
      </c>
      <c r="C35" s="14" t="s">
        <v>154</v>
      </c>
      <c r="D35" s="19" t="n">
        <v>1</v>
      </c>
      <c r="E35" s="19" t="n">
        <f aca="false">ROUND(Towers!$C$7*POWER(Tuning!$B$12,D35),0)</f>
        <v>1265</v>
      </c>
      <c r="F35" s="19" t="n">
        <f aca="false">Towers!$C$7+E35</f>
        <v>1815</v>
      </c>
      <c r="G35" s="20" t="n">
        <v>1.45</v>
      </c>
      <c r="H35" s="20" t="n">
        <v>1</v>
      </c>
      <c r="I35" s="20" t="n">
        <v>1.32</v>
      </c>
      <c r="J35" s="16" t="n">
        <f aca="false">Towers!$G$7*G35*H35*I35</f>
        <v>28.71</v>
      </c>
      <c r="K35" s="16" t="n">
        <f aca="false">IF(J35=0,0,F35/J35)</f>
        <v>63.2183908045977</v>
      </c>
    </row>
    <row r="36" customFormat="false" ht="15" hidden="false" customHeight="false" outlineLevel="0" collapsed="false">
      <c r="A36" s="14" t="s">
        <v>124</v>
      </c>
      <c r="B36" s="13" t="s">
        <v>157</v>
      </c>
      <c r="C36" s="14" t="s">
        <v>154</v>
      </c>
      <c r="D36" s="19" t="n">
        <v>2</v>
      </c>
      <c r="E36" s="19" t="n">
        <f aca="false">ROUND(Towers!$C$7*POWER(Tuning!$B$12,D36),0)</f>
        <v>2909</v>
      </c>
      <c r="F36" s="19" t="n">
        <f aca="false">F35+E36</f>
        <v>4724</v>
      </c>
      <c r="G36" s="20" t="n">
        <v>2.1</v>
      </c>
      <c r="H36" s="20" t="n">
        <v>1</v>
      </c>
      <c r="I36" s="20" t="n">
        <v>1.74</v>
      </c>
      <c r="J36" s="16" t="n">
        <f aca="false">Towers!$G$7*G36*H36*I36</f>
        <v>54.81</v>
      </c>
      <c r="K36" s="16" t="n">
        <f aca="false">IF(J36=0,0,F36/J36)</f>
        <v>86.1886517058931</v>
      </c>
    </row>
    <row r="37" customFormat="false" ht="15" hidden="false" customHeight="false" outlineLevel="0" collapsed="false">
      <c r="A37" s="14" t="s">
        <v>124</v>
      </c>
      <c r="B37" s="13" t="s">
        <v>157</v>
      </c>
      <c r="C37" s="14" t="s">
        <v>154</v>
      </c>
      <c r="D37" s="19" t="n">
        <v>3</v>
      </c>
      <c r="E37" s="19" t="n">
        <f aca="false">ROUND(Towers!$C$7*POWER(Tuning!$B$12,D37),0)</f>
        <v>6692</v>
      </c>
      <c r="F37" s="19" t="n">
        <f aca="false">F36+E37</f>
        <v>11416</v>
      </c>
      <c r="G37" s="20" t="n">
        <v>3.05</v>
      </c>
      <c r="H37" s="20" t="n">
        <v>1</v>
      </c>
      <c r="I37" s="20" t="n">
        <v>2.3</v>
      </c>
      <c r="J37" s="16" t="n">
        <f aca="false">Towers!$G$7*G37*H37*I37</f>
        <v>105.225</v>
      </c>
      <c r="K37" s="16" t="n">
        <f aca="false">IF(J37=0,0,F37/J37)</f>
        <v>108.491328106439</v>
      </c>
    </row>
    <row r="38" customFormat="false" ht="15" hidden="false" customHeight="false" outlineLevel="0" collapsed="false">
      <c r="A38" s="14" t="s">
        <v>124</v>
      </c>
      <c r="B38" s="13" t="s">
        <v>157</v>
      </c>
      <c r="C38" s="14" t="s">
        <v>154</v>
      </c>
      <c r="D38" s="19" t="n">
        <v>4</v>
      </c>
      <c r="E38" s="19" t="n">
        <f aca="false">ROUND(Towers!$C$7*POWER(Tuning!$B$12,D38),0)</f>
        <v>15391</v>
      </c>
      <c r="F38" s="19" t="n">
        <f aca="false">F37+E38</f>
        <v>26807</v>
      </c>
      <c r="G38" s="20" t="n">
        <v>4.42</v>
      </c>
      <c r="H38" s="20" t="n">
        <v>1</v>
      </c>
      <c r="I38" s="20" t="n">
        <v>3.04</v>
      </c>
      <c r="J38" s="16" t="n">
        <f aca="false">Towers!$G$7*G38*H38*I38</f>
        <v>201.552</v>
      </c>
      <c r="K38" s="16" t="n">
        <f aca="false">IF(J38=0,0,F38/J38)</f>
        <v>133.002897515281</v>
      </c>
    </row>
    <row r="39" customFormat="false" ht="15" hidden="false" customHeight="false" outlineLevel="0" collapsed="false">
      <c r="A39" s="14" t="s">
        <v>124</v>
      </c>
      <c r="B39" s="13" t="s">
        <v>157</v>
      </c>
      <c r="C39" s="14" t="s">
        <v>154</v>
      </c>
      <c r="D39" s="19" t="n">
        <v>5</v>
      </c>
      <c r="E39" s="19" t="n">
        <f aca="false">ROUND(Towers!$C$7*POWER(Tuning!$B$12,D39),0)</f>
        <v>35400</v>
      </c>
      <c r="F39" s="19" t="n">
        <f aca="false">F38+E39</f>
        <v>62207</v>
      </c>
      <c r="G39" s="20" t="n">
        <v>6.41</v>
      </c>
      <c r="H39" s="20" t="n">
        <v>1</v>
      </c>
      <c r="I39" s="20" t="n">
        <v>4.01</v>
      </c>
      <c r="J39" s="16" t="n">
        <f aca="false">Towers!$G$7*G39*H39*I39</f>
        <v>385.5615</v>
      </c>
      <c r="K39" s="16" t="n">
        <f aca="false">IF(J39=0,0,F39/J39)</f>
        <v>161.341316495553</v>
      </c>
    </row>
    <row r="40" customFormat="false" ht="15" hidden="false" customHeight="false" outlineLevel="0" collapsed="false">
      <c r="A40" s="14" t="s">
        <v>124</v>
      </c>
      <c r="B40" s="13" t="s">
        <v>158</v>
      </c>
      <c r="C40" s="14" t="s">
        <v>154</v>
      </c>
      <c r="D40" s="19" t="n">
        <v>1</v>
      </c>
      <c r="E40" s="19" t="n">
        <f aca="false">ROUND(Towers!$C$7*POWER(Tuning!$B$12,D40),0)</f>
        <v>1265</v>
      </c>
      <c r="F40" s="19" t="n">
        <f aca="false">Towers!$C$7+E40</f>
        <v>1815</v>
      </c>
      <c r="G40" s="20" t="n">
        <v>1.45</v>
      </c>
      <c r="H40" s="20" t="n">
        <v>1</v>
      </c>
      <c r="I40" s="20" t="n">
        <v>1.32</v>
      </c>
      <c r="J40" s="16" t="n">
        <f aca="false">Towers!$G$7*G40*H40*I40</f>
        <v>28.71</v>
      </c>
      <c r="K40" s="16" t="n">
        <f aca="false">IF(J40=0,0,F40/J40)</f>
        <v>63.2183908045977</v>
      </c>
    </row>
    <row r="41" customFormat="false" ht="15" hidden="false" customHeight="false" outlineLevel="0" collapsed="false">
      <c r="A41" s="14" t="s">
        <v>124</v>
      </c>
      <c r="B41" s="13" t="s">
        <v>158</v>
      </c>
      <c r="C41" s="14" t="s">
        <v>154</v>
      </c>
      <c r="D41" s="19" t="n">
        <v>2</v>
      </c>
      <c r="E41" s="19" t="n">
        <f aca="false">ROUND(Towers!$C$7*POWER(Tuning!$B$12,D41),0)</f>
        <v>2909</v>
      </c>
      <c r="F41" s="19" t="n">
        <f aca="false">F40+E41</f>
        <v>4724</v>
      </c>
      <c r="G41" s="20" t="n">
        <v>2.1</v>
      </c>
      <c r="H41" s="20" t="n">
        <v>1</v>
      </c>
      <c r="I41" s="20" t="n">
        <v>1.74</v>
      </c>
      <c r="J41" s="16" t="n">
        <f aca="false">Towers!$G$7*G41*H41*I41</f>
        <v>54.81</v>
      </c>
      <c r="K41" s="16" t="n">
        <f aca="false">IF(J41=0,0,F41/J41)</f>
        <v>86.1886517058931</v>
      </c>
    </row>
    <row r="42" customFormat="false" ht="15" hidden="false" customHeight="false" outlineLevel="0" collapsed="false">
      <c r="A42" s="14" t="s">
        <v>124</v>
      </c>
      <c r="B42" s="13" t="s">
        <v>158</v>
      </c>
      <c r="C42" s="14" t="s">
        <v>154</v>
      </c>
      <c r="D42" s="19" t="n">
        <v>3</v>
      </c>
      <c r="E42" s="19" t="n">
        <f aca="false">ROUND(Towers!$C$7*POWER(Tuning!$B$12,D42),0)</f>
        <v>6692</v>
      </c>
      <c r="F42" s="19" t="n">
        <f aca="false">F41+E42</f>
        <v>11416</v>
      </c>
      <c r="G42" s="20" t="n">
        <v>3.05</v>
      </c>
      <c r="H42" s="20" t="n">
        <v>1</v>
      </c>
      <c r="I42" s="20" t="n">
        <v>2.3</v>
      </c>
      <c r="J42" s="16" t="n">
        <f aca="false">Towers!$G$7*G42*H42*I42</f>
        <v>105.225</v>
      </c>
      <c r="K42" s="16" t="n">
        <f aca="false">IF(J42=0,0,F42/J42)</f>
        <v>108.491328106439</v>
      </c>
    </row>
    <row r="43" customFormat="false" ht="15" hidden="false" customHeight="false" outlineLevel="0" collapsed="false">
      <c r="A43" s="14" t="s">
        <v>124</v>
      </c>
      <c r="B43" s="13" t="s">
        <v>158</v>
      </c>
      <c r="C43" s="14" t="s">
        <v>154</v>
      </c>
      <c r="D43" s="19" t="n">
        <v>4</v>
      </c>
      <c r="E43" s="19" t="n">
        <f aca="false">ROUND(Towers!$C$7*POWER(Tuning!$B$12,D43),0)</f>
        <v>15391</v>
      </c>
      <c r="F43" s="19" t="n">
        <f aca="false">F42+E43</f>
        <v>26807</v>
      </c>
      <c r="G43" s="20" t="n">
        <v>4.42</v>
      </c>
      <c r="H43" s="20" t="n">
        <v>1</v>
      </c>
      <c r="I43" s="20" t="n">
        <v>3.04</v>
      </c>
      <c r="J43" s="16" t="n">
        <f aca="false">Towers!$G$7*G43*H43*I43</f>
        <v>201.552</v>
      </c>
      <c r="K43" s="16" t="n">
        <f aca="false">IF(J43=0,0,F43/J43)</f>
        <v>133.002897515281</v>
      </c>
    </row>
    <row r="44" customFormat="false" ht="15" hidden="false" customHeight="false" outlineLevel="0" collapsed="false">
      <c r="A44" s="14" t="s">
        <v>124</v>
      </c>
      <c r="B44" s="13" t="s">
        <v>158</v>
      </c>
      <c r="C44" s="14" t="s">
        <v>154</v>
      </c>
      <c r="D44" s="19" t="n">
        <v>5</v>
      </c>
      <c r="E44" s="19" t="n">
        <f aca="false">ROUND(Towers!$C$7*POWER(Tuning!$B$12,D44),0)</f>
        <v>35400</v>
      </c>
      <c r="F44" s="19" t="n">
        <f aca="false">F43+E44</f>
        <v>62207</v>
      </c>
      <c r="G44" s="20" t="n">
        <v>6.41</v>
      </c>
      <c r="H44" s="20" t="n">
        <v>1</v>
      </c>
      <c r="I44" s="20" t="n">
        <v>4.01</v>
      </c>
      <c r="J44" s="16" t="n">
        <f aca="false">Towers!$G$7*G44*H44*I44</f>
        <v>385.5615</v>
      </c>
      <c r="K44" s="16" t="n">
        <f aca="false">IF(J44=0,0,F44/J44)</f>
        <v>161.341316495553</v>
      </c>
    </row>
    <row r="45" customFormat="false" ht="15" hidden="false" customHeight="false" outlineLevel="0" collapsed="false">
      <c r="A45" s="14" t="s">
        <v>124</v>
      </c>
      <c r="B45" s="13" t="s">
        <v>159</v>
      </c>
      <c r="C45" s="14" t="s">
        <v>152</v>
      </c>
      <c r="D45" s="19" t="n">
        <v>1</v>
      </c>
      <c r="E45" s="19" t="n">
        <f aca="false">ROUND(Towers!$C$7*POWER(Tuning!$B$12,D45),0)</f>
        <v>1265</v>
      </c>
      <c r="F45" s="19" t="n">
        <f aca="false">Towers!$C$7+E45</f>
        <v>1815</v>
      </c>
      <c r="G45" s="20" t="n">
        <v>1.9</v>
      </c>
      <c r="H45" s="20" t="n">
        <v>1</v>
      </c>
      <c r="I45" s="20" t="n">
        <v>1</v>
      </c>
      <c r="J45" s="16" t="n">
        <f aca="false">Towers!$G$7*G45*H45*I45</f>
        <v>28.5</v>
      </c>
      <c r="K45" s="16" t="n">
        <f aca="false">IF(J45=0,0,F45/J45)</f>
        <v>63.6842105263158</v>
      </c>
    </row>
    <row r="46" customFormat="false" ht="15" hidden="false" customHeight="false" outlineLevel="0" collapsed="false">
      <c r="A46" s="14" t="s">
        <v>124</v>
      </c>
      <c r="B46" s="13" t="s">
        <v>159</v>
      </c>
      <c r="C46" s="14" t="s">
        <v>152</v>
      </c>
      <c r="D46" s="19" t="n">
        <v>2</v>
      </c>
      <c r="E46" s="19" t="n">
        <f aca="false">ROUND(Towers!$C$7*POWER(Tuning!$B$12,D46),0)</f>
        <v>2909</v>
      </c>
      <c r="F46" s="19" t="n">
        <f aca="false">F45+E46</f>
        <v>4724</v>
      </c>
      <c r="G46" s="20" t="n">
        <v>3.61</v>
      </c>
      <c r="H46" s="20" t="n">
        <v>1</v>
      </c>
      <c r="I46" s="20" t="n">
        <v>1</v>
      </c>
      <c r="J46" s="16" t="n">
        <f aca="false">Towers!$G$7*G46*H46*I46</f>
        <v>54.15</v>
      </c>
      <c r="K46" s="16" t="n">
        <f aca="false">IF(J46=0,0,F46/J46)</f>
        <v>87.2391505078486</v>
      </c>
    </row>
    <row r="47" customFormat="false" ht="15" hidden="false" customHeight="false" outlineLevel="0" collapsed="false">
      <c r="A47" s="14" t="s">
        <v>124</v>
      </c>
      <c r="B47" s="13" t="s">
        <v>159</v>
      </c>
      <c r="C47" s="14" t="s">
        <v>152</v>
      </c>
      <c r="D47" s="19" t="n">
        <v>3</v>
      </c>
      <c r="E47" s="19" t="n">
        <f aca="false">ROUND(Towers!$C$7*POWER(Tuning!$B$12,D47),0)</f>
        <v>6692</v>
      </c>
      <c r="F47" s="19" t="n">
        <f aca="false">F46+E47</f>
        <v>11416</v>
      </c>
      <c r="G47" s="20" t="n">
        <v>6.86</v>
      </c>
      <c r="H47" s="20" t="n">
        <v>1</v>
      </c>
      <c r="I47" s="20" t="n">
        <v>1</v>
      </c>
      <c r="J47" s="16" t="n">
        <f aca="false">Towers!$G$7*G47*H47*I47</f>
        <v>102.9</v>
      </c>
      <c r="K47" s="16" t="n">
        <f aca="false">IF(J47=0,0,F47/J47)</f>
        <v>110.942662779397</v>
      </c>
    </row>
    <row r="48" customFormat="false" ht="15" hidden="false" customHeight="false" outlineLevel="0" collapsed="false">
      <c r="A48" s="14" t="s">
        <v>124</v>
      </c>
      <c r="B48" s="13" t="s">
        <v>159</v>
      </c>
      <c r="C48" s="14" t="s">
        <v>152</v>
      </c>
      <c r="D48" s="19" t="n">
        <v>4</v>
      </c>
      <c r="E48" s="19" t="n">
        <f aca="false">ROUND(Towers!$C$7*POWER(Tuning!$B$12,D48),0)</f>
        <v>15391</v>
      </c>
      <c r="F48" s="19" t="n">
        <f aca="false">F47+E48</f>
        <v>26807</v>
      </c>
      <c r="G48" s="20" t="n">
        <v>13.03</v>
      </c>
      <c r="H48" s="20" t="n">
        <v>1</v>
      </c>
      <c r="I48" s="20" t="n">
        <v>1</v>
      </c>
      <c r="J48" s="16" t="n">
        <f aca="false">Towers!$G$7*G48*H48*I48</f>
        <v>195.45</v>
      </c>
      <c r="K48" s="16" t="n">
        <f aca="false">IF(J48=0,0,F48/J48)</f>
        <v>137.155282680993</v>
      </c>
    </row>
    <row r="49" customFormat="false" ht="15" hidden="false" customHeight="false" outlineLevel="0" collapsed="false">
      <c r="A49" s="14" t="s">
        <v>124</v>
      </c>
      <c r="B49" s="13" t="s">
        <v>159</v>
      </c>
      <c r="C49" s="14" t="s">
        <v>152</v>
      </c>
      <c r="D49" s="19" t="n">
        <v>5</v>
      </c>
      <c r="E49" s="19" t="n">
        <f aca="false">ROUND(Towers!$C$7*POWER(Tuning!$B$12,D49),0)</f>
        <v>35400</v>
      </c>
      <c r="F49" s="19" t="n">
        <f aca="false">F48+E49</f>
        <v>62207</v>
      </c>
      <c r="G49" s="20" t="n">
        <v>24.76</v>
      </c>
      <c r="H49" s="20" t="n">
        <v>1</v>
      </c>
      <c r="I49" s="20" t="n">
        <v>1</v>
      </c>
      <c r="J49" s="16" t="n">
        <f aca="false">Towers!$G$7*G49*H49*I49</f>
        <v>371.4</v>
      </c>
      <c r="K49" s="16" t="n">
        <f aca="false">IF(J49=0,0,F49/J49)</f>
        <v>167.493268712978</v>
      </c>
    </row>
    <row r="50" customFormat="false" ht="15" hidden="false" customHeight="false" outlineLevel="0" collapsed="false">
      <c r="A50" s="14" t="s">
        <v>128</v>
      </c>
      <c r="B50" s="13" t="s">
        <v>160</v>
      </c>
      <c r="C50" s="14" t="s">
        <v>149</v>
      </c>
      <c r="D50" s="19" t="n">
        <v>1</v>
      </c>
      <c r="E50" s="19" t="n">
        <f aca="false">ROUND(Towers!$C$8*POWER(Tuning!$B$12,D50),0)</f>
        <v>920</v>
      </c>
      <c r="F50" s="19" t="n">
        <f aca="false">Towers!$C$8+E50</f>
        <v>1320</v>
      </c>
      <c r="G50" s="20" t="n">
        <v>1.3</v>
      </c>
      <c r="H50" s="20" t="n">
        <v>1.15</v>
      </c>
      <c r="I50" s="20" t="n">
        <v>1</v>
      </c>
      <c r="J50" s="16" t="n">
        <f aca="false">Towers!$G$8*G50*H50*I50</f>
        <v>2.99</v>
      </c>
      <c r="K50" s="16" t="n">
        <f aca="false">IF(J50=0,0,F50/J50)</f>
        <v>441.471571906355</v>
      </c>
    </row>
    <row r="51" customFormat="false" ht="15" hidden="false" customHeight="false" outlineLevel="0" collapsed="false">
      <c r="A51" s="14" t="s">
        <v>128</v>
      </c>
      <c r="B51" s="13" t="s">
        <v>160</v>
      </c>
      <c r="C51" s="14" t="s">
        <v>149</v>
      </c>
      <c r="D51" s="19" t="n">
        <v>2</v>
      </c>
      <c r="E51" s="19" t="n">
        <f aca="false">ROUND(Towers!$C$8*POWER(Tuning!$B$12,D51),0)</f>
        <v>2116</v>
      </c>
      <c r="F51" s="19" t="n">
        <f aca="false">F50+E51</f>
        <v>3436</v>
      </c>
      <c r="G51" s="20" t="n">
        <v>1.69</v>
      </c>
      <c r="H51" s="20" t="n">
        <v>1.32</v>
      </c>
      <c r="I51" s="20" t="n">
        <v>1</v>
      </c>
      <c r="J51" s="16" t="n">
        <f aca="false">Towers!$G$8*G51*H51*I51</f>
        <v>4.4616</v>
      </c>
      <c r="K51" s="16" t="n">
        <f aca="false">IF(J51=0,0,F51/J51)</f>
        <v>770.127308588847</v>
      </c>
    </row>
    <row r="52" customFormat="false" ht="15" hidden="false" customHeight="false" outlineLevel="0" collapsed="false">
      <c r="A52" s="14" t="s">
        <v>128</v>
      </c>
      <c r="B52" s="13" t="s">
        <v>160</v>
      </c>
      <c r="C52" s="14" t="s">
        <v>149</v>
      </c>
      <c r="D52" s="19" t="n">
        <v>3</v>
      </c>
      <c r="E52" s="19" t="n">
        <f aca="false">ROUND(Towers!$C$8*POWER(Tuning!$B$12,D52),0)</f>
        <v>4867</v>
      </c>
      <c r="F52" s="19" t="n">
        <f aca="false">F51+E52</f>
        <v>8303</v>
      </c>
      <c r="G52" s="20" t="n">
        <v>2.2</v>
      </c>
      <c r="H52" s="20" t="n">
        <v>1.52</v>
      </c>
      <c r="I52" s="20" t="n">
        <v>1</v>
      </c>
      <c r="J52" s="16" t="n">
        <f aca="false">Towers!$G$8*G52*H52*I52</f>
        <v>6.688</v>
      </c>
      <c r="K52" s="16" t="n">
        <f aca="false">IF(J52=0,0,F52/J52)</f>
        <v>1241.47727272727</v>
      </c>
    </row>
    <row r="53" customFormat="false" ht="15" hidden="false" customHeight="false" outlineLevel="0" collapsed="false">
      <c r="A53" s="14" t="s">
        <v>128</v>
      </c>
      <c r="B53" s="13" t="s">
        <v>160</v>
      </c>
      <c r="C53" s="14" t="s">
        <v>149</v>
      </c>
      <c r="D53" s="19" t="n">
        <v>4</v>
      </c>
      <c r="E53" s="19" t="n">
        <f aca="false">ROUND(Towers!$C$8*POWER(Tuning!$B$12,D53),0)</f>
        <v>11194</v>
      </c>
      <c r="F53" s="19" t="n">
        <f aca="false">F52+E53</f>
        <v>19497</v>
      </c>
      <c r="G53" s="20" t="n">
        <v>2.86</v>
      </c>
      <c r="H53" s="20" t="n">
        <v>1.75</v>
      </c>
      <c r="I53" s="20" t="n">
        <v>1</v>
      </c>
      <c r="J53" s="16" t="n">
        <f aca="false">Towers!$G$8*G53*H53*I53</f>
        <v>10.01</v>
      </c>
      <c r="K53" s="16" t="n">
        <f aca="false">IF(J53=0,0,F53/J53)</f>
        <v>1947.75224775225</v>
      </c>
    </row>
    <row r="54" customFormat="false" ht="15" hidden="false" customHeight="false" outlineLevel="0" collapsed="false">
      <c r="A54" s="14" t="s">
        <v>128</v>
      </c>
      <c r="B54" s="13" t="s">
        <v>160</v>
      </c>
      <c r="C54" s="14" t="s">
        <v>149</v>
      </c>
      <c r="D54" s="19" t="n">
        <v>5</v>
      </c>
      <c r="E54" s="19" t="n">
        <f aca="false">ROUND(Towers!$C$8*POWER(Tuning!$B$12,D54),0)</f>
        <v>25745</v>
      </c>
      <c r="F54" s="19" t="n">
        <f aca="false">F53+E54</f>
        <v>45242</v>
      </c>
      <c r="G54" s="20" t="n">
        <v>3.71</v>
      </c>
      <c r="H54" s="20" t="n">
        <v>2.01</v>
      </c>
      <c r="I54" s="20" t="n">
        <v>1</v>
      </c>
      <c r="J54" s="16" t="n">
        <f aca="false">Towers!$G$8*G54*H54*I54</f>
        <v>14.9142</v>
      </c>
      <c r="K54" s="16" t="n">
        <f aca="false">IF(J54=0,0,F54/J54)</f>
        <v>3033.48486677127</v>
      </c>
    </row>
    <row r="55" customFormat="false" ht="15" hidden="false" customHeight="false" outlineLevel="0" collapsed="false">
      <c r="A55" s="14" t="s">
        <v>128</v>
      </c>
      <c r="B55" s="13" t="s">
        <v>161</v>
      </c>
      <c r="C55" s="14" t="s">
        <v>151</v>
      </c>
      <c r="D55" s="19" t="n">
        <v>1</v>
      </c>
      <c r="E55" s="19" t="n">
        <f aca="false">ROUND(Towers!$C$8*POWER(Tuning!$B$12,D55),0)</f>
        <v>920</v>
      </c>
      <c r="F55" s="19" t="n">
        <f aca="false">Towers!$C$8+E55</f>
        <v>1320</v>
      </c>
      <c r="G55" s="20" t="n">
        <v>1.35</v>
      </c>
      <c r="H55" s="20" t="n">
        <v>1.42</v>
      </c>
      <c r="I55" s="20" t="n">
        <v>1</v>
      </c>
      <c r="J55" s="16" t="n">
        <f aca="false">Towers!$G$8*G55*H55*I55</f>
        <v>3.834</v>
      </c>
      <c r="K55" s="16" t="n">
        <f aca="false">IF(J55=0,0,F55/J55)</f>
        <v>344.287949921753</v>
      </c>
    </row>
    <row r="56" customFormat="false" ht="15" hidden="false" customHeight="false" outlineLevel="0" collapsed="false">
      <c r="A56" s="14" t="s">
        <v>128</v>
      </c>
      <c r="B56" s="13" t="s">
        <v>161</v>
      </c>
      <c r="C56" s="14" t="s">
        <v>151</v>
      </c>
      <c r="D56" s="19" t="n">
        <v>2</v>
      </c>
      <c r="E56" s="19" t="n">
        <f aca="false">ROUND(Towers!$C$8*POWER(Tuning!$B$12,D56),0)</f>
        <v>2116</v>
      </c>
      <c r="F56" s="19" t="n">
        <f aca="false">F55+E56</f>
        <v>3436</v>
      </c>
      <c r="G56" s="20" t="n">
        <v>1.82</v>
      </c>
      <c r="H56" s="20" t="n">
        <v>2.02</v>
      </c>
      <c r="I56" s="20" t="n">
        <v>1</v>
      </c>
      <c r="J56" s="16" t="n">
        <f aca="false">Towers!$G$8*G56*H56*I56</f>
        <v>7.3528</v>
      </c>
      <c r="K56" s="16" t="n">
        <f aca="false">IF(J56=0,0,F56/J56)</f>
        <v>467.304972255467</v>
      </c>
    </row>
    <row r="57" customFormat="false" ht="15" hidden="false" customHeight="false" outlineLevel="0" collapsed="false">
      <c r="A57" s="14" t="s">
        <v>128</v>
      </c>
      <c r="B57" s="13" t="s">
        <v>161</v>
      </c>
      <c r="C57" s="14" t="s">
        <v>151</v>
      </c>
      <c r="D57" s="19" t="n">
        <v>3</v>
      </c>
      <c r="E57" s="19" t="n">
        <f aca="false">ROUND(Towers!$C$8*POWER(Tuning!$B$12,D57),0)</f>
        <v>4867</v>
      </c>
      <c r="F57" s="19" t="n">
        <f aca="false">F56+E57</f>
        <v>8303</v>
      </c>
      <c r="G57" s="20" t="n">
        <v>2.46</v>
      </c>
      <c r="H57" s="20" t="n">
        <v>2.86</v>
      </c>
      <c r="I57" s="20" t="n">
        <v>1</v>
      </c>
      <c r="J57" s="16" t="n">
        <f aca="false">Towers!$G$8*G57*H57*I57</f>
        <v>14.0712</v>
      </c>
      <c r="K57" s="16" t="n">
        <f aca="false">IF(J57=0,0,F57/J57)</f>
        <v>590.070498607084</v>
      </c>
    </row>
    <row r="58" customFormat="false" ht="15" hidden="false" customHeight="false" outlineLevel="0" collapsed="false">
      <c r="A58" s="14" t="s">
        <v>128</v>
      </c>
      <c r="B58" s="13" t="s">
        <v>161</v>
      </c>
      <c r="C58" s="14" t="s">
        <v>151</v>
      </c>
      <c r="D58" s="19" t="n">
        <v>4</v>
      </c>
      <c r="E58" s="19" t="n">
        <f aca="false">ROUND(Towers!$C$8*POWER(Tuning!$B$12,D58),0)</f>
        <v>11194</v>
      </c>
      <c r="F58" s="19" t="n">
        <f aca="false">F57+E58</f>
        <v>19497</v>
      </c>
      <c r="G58" s="20" t="n">
        <v>3.32</v>
      </c>
      <c r="H58" s="20" t="n">
        <v>4.07</v>
      </c>
      <c r="I58" s="20" t="n">
        <v>1</v>
      </c>
      <c r="J58" s="16" t="n">
        <f aca="false">Towers!$G$8*G58*H58*I58</f>
        <v>27.0248</v>
      </c>
      <c r="K58" s="16" t="n">
        <f aca="false">IF(J58=0,0,F58/J58)</f>
        <v>721.448447352062</v>
      </c>
    </row>
    <row r="59" customFormat="false" ht="15" hidden="false" customHeight="false" outlineLevel="0" collapsed="false">
      <c r="A59" s="14" t="s">
        <v>128</v>
      </c>
      <c r="B59" s="13" t="s">
        <v>161</v>
      </c>
      <c r="C59" s="14" t="s">
        <v>151</v>
      </c>
      <c r="D59" s="19" t="n">
        <v>5</v>
      </c>
      <c r="E59" s="19" t="n">
        <f aca="false">ROUND(Towers!$C$8*POWER(Tuning!$B$12,D59),0)</f>
        <v>25745</v>
      </c>
      <c r="F59" s="19" t="n">
        <f aca="false">F58+E59</f>
        <v>45242</v>
      </c>
      <c r="G59" s="20" t="n">
        <v>4.48</v>
      </c>
      <c r="H59" s="20" t="n">
        <v>5.77</v>
      </c>
      <c r="I59" s="20" t="n">
        <v>1</v>
      </c>
      <c r="J59" s="16" t="n">
        <f aca="false">Towers!$G$8*G59*H59*I59</f>
        <v>51.6992</v>
      </c>
      <c r="K59" s="16" t="n">
        <f aca="false">IF(J59=0,0,F59/J59)</f>
        <v>875.100581827185</v>
      </c>
    </row>
    <row r="60" customFormat="false" ht="15" hidden="false" customHeight="false" outlineLevel="0" collapsed="false">
      <c r="A60" s="14" t="s">
        <v>128</v>
      </c>
      <c r="B60" s="13" t="s">
        <v>162</v>
      </c>
      <c r="C60" s="14" t="s">
        <v>152</v>
      </c>
      <c r="D60" s="19" t="n">
        <v>1</v>
      </c>
      <c r="E60" s="19" t="n">
        <f aca="false">ROUND(Towers!$C$8*POWER(Tuning!$B$12,D60),0)</f>
        <v>920</v>
      </c>
      <c r="F60" s="19" t="n">
        <f aca="false">Towers!$C$8+E60</f>
        <v>1320</v>
      </c>
      <c r="G60" s="20" t="n">
        <v>1.9</v>
      </c>
      <c r="H60" s="20" t="n">
        <v>1</v>
      </c>
      <c r="I60" s="20" t="n">
        <v>1</v>
      </c>
      <c r="J60" s="16" t="n">
        <f aca="false">Towers!$G$8*G60*H60*I60</f>
        <v>3.8</v>
      </c>
      <c r="K60" s="16" t="n">
        <f aca="false">IF(J60=0,0,F60/J60)</f>
        <v>347.368421052632</v>
      </c>
    </row>
    <row r="61" customFormat="false" ht="15" hidden="false" customHeight="false" outlineLevel="0" collapsed="false">
      <c r="A61" s="14" t="s">
        <v>128</v>
      </c>
      <c r="B61" s="13" t="s">
        <v>162</v>
      </c>
      <c r="C61" s="14" t="s">
        <v>152</v>
      </c>
      <c r="D61" s="19" t="n">
        <v>2</v>
      </c>
      <c r="E61" s="19" t="n">
        <f aca="false">ROUND(Towers!$C$8*POWER(Tuning!$B$12,D61),0)</f>
        <v>2116</v>
      </c>
      <c r="F61" s="19" t="n">
        <f aca="false">F60+E61</f>
        <v>3436</v>
      </c>
      <c r="G61" s="20" t="n">
        <v>3.61</v>
      </c>
      <c r="H61" s="20" t="n">
        <v>1</v>
      </c>
      <c r="I61" s="20" t="n">
        <v>1</v>
      </c>
      <c r="J61" s="16" t="n">
        <f aca="false">Towers!$G$8*G61*H61*I61</f>
        <v>7.22</v>
      </c>
      <c r="K61" s="16" t="n">
        <f aca="false">IF(J61=0,0,F61/J61)</f>
        <v>475.90027700831</v>
      </c>
    </row>
    <row r="62" customFormat="false" ht="15" hidden="false" customHeight="false" outlineLevel="0" collapsed="false">
      <c r="A62" s="14" t="s">
        <v>128</v>
      </c>
      <c r="B62" s="13" t="s">
        <v>162</v>
      </c>
      <c r="C62" s="14" t="s">
        <v>152</v>
      </c>
      <c r="D62" s="19" t="n">
        <v>3</v>
      </c>
      <c r="E62" s="19" t="n">
        <f aca="false">ROUND(Towers!$C$8*POWER(Tuning!$B$12,D62),0)</f>
        <v>4867</v>
      </c>
      <c r="F62" s="19" t="n">
        <f aca="false">F61+E62</f>
        <v>8303</v>
      </c>
      <c r="G62" s="20" t="n">
        <v>6.86</v>
      </c>
      <c r="H62" s="20" t="n">
        <v>1</v>
      </c>
      <c r="I62" s="20" t="n">
        <v>1</v>
      </c>
      <c r="J62" s="16" t="n">
        <f aca="false">Towers!$G$8*G62*H62*I62</f>
        <v>13.72</v>
      </c>
      <c r="K62" s="16" t="n">
        <f aca="false">IF(J62=0,0,F62/J62)</f>
        <v>605.174927113703</v>
      </c>
    </row>
    <row r="63" customFormat="false" ht="15" hidden="false" customHeight="false" outlineLevel="0" collapsed="false">
      <c r="A63" s="14" t="s">
        <v>128</v>
      </c>
      <c r="B63" s="13" t="s">
        <v>162</v>
      </c>
      <c r="C63" s="14" t="s">
        <v>152</v>
      </c>
      <c r="D63" s="19" t="n">
        <v>4</v>
      </c>
      <c r="E63" s="19" t="n">
        <f aca="false">ROUND(Towers!$C$8*POWER(Tuning!$B$12,D63),0)</f>
        <v>11194</v>
      </c>
      <c r="F63" s="19" t="n">
        <f aca="false">F62+E63</f>
        <v>19497</v>
      </c>
      <c r="G63" s="20" t="n">
        <v>13.03</v>
      </c>
      <c r="H63" s="20" t="n">
        <v>1</v>
      </c>
      <c r="I63" s="20" t="n">
        <v>1</v>
      </c>
      <c r="J63" s="16" t="n">
        <f aca="false">Towers!$G$8*G63*H63*I63</f>
        <v>26.06</v>
      </c>
      <c r="K63" s="16" t="n">
        <f aca="false">IF(J63=0,0,F63/J63)</f>
        <v>748.158096699923</v>
      </c>
    </row>
    <row r="64" customFormat="false" ht="15" hidden="false" customHeight="false" outlineLevel="0" collapsed="false">
      <c r="A64" s="14" t="s">
        <v>128</v>
      </c>
      <c r="B64" s="13" t="s">
        <v>162</v>
      </c>
      <c r="C64" s="14" t="s">
        <v>152</v>
      </c>
      <c r="D64" s="19" t="n">
        <v>5</v>
      </c>
      <c r="E64" s="19" t="n">
        <f aca="false">ROUND(Towers!$C$8*POWER(Tuning!$B$12,D64),0)</f>
        <v>25745</v>
      </c>
      <c r="F64" s="19" t="n">
        <f aca="false">F63+E64</f>
        <v>45242</v>
      </c>
      <c r="G64" s="20" t="n">
        <v>24.76</v>
      </c>
      <c r="H64" s="20" t="n">
        <v>1</v>
      </c>
      <c r="I64" s="20" t="n">
        <v>1</v>
      </c>
      <c r="J64" s="16" t="n">
        <f aca="false">Towers!$G$8*G64*H64*I64</f>
        <v>49.52</v>
      </c>
      <c r="K64" s="16" t="n">
        <f aca="false">IF(J64=0,0,F64/J64)</f>
        <v>913.610662358643</v>
      </c>
    </row>
    <row r="65" customFormat="false" ht="15" hidden="false" customHeight="false" outlineLevel="0" collapsed="false">
      <c r="A65" s="14" t="s">
        <v>131</v>
      </c>
      <c r="B65" s="13" t="s">
        <v>163</v>
      </c>
      <c r="C65" s="14" t="s">
        <v>164</v>
      </c>
      <c r="D65" s="19" t="n">
        <v>1</v>
      </c>
      <c r="E65" s="19" t="n">
        <f aca="false">ROUND(Towers!$C$9*POWER(Tuning!$B$12,D65),0)</f>
        <v>2300</v>
      </c>
      <c r="F65" s="19" t="n">
        <f aca="false">Towers!$C$9+E65</f>
        <v>3300</v>
      </c>
      <c r="G65" s="20" t="n">
        <v>1</v>
      </c>
      <c r="H65" s="20" t="n">
        <v>1</v>
      </c>
      <c r="I65" s="20" t="n">
        <v>1</v>
      </c>
      <c r="J65" s="16" t="n">
        <v>0</v>
      </c>
      <c r="K65" s="14" t="s">
        <v>165</v>
      </c>
    </row>
    <row r="66" customFormat="false" ht="15" hidden="false" customHeight="false" outlineLevel="0" collapsed="false">
      <c r="A66" s="14" t="s">
        <v>131</v>
      </c>
      <c r="B66" s="13" t="s">
        <v>163</v>
      </c>
      <c r="C66" s="14" t="s">
        <v>164</v>
      </c>
      <c r="D66" s="19" t="n">
        <v>2</v>
      </c>
      <c r="E66" s="19" t="n">
        <f aca="false">ROUND(Towers!$C$9*POWER(Tuning!$B$12,D66),0)</f>
        <v>5290</v>
      </c>
      <c r="F66" s="19" t="n">
        <f aca="false">F65+E66</f>
        <v>8590</v>
      </c>
      <c r="G66" s="20" t="n">
        <v>1</v>
      </c>
      <c r="H66" s="20" t="n">
        <v>1</v>
      </c>
      <c r="I66" s="20" t="n">
        <v>1</v>
      </c>
      <c r="J66" s="16" t="n">
        <v>0</v>
      </c>
      <c r="K66" s="14" t="s">
        <v>165</v>
      </c>
    </row>
    <row r="67" customFormat="false" ht="15" hidden="false" customHeight="false" outlineLevel="0" collapsed="false">
      <c r="A67" s="14" t="s">
        <v>131</v>
      </c>
      <c r="B67" s="13" t="s">
        <v>163</v>
      </c>
      <c r="C67" s="14" t="s">
        <v>164</v>
      </c>
      <c r="D67" s="19" t="n">
        <v>3</v>
      </c>
      <c r="E67" s="19" t="n">
        <f aca="false">ROUND(Towers!$C$9*POWER(Tuning!$B$12,D67),0)</f>
        <v>12167</v>
      </c>
      <c r="F67" s="19" t="n">
        <f aca="false">F66+E67</f>
        <v>20757</v>
      </c>
      <c r="G67" s="20" t="n">
        <v>1</v>
      </c>
      <c r="H67" s="20" t="n">
        <v>1</v>
      </c>
      <c r="I67" s="20" t="n">
        <v>1</v>
      </c>
      <c r="J67" s="16" t="n">
        <v>0</v>
      </c>
      <c r="K67" s="14" t="s">
        <v>165</v>
      </c>
    </row>
    <row r="68" customFormat="false" ht="15" hidden="false" customHeight="false" outlineLevel="0" collapsed="false">
      <c r="A68" s="14" t="s">
        <v>131</v>
      </c>
      <c r="B68" s="13" t="s">
        <v>163</v>
      </c>
      <c r="C68" s="14" t="s">
        <v>164</v>
      </c>
      <c r="D68" s="19" t="n">
        <v>4</v>
      </c>
      <c r="E68" s="19" t="n">
        <f aca="false">ROUND(Towers!$C$9*POWER(Tuning!$B$12,D68),0)</f>
        <v>27984</v>
      </c>
      <c r="F68" s="19" t="n">
        <f aca="false">F67+E68</f>
        <v>48741</v>
      </c>
      <c r="G68" s="20" t="n">
        <v>1</v>
      </c>
      <c r="H68" s="20" t="n">
        <v>1</v>
      </c>
      <c r="I68" s="20" t="n">
        <v>1</v>
      </c>
      <c r="J68" s="16" t="n">
        <v>0</v>
      </c>
      <c r="K68" s="14" t="s">
        <v>165</v>
      </c>
    </row>
    <row r="69" customFormat="false" ht="15" hidden="false" customHeight="false" outlineLevel="0" collapsed="false">
      <c r="A69" s="14" t="s">
        <v>131</v>
      </c>
      <c r="B69" s="13" t="s">
        <v>163</v>
      </c>
      <c r="C69" s="14" t="s">
        <v>164</v>
      </c>
      <c r="D69" s="19" t="n">
        <v>5</v>
      </c>
      <c r="E69" s="19" t="n">
        <f aca="false">ROUND(Towers!$C$9*POWER(Tuning!$B$12,D69),0)</f>
        <v>64363</v>
      </c>
      <c r="F69" s="19" t="n">
        <f aca="false">F68+E69</f>
        <v>113104</v>
      </c>
      <c r="G69" s="20" t="n">
        <v>1</v>
      </c>
      <c r="H69" s="20" t="n">
        <v>1</v>
      </c>
      <c r="I69" s="20" t="n">
        <v>1</v>
      </c>
      <c r="J69" s="16" t="n">
        <v>0</v>
      </c>
      <c r="K69" s="14" t="s">
        <v>165</v>
      </c>
    </row>
    <row r="70" customFormat="false" ht="15" hidden="false" customHeight="false" outlineLevel="0" collapsed="false">
      <c r="A70" s="14" t="s">
        <v>131</v>
      </c>
      <c r="B70" s="13" t="s">
        <v>166</v>
      </c>
      <c r="C70" s="14" t="s">
        <v>164</v>
      </c>
      <c r="D70" s="19" t="n">
        <v>1</v>
      </c>
      <c r="E70" s="19" t="n">
        <f aca="false">ROUND(Towers!$C$9*POWER(Tuning!$B$12,D70),0)</f>
        <v>2300</v>
      </c>
      <c r="F70" s="19" t="n">
        <f aca="false">Towers!$C$9+E70</f>
        <v>3300</v>
      </c>
      <c r="G70" s="20" t="n">
        <v>1</v>
      </c>
      <c r="H70" s="20" t="n">
        <v>1</v>
      </c>
      <c r="I70" s="20" t="n">
        <v>1</v>
      </c>
      <c r="J70" s="16" t="n">
        <v>0</v>
      </c>
      <c r="K70" s="14" t="s">
        <v>165</v>
      </c>
    </row>
    <row r="71" customFormat="false" ht="15" hidden="false" customHeight="false" outlineLevel="0" collapsed="false">
      <c r="A71" s="14" t="s">
        <v>131</v>
      </c>
      <c r="B71" s="13" t="s">
        <v>166</v>
      </c>
      <c r="C71" s="14" t="s">
        <v>164</v>
      </c>
      <c r="D71" s="19" t="n">
        <v>2</v>
      </c>
      <c r="E71" s="19" t="n">
        <f aca="false">ROUND(Towers!$C$9*POWER(Tuning!$B$12,D71),0)</f>
        <v>5290</v>
      </c>
      <c r="F71" s="19" t="n">
        <f aca="false">F70+E71</f>
        <v>8590</v>
      </c>
      <c r="G71" s="20" t="n">
        <v>1</v>
      </c>
      <c r="H71" s="20" t="n">
        <v>1</v>
      </c>
      <c r="I71" s="20" t="n">
        <v>1</v>
      </c>
      <c r="J71" s="16" t="n">
        <v>0</v>
      </c>
      <c r="K71" s="14" t="s">
        <v>165</v>
      </c>
    </row>
    <row r="72" customFormat="false" ht="15" hidden="false" customHeight="false" outlineLevel="0" collapsed="false">
      <c r="A72" s="14" t="s">
        <v>131</v>
      </c>
      <c r="B72" s="13" t="s">
        <v>166</v>
      </c>
      <c r="C72" s="14" t="s">
        <v>164</v>
      </c>
      <c r="D72" s="19" t="n">
        <v>3</v>
      </c>
      <c r="E72" s="19" t="n">
        <f aca="false">ROUND(Towers!$C$9*POWER(Tuning!$B$12,D72),0)</f>
        <v>12167</v>
      </c>
      <c r="F72" s="19" t="n">
        <f aca="false">F71+E72</f>
        <v>20757</v>
      </c>
      <c r="G72" s="20" t="n">
        <v>1</v>
      </c>
      <c r="H72" s="20" t="n">
        <v>1</v>
      </c>
      <c r="I72" s="20" t="n">
        <v>1</v>
      </c>
      <c r="J72" s="16" t="n">
        <v>0</v>
      </c>
      <c r="K72" s="14" t="s">
        <v>165</v>
      </c>
    </row>
    <row r="73" customFormat="false" ht="15" hidden="false" customHeight="false" outlineLevel="0" collapsed="false">
      <c r="A73" s="14" t="s">
        <v>131</v>
      </c>
      <c r="B73" s="13" t="s">
        <v>166</v>
      </c>
      <c r="C73" s="14" t="s">
        <v>164</v>
      </c>
      <c r="D73" s="19" t="n">
        <v>4</v>
      </c>
      <c r="E73" s="19" t="n">
        <f aca="false">ROUND(Towers!$C$9*POWER(Tuning!$B$12,D73),0)</f>
        <v>27984</v>
      </c>
      <c r="F73" s="19" t="n">
        <f aca="false">F72+E73</f>
        <v>48741</v>
      </c>
      <c r="G73" s="20" t="n">
        <v>1</v>
      </c>
      <c r="H73" s="20" t="n">
        <v>1</v>
      </c>
      <c r="I73" s="20" t="n">
        <v>1</v>
      </c>
      <c r="J73" s="16" t="n">
        <v>0</v>
      </c>
      <c r="K73" s="14" t="s">
        <v>165</v>
      </c>
    </row>
    <row r="74" customFormat="false" ht="15" hidden="false" customHeight="false" outlineLevel="0" collapsed="false">
      <c r="A74" s="14" t="s">
        <v>131</v>
      </c>
      <c r="B74" s="13" t="s">
        <v>166</v>
      </c>
      <c r="C74" s="14" t="s">
        <v>164</v>
      </c>
      <c r="D74" s="19" t="n">
        <v>5</v>
      </c>
      <c r="E74" s="19" t="n">
        <f aca="false">ROUND(Towers!$C$9*POWER(Tuning!$B$12,D74),0)</f>
        <v>64363</v>
      </c>
      <c r="F74" s="19" t="n">
        <f aca="false">F73+E74</f>
        <v>113104</v>
      </c>
      <c r="G74" s="20" t="n">
        <v>1</v>
      </c>
      <c r="H74" s="20" t="n">
        <v>1</v>
      </c>
      <c r="I74" s="20" t="n">
        <v>1</v>
      </c>
      <c r="J74" s="16" t="n">
        <v>0</v>
      </c>
      <c r="K74" s="14" t="s">
        <v>165</v>
      </c>
    </row>
    <row r="75" customFormat="false" ht="15" hidden="false" customHeight="false" outlineLevel="0" collapsed="false">
      <c r="A75" s="14" t="s">
        <v>131</v>
      </c>
      <c r="B75" s="13" t="s">
        <v>167</v>
      </c>
      <c r="C75" s="14" t="s">
        <v>164</v>
      </c>
      <c r="D75" s="19" t="n">
        <v>1</v>
      </c>
      <c r="E75" s="19" t="n">
        <f aca="false">ROUND(Towers!$C$9*POWER(Tuning!$B$12,D75),0)</f>
        <v>2300</v>
      </c>
      <c r="F75" s="19" t="n">
        <f aca="false">Towers!$C$9+E75</f>
        <v>3300</v>
      </c>
      <c r="G75" s="20" t="n">
        <v>1</v>
      </c>
      <c r="H75" s="20" t="n">
        <v>1</v>
      </c>
      <c r="I75" s="20" t="n">
        <v>1</v>
      </c>
      <c r="J75" s="16" t="n">
        <v>0</v>
      </c>
      <c r="K75" s="14" t="s">
        <v>165</v>
      </c>
    </row>
    <row r="76" customFormat="false" ht="15" hidden="false" customHeight="false" outlineLevel="0" collapsed="false">
      <c r="A76" s="14" t="s">
        <v>131</v>
      </c>
      <c r="B76" s="13" t="s">
        <v>167</v>
      </c>
      <c r="C76" s="14" t="s">
        <v>164</v>
      </c>
      <c r="D76" s="19" t="n">
        <v>2</v>
      </c>
      <c r="E76" s="19" t="n">
        <f aca="false">ROUND(Towers!$C$9*POWER(Tuning!$B$12,D76),0)</f>
        <v>5290</v>
      </c>
      <c r="F76" s="19" t="n">
        <f aca="false">F75+E76</f>
        <v>8590</v>
      </c>
      <c r="G76" s="20" t="n">
        <v>1</v>
      </c>
      <c r="H76" s="20" t="n">
        <v>1</v>
      </c>
      <c r="I76" s="20" t="n">
        <v>1</v>
      </c>
      <c r="J76" s="16" t="n">
        <v>0</v>
      </c>
      <c r="K76" s="14" t="s">
        <v>165</v>
      </c>
    </row>
    <row r="77" customFormat="false" ht="15" hidden="false" customHeight="false" outlineLevel="0" collapsed="false">
      <c r="A77" s="14" t="s">
        <v>131</v>
      </c>
      <c r="B77" s="13" t="s">
        <v>167</v>
      </c>
      <c r="C77" s="14" t="s">
        <v>164</v>
      </c>
      <c r="D77" s="19" t="n">
        <v>3</v>
      </c>
      <c r="E77" s="19" t="n">
        <f aca="false">ROUND(Towers!$C$9*POWER(Tuning!$B$12,D77),0)</f>
        <v>12167</v>
      </c>
      <c r="F77" s="19" t="n">
        <f aca="false">F76+E77</f>
        <v>20757</v>
      </c>
      <c r="G77" s="20" t="n">
        <v>1</v>
      </c>
      <c r="H77" s="20" t="n">
        <v>1</v>
      </c>
      <c r="I77" s="20" t="n">
        <v>1</v>
      </c>
      <c r="J77" s="16" t="n">
        <v>0</v>
      </c>
      <c r="K77" s="14" t="s">
        <v>165</v>
      </c>
    </row>
    <row r="78" customFormat="false" ht="15" hidden="false" customHeight="false" outlineLevel="0" collapsed="false">
      <c r="A78" s="14" t="s">
        <v>131</v>
      </c>
      <c r="B78" s="13" t="s">
        <v>167</v>
      </c>
      <c r="C78" s="14" t="s">
        <v>164</v>
      </c>
      <c r="D78" s="19" t="n">
        <v>4</v>
      </c>
      <c r="E78" s="19" t="n">
        <f aca="false">ROUND(Towers!$C$9*POWER(Tuning!$B$12,D78),0)</f>
        <v>27984</v>
      </c>
      <c r="F78" s="19" t="n">
        <f aca="false">F77+E78</f>
        <v>48741</v>
      </c>
      <c r="G78" s="20" t="n">
        <v>1</v>
      </c>
      <c r="H78" s="20" t="n">
        <v>1</v>
      </c>
      <c r="I78" s="20" t="n">
        <v>1</v>
      </c>
      <c r="J78" s="16" t="n">
        <v>0</v>
      </c>
      <c r="K78" s="14" t="s">
        <v>165</v>
      </c>
    </row>
    <row r="79" customFormat="false" ht="15" hidden="false" customHeight="false" outlineLevel="0" collapsed="false">
      <c r="A79" s="14" t="s">
        <v>131</v>
      </c>
      <c r="B79" s="13" t="s">
        <v>167</v>
      </c>
      <c r="C79" s="14" t="s">
        <v>164</v>
      </c>
      <c r="D79" s="19" t="n">
        <v>5</v>
      </c>
      <c r="E79" s="19" t="n">
        <f aca="false">ROUND(Towers!$C$9*POWER(Tuning!$B$12,D79),0)</f>
        <v>64363</v>
      </c>
      <c r="F79" s="19" t="n">
        <f aca="false">F78+E79</f>
        <v>113104</v>
      </c>
      <c r="G79" s="20" t="n">
        <v>1</v>
      </c>
      <c r="H79" s="20" t="n">
        <v>1</v>
      </c>
      <c r="I79" s="20" t="n">
        <v>1</v>
      </c>
      <c r="J79" s="16" t="n">
        <v>0</v>
      </c>
      <c r="K79" s="1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27.75" hidden="false" customHeight="true" outlineLevel="0" collapsed="false">
      <c r="A4" s="6" t="s">
        <v>170</v>
      </c>
      <c r="B4" s="6" t="s">
        <v>171</v>
      </c>
      <c r="C4" s="6" t="s">
        <v>140</v>
      </c>
      <c r="D4" s="6" t="s">
        <v>172</v>
      </c>
      <c r="E4" s="6" t="s">
        <v>108</v>
      </c>
      <c r="F4" s="6" t="s">
        <v>173</v>
      </c>
      <c r="G4" s="6" t="s">
        <v>109</v>
      </c>
      <c r="H4" s="6" t="s">
        <v>110</v>
      </c>
      <c r="I4" s="6" t="s">
        <v>174</v>
      </c>
      <c r="J4" s="6" t="s">
        <v>175</v>
      </c>
      <c r="K4" s="6" t="s">
        <v>176</v>
      </c>
      <c r="L4" s="6" t="s">
        <v>177</v>
      </c>
    </row>
    <row r="5" customFormat="false" ht="15" hidden="false" customHeight="false" outlineLevel="0" collapsed="false">
      <c r="A5" s="13" t="s">
        <v>178</v>
      </c>
      <c r="B5" s="21" t="s">
        <v>179</v>
      </c>
      <c r="C5" s="19" t="n">
        <v>1</v>
      </c>
      <c r="D5" s="14" t="s">
        <v>180</v>
      </c>
      <c r="E5" s="19" t="n">
        <f aca="false">ROUND(Tuning!$B$21*POWER(Tuning!$B$22,C5-1),0)</f>
        <v>300</v>
      </c>
      <c r="F5" s="19" t="n">
        <f aca="false">E5</f>
        <v>300</v>
      </c>
      <c r="G5" s="16" t="n">
        <f aca="false">ROUND(6*POWER(Tuning!$B$23,C5-1),1)</f>
        <v>6</v>
      </c>
      <c r="H5" s="20" t="n">
        <v>1.1</v>
      </c>
      <c r="I5" s="22" t="n">
        <v>1</v>
      </c>
      <c r="J5" s="16" t="n">
        <f aca="false">G5*H5*I5</f>
        <v>6.6</v>
      </c>
      <c r="K5" s="19"/>
      <c r="L5" s="18" t="s">
        <v>181</v>
      </c>
    </row>
    <row r="6" customFormat="false" ht="15" hidden="false" customHeight="false" outlineLevel="0" collapsed="false">
      <c r="A6" s="13" t="s">
        <v>178</v>
      </c>
      <c r="B6" s="14" t="s">
        <v>182</v>
      </c>
      <c r="C6" s="19" t="n">
        <v>2</v>
      </c>
      <c r="D6" s="14" t="s">
        <v>183</v>
      </c>
      <c r="E6" s="19" t="n">
        <f aca="false">ROUND(Tuning!$B$21*POWER(Tuning!$B$22,C6-1),0)</f>
        <v>705</v>
      </c>
      <c r="F6" s="19" t="n">
        <f aca="false">F5+E6</f>
        <v>1005</v>
      </c>
      <c r="G6" s="16" t="n">
        <f aca="false">ROUND(6*POWER(Tuning!$B$23,C6-1),1)</f>
        <v>8.1</v>
      </c>
      <c r="H6" s="20" t="n">
        <v>1.1</v>
      </c>
      <c r="I6" s="22" t="n">
        <v>1</v>
      </c>
      <c r="J6" s="16" t="n">
        <f aca="false">G6*H6*I6</f>
        <v>8.91</v>
      </c>
      <c r="K6" s="22" t="n">
        <v>40</v>
      </c>
      <c r="L6" s="18"/>
    </row>
    <row r="7" customFormat="false" ht="15" hidden="false" customHeight="false" outlineLevel="0" collapsed="false">
      <c r="A7" s="13" t="s">
        <v>178</v>
      </c>
      <c r="B7" s="14" t="s">
        <v>182</v>
      </c>
      <c r="C7" s="19" t="n">
        <v>3</v>
      </c>
      <c r="D7" s="14" t="s">
        <v>184</v>
      </c>
      <c r="E7" s="19" t="n">
        <f aca="false">ROUND(Tuning!$B$21*POWER(Tuning!$B$22,C7-1),0)</f>
        <v>1657</v>
      </c>
      <c r="F7" s="19" t="n">
        <f aca="false">F6+E7</f>
        <v>2662</v>
      </c>
      <c r="G7" s="16" t="n">
        <f aca="false">ROUND(6*POWER(Tuning!$B$23,C7-1),1)</f>
        <v>10.9</v>
      </c>
      <c r="H7" s="20" t="n">
        <v>1.1</v>
      </c>
      <c r="I7" s="22" t="n">
        <v>1</v>
      </c>
      <c r="J7" s="16" t="n">
        <f aca="false">G7*H7*I7</f>
        <v>11.99</v>
      </c>
      <c r="K7" s="22" t="n">
        <v>35</v>
      </c>
      <c r="L7" s="18"/>
    </row>
    <row r="8" customFormat="false" ht="15" hidden="false" customHeight="false" outlineLevel="0" collapsed="false">
      <c r="A8" s="13" t="s">
        <v>178</v>
      </c>
      <c r="B8" s="14" t="s">
        <v>182</v>
      </c>
      <c r="C8" s="19" t="n">
        <v>4</v>
      </c>
      <c r="D8" s="14" t="s">
        <v>185</v>
      </c>
      <c r="E8" s="19" t="n">
        <f aca="false">ROUND(Tuning!$B$21*POWER(Tuning!$B$22,C8-1),0)</f>
        <v>3893</v>
      </c>
      <c r="F8" s="19" t="n">
        <f aca="false">F7+E8</f>
        <v>6555</v>
      </c>
      <c r="G8" s="16" t="n">
        <f aca="false">ROUND(6*POWER(Tuning!$B$23,C8-1),1)</f>
        <v>14.8</v>
      </c>
      <c r="H8" s="20" t="n">
        <v>1.1</v>
      </c>
      <c r="I8" s="22" t="n">
        <v>1</v>
      </c>
      <c r="J8" s="16" t="n">
        <f aca="false">G8*H8*I8</f>
        <v>16.28</v>
      </c>
      <c r="K8" s="22" t="n">
        <v>30</v>
      </c>
      <c r="L8" s="18"/>
    </row>
    <row r="9" customFormat="false" ht="15" hidden="false" customHeight="false" outlineLevel="0" collapsed="false">
      <c r="A9" s="13" t="s">
        <v>178</v>
      </c>
      <c r="B9" s="14" t="s">
        <v>182</v>
      </c>
      <c r="C9" s="19" t="n">
        <v>5</v>
      </c>
      <c r="D9" s="14" t="s">
        <v>186</v>
      </c>
      <c r="E9" s="19" t="n">
        <f aca="false">ROUND(Tuning!$B$21*POWER(Tuning!$B$22,C9-1),0)</f>
        <v>9149</v>
      </c>
      <c r="F9" s="19" t="n">
        <f aca="false">F8+E9</f>
        <v>15704</v>
      </c>
      <c r="G9" s="16" t="n">
        <f aca="false">ROUND(6*POWER(Tuning!$B$23,C9-1),1)</f>
        <v>19.9</v>
      </c>
      <c r="H9" s="20" t="n">
        <v>1.1</v>
      </c>
      <c r="I9" s="22" t="n">
        <v>2</v>
      </c>
      <c r="J9" s="16" t="n">
        <f aca="false">G9*H9*I9</f>
        <v>43.78</v>
      </c>
      <c r="K9" s="22" t="n">
        <v>25</v>
      </c>
      <c r="L9" s="18"/>
    </row>
    <row r="10" customFormat="false" ht="15" hidden="false" customHeight="false" outlineLevel="0" collapsed="false">
      <c r="A10" s="13" t="s">
        <v>187</v>
      </c>
      <c r="B10" s="21" t="s">
        <v>179</v>
      </c>
      <c r="C10" s="19" t="n">
        <v>1</v>
      </c>
      <c r="D10" s="14" t="s">
        <v>188</v>
      </c>
      <c r="E10" s="19" t="n">
        <f aca="false">ROUND(Tuning!$B$21*POWER(Tuning!$B$22,C10-1),0)</f>
        <v>300</v>
      </c>
      <c r="F10" s="19" t="n">
        <f aca="false">E10</f>
        <v>300</v>
      </c>
      <c r="G10" s="16" t="n">
        <f aca="false">ROUND(1.2*POWER(Tuning!$B$23,C10-1),1)</f>
        <v>1.2</v>
      </c>
      <c r="H10" s="20" t="n">
        <v>8</v>
      </c>
      <c r="I10" s="22" t="n">
        <v>1</v>
      </c>
      <c r="J10" s="16" t="n">
        <f aca="false">G10*H10*I10</f>
        <v>9.6</v>
      </c>
      <c r="K10" s="19"/>
      <c r="L10" s="18" t="s">
        <v>189</v>
      </c>
    </row>
    <row r="11" customFormat="false" ht="15" hidden="false" customHeight="false" outlineLevel="0" collapsed="false">
      <c r="A11" s="13" t="s">
        <v>187</v>
      </c>
      <c r="B11" s="14" t="s">
        <v>190</v>
      </c>
      <c r="C11" s="19" t="n">
        <v>2</v>
      </c>
      <c r="D11" s="14" t="s">
        <v>191</v>
      </c>
      <c r="E11" s="19" t="n">
        <f aca="false">ROUND(Tuning!$B$21*POWER(Tuning!$B$22,C11-1),0)</f>
        <v>705</v>
      </c>
      <c r="F11" s="19" t="n">
        <f aca="false">F10+E11</f>
        <v>1005</v>
      </c>
      <c r="G11" s="16" t="n">
        <f aca="false">ROUND(1.2*POWER(Tuning!$B$23,C11-1),1)</f>
        <v>1.6</v>
      </c>
      <c r="H11" s="20" t="n">
        <v>8</v>
      </c>
      <c r="I11" s="22" t="n">
        <v>1</v>
      </c>
      <c r="J11" s="16" t="n">
        <f aca="false">G11*H11*I11</f>
        <v>12.8</v>
      </c>
      <c r="K11" s="22" t="n">
        <v>40</v>
      </c>
      <c r="L11" s="18"/>
    </row>
    <row r="12" customFormat="false" ht="15" hidden="false" customHeight="false" outlineLevel="0" collapsed="false">
      <c r="A12" s="13" t="s">
        <v>187</v>
      </c>
      <c r="B12" s="14" t="s">
        <v>190</v>
      </c>
      <c r="C12" s="19" t="n">
        <v>3</v>
      </c>
      <c r="D12" s="14" t="s">
        <v>192</v>
      </c>
      <c r="E12" s="19" t="n">
        <f aca="false">ROUND(Tuning!$B$21*POWER(Tuning!$B$22,C12-1),0)</f>
        <v>1657</v>
      </c>
      <c r="F12" s="19" t="n">
        <f aca="false">F11+E12</f>
        <v>2662</v>
      </c>
      <c r="G12" s="16" t="n">
        <f aca="false">ROUND(1.2*POWER(Tuning!$B$23,C12-1),1)</f>
        <v>2.2</v>
      </c>
      <c r="H12" s="20" t="n">
        <v>8</v>
      </c>
      <c r="I12" s="22" t="n">
        <v>1</v>
      </c>
      <c r="J12" s="16" t="n">
        <f aca="false">G12*H12*I12</f>
        <v>17.6</v>
      </c>
      <c r="K12" s="22" t="n">
        <v>35</v>
      </c>
      <c r="L12" s="18"/>
    </row>
    <row r="13" customFormat="false" ht="15" hidden="false" customHeight="false" outlineLevel="0" collapsed="false">
      <c r="A13" s="13" t="s">
        <v>187</v>
      </c>
      <c r="B13" s="14" t="s">
        <v>190</v>
      </c>
      <c r="C13" s="19" t="n">
        <v>4</v>
      </c>
      <c r="D13" s="14" t="s">
        <v>193</v>
      </c>
      <c r="E13" s="19" t="n">
        <f aca="false">ROUND(Tuning!$B$21*POWER(Tuning!$B$22,C13-1),0)</f>
        <v>3893</v>
      </c>
      <c r="F13" s="19" t="n">
        <f aca="false">F12+E13</f>
        <v>6555</v>
      </c>
      <c r="G13" s="16" t="n">
        <f aca="false">ROUND(1.2*POWER(Tuning!$B$23,C13-1),1)</f>
        <v>3</v>
      </c>
      <c r="H13" s="20" t="n">
        <v>8</v>
      </c>
      <c r="I13" s="22" t="n">
        <v>1</v>
      </c>
      <c r="J13" s="16" t="n">
        <f aca="false">G13*H13*I13</f>
        <v>24</v>
      </c>
      <c r="K13" s="22" t="n">
        <v>30</v>
      </c>
      <c r="L13" s="18"/>
    </row>
    <row r="14" customFormat="false" ht="15" hidden="false" customHeight="false" outlineLevel="0" collapsed="false">
      <c r="A14" s="13" t="s">
        <v>187</v>
      </c>
      <c r="B14" s="14" t="s">
        <v>190</v>
      </c>
      <c r="C14" s="19" t="n">
        <v>5</v>
      </c>
      <c r="D14" s="14" t="s">
        <v>194</v>
      </c>
      <c r="E14" s="19" t="n">
        <f aca="false">ROUND(Tuning!$B$21*POWER(Tuning!$B$22,C14-1),0)</f>
        <v>9149</v>
      </c>
      <c r="F14" s="19" t="n">
        <f aca="false">F13+E14</f>
        <v>15704</v>
      </c>
      <c r="G14" s="16" t="n">
        <f aca="false">ROUND(1.2*POWER(Tuning!$B$23,C14-1),1)</f>
        <v>4</v>
      </c>
      <c r="H14" s="20" t="n">
        <v>8</v>
      </c>
      <c r="I14" s="22" t="n">
        <v>1</v>
      </c>
      <c r="J14" s="16" t="n">
        <f aca="false">G14*H14*I14</f>
        <v>32</v>
      </c>
      <c r="K14" s="22" t="n">
        <v>25</v>
      </c>
      <c r="L14" s="18"/>
    </row>
    <row r="15" customFormat="false" ht="15" hidden="false" customHeight="false" outlineLevel="0" collapsed="false">
      <c r="A15" s="13" t="s">
        <v>195</v>
      </c>
      <c r="B15" s="21" t="s">
        <v>179</v>
      </c>
      <c r="C15" s="19" t="n">
        <v>1</v>
      </c>
      <c r="D15" s="14" t="s">
        <v>196</v>
      </c>
      <c r="E15" s="19" t="n">
        <f aca="false">ROUND(Tuning!$B$21*POWER(Tuning!$B$22,C15-1),0)</f>
        <v>300</v>
      </c>
      <c r="F15" s="19" t="n">
        <f aca="false">E15</f>
        <v>300</v>
      </c>
      <c r="G15" s="16" t="n">
        <f aca="false">ROUND(4*POWER(Tuning!$B$23,C15-1),1)</f>
        <v>4</v>
      </c>
      <c r="H15" s="20" t="n">
        <v>1.3</v>
      </c>
      <c r="I15" s="22" t="n">
        <v>2</v>
      </c>
      <c r="J15" s="16" t="n">
        <f aca="false">G15*H15*I15</f>
        <v>10.4</v>
      </c>
      <c r="K15" s="19"/>
      <c r="L15" s="18" t="s">
        <v>197</v>
      </c>
    </row>
    <row r="16" customFormat="false" ht="15" hidden="false" customHeight="false" outlineLevel="0" collapsed="false">
      <c r="A16" s="13" t="s">
        <v>195</v>
      </c>
      <c r="B16" s="14" t="s">
        <v>198</v>
      </c>
      <c r="C16" s="19" t="n">
        <v>2</v>
      </c>
      <c r="D16" s="14" t="s">
        <v>199</v>
      </c>
      <c r="E16" s="19" t="n">
        <f aca="false">ROUND(Tuning!$B$21*POWER(Tuning!$B$22,C16-1),0)</f>
        <v>705</v>
      </c>
      <c r="F16" s="19" t="n">
        <f aca="false">F15+E16</f>
        <v>1005</v>
      </c>
      <c r="G16" s="16" t="n">
        <f aca="false">ROUND(4*POWER(Tuning!$B$23,C16-1),1)</f>
        <v>5.4</v>
      </c>
      <c r="H16" s="20" t="n">
        <v>1.3</v>
      </c>
      <c r="I16" s="22" t="n">
        <v>2</v>
      </c>
      <c r="J16" s="16" t="n">
        <f aca="false">G16*H16*I16</f>
        <v>14.04</v>
      </c>
      <c r="K16" s="22" t="n">
        <v>40</v>
      </c>
      <c r="L16" s="18"/>
    </row>
    <row r="17" customFormat="false" ht="15" hidden="false" customHeight="false" outlineLevel="0" collapsed="false">
      <c r="A17" s="13" t="s">
        <v>195</v>
      </c>
      <c r="B17" s="14" t="s">
        <v>198</v>
      </c>
      <c r="C17" s="19" t="n">
        <v>3</v>
      </c>
      <c r="D17" s="14" t="s">
        <v>200</v>
      </c>
      <c r="E17" s="19" t="n">
        <f aca="false">ROUND(Tuning!$B$21*POWER(Tuning!$B$22,C17-1),0)</f>
        <v>1657</v>
      </c>
      <c r="F17" s="19" t="n">
        <f aca="false">F16+E17</f>
        <v>2662</v>
      </c>
      <c r="G17" s="16" t="n">
        <f aca="false">ROUND(4*POWER(Tuning!$B$23,C17-1),1)</f>
        <v>7.3</v>
      </c>
      <c r="H17" s="20" t="n">
        <v>1.3</v>
      </c>
      <c r="I17" s="22" t="n">
        <v>3</v>
      </c>
      <c r="J17" s="16" t="n">
        <f aca="false">G17*H17*I17</f>
        <v>28.47</v>
      </c>
      <c r="K17" s="22" t="n">
        <v>35</v>
      </c>
      <c r="L17" s="18"/>
    </row>
    <row r="18" customFormat="false" ht="15" hidden="false" customHeight="false" outlineLevel="0" collapsed="false">
      <c r="A18" s="13" t="s">
        <v>195</v>
      </c>
      <c r="B18" s="14" t="s">
        <v>198</v>
      </c>
      <c r="C18" s="19" t="n">
        <v>4</v>
      </c>
      <c r="D18" s="14" t="s">
        <v>201</v>
      </c>
      <c r="E18" s="19" t="n">
        <f aca="false">ROUND(Tuning!$B$21*POWER(Tuning!$B$22,C18-1),0)</f>
        <v>3893</v>
      </c>
      <c r="F18" s="19" t="n">
        <f aca="false">F17+E18</f>
        <v>6555</v>
      </c>
      <c r="G18" s="16" t="n">
        <f aca="false">ROUND(4*POWER(Tuning!$B$23,C18-1),1)</f>
        <v>9.8</v>
      </c>
      <c r="H18" s="20" t="n">
        <v>1.3</v>
      </c>
      <c r="I18" s="22" t="n">
        <v>3</v>
      </c>
      <c r="J18" s="16" t="n">
        <f aca="false">G18*H18*I18</f>
        <v>38.22</v>
      </c>
      <c r="K18" s="22" t="n">
        <v>30</v>
      </c>
      <c r="L18" s="18"/>
    </row>
    <row r="19" customFormat="false" ht="15" hidden="false" customHeight="false" outlineLevel="0" collapsed="false">
      <c r="A19" s="13" t="s">
        <v>195</v>
      </c>
      <c r="B19" s="14" t="s">
        <v>198</v>
      </c>
      <c r="C19" s="19" t="n">
        <v>5</v>
      </c>
      <c r="D19" s="14" t="s">
        <v>202</v>
      </c>
      <c r="E19" s="19" t="n">
        <f aca="false">ROUND(Tuning!$B$21*POWER(Tuning!$B$22,C19-1),0)</f>
        <v>9149</v>
      </c>
      <c r="F19" s="19" t="n">
        <f aca="false">F18+E19</f>
        <v>15704</v>
      </c>
      <c r="G19" s="16" t="n">
        <f aca="false">ROUND(4*POWER(Tuning!$B$23,C19-1),1)</f>
        <v>13.3</v>
      </c>
      <c r="H19" s="20" t="n">
        <v>1.3</v>
      </c>
      <c r="I19" s="22" t="n">
        <v>3</v>
      </c>
      <c r="J19" s="16" t="n">
        <f aca="false">G19*H19*I19</f>
        <v>51.87</v>
      </c>
      <c r="K19" s="22" t="n">
        <v>25</v>
      </c>
      <c r="L19" s="18"/>
    </row>
    <row r="21" customFormat="false" ht="15" hidden="false" customHeight="false" outlineLevel="0" collapsed="false">
      <c r="A21" s="5" t="s">
        <v>203</v>
      </c>
    </row>
    <row r="22" customFormat="false" ht="15" hidden="false" customHeight="false" outlineLevel="0" collapsed="false">
      <c r="A22" s="11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86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27.75" hidden="false" customHeight="true" outlineLevel="0" collapsed="false">
      <c r="A4" s="6" t="s">
        <v>207</v>
      </c>
      <c r="B4" s="6" t="s">
        <v>208</v>
      </c>
      <c r="C4" s="6" t="s">
        <v>209</v>
      </c>
      <c r="D4" s="6" t="s">
        <v>210</v>
      </c>
      <c r="E4" s="6" t="s">
        <v>211</v>
      </c>
    </row>
    <row r="5" customFormat="false" ht="15" hidden="false" customHeight="false" outlineLevel="0" collapsed="false">
      <c r="A5" s="19" t="n">
        <v>1</v>
      </c>
      <c r="B5" s="19" t="n">
        <f aca="false">ROUND(Tuning!$B$27*POWER(Tuning!$B$28,A5-1),0)</f>
        <v>25</v>
      </c>
      <c r="C5" s="19" t="n">
        <f aca="false">B5</f>
        <v>25</v>
      </c>
      <c r="D5" s="16" t="n">
        <f aca="false">ROUND(C5/(Tuning!$B$25+Tuning!$B$26*25),1)</f>
        <v>0.6</v>
      </c>
      <c r="E5" s="23" t="s">
        <v>212</v>
      </c>
    </row>
    <row r="6" customFormat="false" ht="15" hidden="false" customHeight="false" outlineLevel="0" collapsed="false">
      <c r="A6" s="19" t="n">
        <v>2</v>
      </c>
      <c r="B6" s="19" t="n">
        <f aca="false">ROUND(Tuning!$B$27*POWER(Tuning!$B$28,A6-1),0)</f>
        <v>30</v>
      </c>
      <c r="C6" s="19" t="n">
        <f aca="false">C5+B6</f>
        <v>55</v>
      </c>
      <c r="D6" s="16" t="n">
        <f aca="false">ROUND(C6/(Tuning!$B$25+Tuning!$B$26*25),1)</f>
        <v>1.3</v>
      </c>
      <c r="E6" s="23" t="s">
        <v>213</v>
      </c>
    </row>
    <row r="7" customFormat="false" ht="15" hidden="false" customHeight="false" outlineLevel="0" collapsed="false">
      <c r="A7" s="19" t="n">
        <v>3</v>
      </c>
      <c r="B7" s="19" t="n">
        <f aca="false">ROUND(Tuning!$B$27*POWER(Tuning!$B$28,A7-1),0)</f>
        <v>35</v>
      </c>
      <c r="C7" s="19" t="n">
        <f aca="false">C6+B7</f>
        <v>90</v>
      </c>
      <c r="D7" s="16" t="n">
        <f aca="false">ROUND(C7/(Tuning!$B$25+Tuning!$B$26*25),1)</f>
        <v>2.1</v>
      </c>
      <c r="E7" s="23" t="s">
        <v>214</v>
      </c>
    </row>
    <row r="8" customFormat="false" ht="15" hidden="false" customHeight="false" outlineLevel="0" collapsed="false">
      <c r="A8" s="19" t="n">
        <v>4</v>
      </c>
      <c r="B8" s="19" t="n">
        <f aca="false">ROUND(Tuning!$B$27*POWER(Tuning!$B$28,A8-1),0)</f>
        <v>41</v>
      </c>
      <c r="C8" s="19" t="n">
        <f aca="false">C7+B8</f>
        <v>131</v>
      </c>
      <c r="D8" s="16" t="n">
        <f aca="false">ROUND(C8/(Tuning!$B$25+Tuning!$B$26*25),1)</f>
        <v>3.1</v>
      </c>
      <c r="E8" s="23" t="s">
        <v>215</v>
      </c>
    </row>
    <row r="9" customFormat="false" ht="15" hidden="false" customHeight="false" outlineLevel="0" collapsed="false">
      <c r="A9" s="24" t="n">
        <v>5</v>
      </c>
      <c r="B9" s="24" t="n">
        <f aca="false">ROUND(Tuning!$B$27*POWER(Tuning!$B$28,A9-1),0)</f>
        <v>48</v>
      </c>
      <c r="C9" s="24" t="n">
        <f aca="false">C8+B9</f>
        <v>179</v>
      </c>
      <c r="D9" s="25" t="n">
        <f aca="false">ROUND(C9/(Tuning!$B$25+Tuning!$B$26*25),1)</f>
        <v>4.2</v>
      </c>
      <c r="E9" s="26" t="s">
        <v>216</v>
      </c>
    </row>
    <row r="10" customFormat="false" ht="15" hidden="false" customHeight="false" outlineLevel="0" collapsed="false">
      <c r="A10" s="19" t="n">
        <v>6</v>
      </c>
      <c r="B10" s="19" t="n">
        <f aca="false">ROUND(Tuning!$B$27*POWER(Tuning!$B$28,A10-1),0)</f>
        <v>57</v>
      </c>
      <c r="C10" s="19" t="n">
        <f aca="false">C9+B10</f>
        <v>236</v>
      </c>
      <c r="D10" s="16" t="n">
        <f aca="false">ROUND(C10/(Tuning!$B$25+Tuning!$B$26*25),1)</f>
        <v>5.6</v>
      </c>
      <c r="E10" s="23"/>
    </row>
    <row r="11" customFormat="false" ht="15" hidden="false" customHeight="false" outlineLevel="0" collapsed="false">
      <c r="A11" s="19" t="n">
        <v>7</v>
      </c>
      <c r="B11" s="19" t="n">
        <f aca="false">ROUND(Tuning!$B$27*POWER(Tuning!$B$28,A11-1),0)</f>
        <v>67</v>
      </c>
      <c r="C11" s="19" t="n">
        <f aca="false">C10+B11</f>
        <v>303</v>
      </c>
      <c r="D11" s="16" t="n">
        <f aca="false">ROUND(C11/(Tuning!$B$25+Tuning!$B$26*25),1)</f>
        <v>7.1</v>
      </c>
      <c r="E11" s="23"/>
    </row>
    <row r="12" customFormat="false" ht="15" hidden="false" customHeight="false" outlineLevel="0" collapsed="false">
      <c r="A12" s="19" t="n">
        <v>8</v>
      </c>
      <c r="B12" s="19" t="n">
        <f aca="false">ROUND(Tuning!$B$27*POWER(Tuning!$B$28,A12-1),0)</f>
        <v>80</v>
      </c>
      <c r="C12" s="19" t="n">
        <f aca="false">C11+B12</f>
        <v>383</v>
      </c>
      <c r="D12" s="16" t="n">
        <f aca="false">ROUND(C12/(Tuning!$B$25+Tuning!$B$26*25),1)</f>
        <v>9</v>
      </c>
      <c r="E12" s="23"/>
    </row>
    <row r="13" customFormat="false" ht="15" hidden="false" customHeight="false" outlineLevel="0" collapsed="false">
      <c r="A13" s="19" t="n">
        <v>9</v>
      </c>
      <c r="B13" s="19" t="n">
        <f aca="false">ROUND(Tuning!$B$27*POWER(Tuning!$B$28,A13-1),0)</f>
        <v>94</v>
      </c>
      <c r="C13" s="19" t="n">
        <f aca="false">C12+B13</f>
        <v>477</v>
      </c>
      <c r="D13" s="16" t="n">
        <f aca="false">ROUND(C13/(Tuning!$B$25+Tuning!$B$26*25),1)</f>
        <v>11.2</v>
      </c>
      <c r="E13" s="23"/>
    </row>
    <row r="14" customFormat="false" ht="15" hidden="false" customHeight="false" outlineLevel="0" collapsed="false">
      <c r="A14" s="24" t="n">
        <v>10</v>
      </c>
      <c r="B14" s="24" t="n">
        <f aca="false">ROUND(Tuning!$B$27*POWER(Tuning!$B$28,A14-1),0)</f>
        <v>111</v>
      </c>
      <c r="C14" s="24" t="n">
        <f aca="false">C13+B14</f>
        <v>588</v>
      </c>
      <c r="D14" s="25" t="n">
        <f aca="false">ROUND(C14/(Tuning!$B$25+Tuning!$B$26*25),1)</f>
        <v>13.8</v>
      </c>
      <c r="E14" s="26" t="s">
        <v>217</v>
      </c>
    </row>
    <row r="15" customFormat="false" ht="15" hidden="false" customHeight="false" outlineLevel="0" collapsed="false">
      <c r="A15" s="19" t="n">
        <v>11</v>
      </c>
      <c r="B15" s="19" t="n">
        <f aca="false">ROUND(Tuning!$B$27*POWER(Tuning!$B$28,A15-1),0)</f>
        <v>131</v>
      </c>
      <c r="C15" s="19" t="n">
        <f aca="false">C14+B15</f>
        <v>719</v>
      </c>
      <c r="D15" s="16" t="n">
        <f aca="false">ROUND(C15/(Tuning!$B$25+Tuning!$B$26*25),1)</f>
        <v>16.9</v>
      </c>
      <c r="E15" s="23"/>
    </row>
    <row r="16" customFormat="false" ht="15" hidden="false" customHeight="false" outlineLevel="0" collapsed="false">
      <c r="A16" s="19" t="n">
        <v>12</v>
      </c>
      <c r="B16" s="19" t="n">
        <f aca="false">ROUND(Tuning!$B$27*POWER(Tuning!$B$28,A16-1),0)</f>
        <v>154</v>
      </c>
      <c r="C16" s="19" t="n">
        <f aca="false">C15+B16</f>
        <v>873</v>
      </c>
      <c r="D16" s="16" t="n">
        <f aca="false">ROUND(C16/(Tuning!$B$25+Tuning!$B$26*25),1)</f>
        <v>20.5</v>
      </c>
      <c r="E16" s="23"/>
    </row>
    <row r="17" customFormat="false" ht="15" hidden="false" customHeight="false" outlineLevel="0" collapsed="false">
      <c r="A17" s="19" t="n">
        <v>13</v>
      </c>
      <c r="B17" s="19" t="n">
        <f aca="false">ROUND(Tuning!$B$27*POWER(Tuning!$B$28,A17-1),0)</f>
        <v>182</v>
      </c>
      <c r="C17" s="19" t="n">
        <f aca="false">C16+B17</f>
        <v>1055</v>
      </c>
      <c r="D17" s="16" t="n">
        <f aca="false">ROUND(C17/(Tuning!$B$25+Tuning!$B$26*25),1)</f>
        <v>24.8</v>
      </c>
      <c r="E17" s="23"/>
    </row>
    <row r="18" customFormat="false" ht="15" hidden="false" customHeight="false" outlineLevel="0" collapsed="false">
      <c r="A18" s="19" t="n">
        <v>14</v>
      </c>
      <c r="B18" s="19" t="n">
        <f aca="false">ROUND(Tuning!$B$27*POWER(Tuning!$B$28,A18-1),0)</f>
        <v>215</v>
      </c>
      <c r="C18" s="19" t="n">
        <f aca="false">C17+B18</f>
        <v>1270</v>
      </c>
      <c r="D18" s="16" t="n">
        <f aca="false">ROUND(C18/(Tuning!$B$25+Tuning!$B$26*25),1)</f>
        <v>29.9</v>
      </c>
      <c r="E18" s="23"/>
    </row>
    <row r="19" customFormat="false" ht="15" hidden="false" customHeight="false" outlineLevel="0" collapsed="false">
      <c r="A19" s="24" t="n">
        <v>15</v>
      </c>
      <c r="B19" s="24" t="n">
        <f aca="false">ROUND(Tuning!$B$27*POWER(Tuning!$B$28,A19-1),0)</f>
        <v>254</v>
      </c>
      <c r="C19" s="24" t="n">
        <f aca="false">C18+B19</f>
        <v>1524</v>
      </c>
      <c r="D19" s="25" t="n">
        <f aca="false">ROUND(C19/(Tuning!$B$25+Tuning!$B$26*25),1)</f>
        <v>35.9</v>
      </c>
      <c r="E19" s="26" t="s">
        <v>218</v>
      </c>
    </row>
    <row r="20" customFormat="false" ht="15" hidden="false" customHeight="false" outlineLevel="0" collapsed="false">
      <c r="A20" s="19" t="n">
        <v>16</v>
      </c>
      <c r="B20" s="19" t="n">
        <f aca="false">ROUND(Tuning!$B$27*POWER(Tuning!$B$28,A20-1),0)</f>
        <v>299</v>
      </c>
      <c r="C20" s="19" t="n">
        <f aca="false">C19+B20</f>
        <v>1823</v>
      </c>
      <c r="D20" s="16" t="n">
        <f aca="false">ROUND(C20/(Tuning!$B$25+Tuning!$B$26*25),1)</f>
        <v>42.9</v>
      </c>
      <c r="E20" s="23"/>
    </row>
    <row r="21" customFormat="false" ht="15" hidden="false" customHeight="false" outlineLevel="0" collapsed="false">
      <c r="A21" s="19" t="n">
        <v>17</v>
      </c>
      <c r="B21" s="19" t="n">
        <f aca="false">ROUND(Tuning!$B$27*POWER(Tuning!$B$28,A21-1),0)</f>
        <v>353</v>
      </c>
      <c r="C21" s="19" t="n">
        <f aca="false">C20+B21</f>
        <v>2176</v>
      </c>
      <c r="D21" s="16" t="n">
        <f aca="false">ROUND(C21/(Tuning!$B$25+Tuning!$B$26*25),1)</f>
        <v>51.2</v>
      </c>
      <c r="E21" s="23"/>
    </row>
    <row r="22" customFormat="false" ht="15" hidden="false" customHeight="false" outlineLevel="0" collapsed="false">
      <c r="A22" s="19" t="n">
        <v>18</v>
      </c>
      <c r="B22" s="19" t="n">
        <f aca="false">ROUND(Tuning!$B$27*POWER(Tuning!$B$28,A22-1),0)</f>
        <v>417</v>
      </c>
      <c r="C22" s="19" t="n">
        <f aca="false">C21+B22</f>
        <v>2593</v>
      </c>
      <c r="D22" s="16" t="n">
        <f aca="false">ROUND(C22/(Tuning!$B$25+Tuning!$B$26*25),1)</f>
        <v>61</v>
      </c>
      <c r="E22" s="23"/>
    </row>
    <row r="23" customFormat="false" ht="15" hidden="false" customHeight="false" outlineLevel="0" collapsed="false">
      <c r="A23" s="19" t="n">
        <v>19</v>
      </c>
      <c r="B23" s="19" t="n">
        <f aca="false">ROUND(Tuning!$B$27*POWER(Tuning!$B$28,A23-1),0)</f>
        <v>492</v>
      </c>
      <c r="C23" s="19" t="n">
        <f aca="false">C22+B23</f>
        <v>3085</v>
      </c>
      <c r="D23" s="16" t="n">
        <f aca="false">ROUND(C23/(Tuning!$B$25+Tuning!$B$26*25),1)</f>
        <v>72.6</v>
      </c>
      <c r="E23" s="23"/>
    </row>
    <row r="24" customFormat="false" ht="15" hidden="false" customHeight="false" outlineLevel="0" collapsed="false">
      <c r="A24" s="24" t="n">
        <v>20</v>
      </c>
      <c r="B24" s="24" t="n">
        <f aca="false">ROUND(Tuning!$B$27*POWER(Tuning!$B$28,A24-1),0)</f>
        <v>580</v>
      </c>
      <c r="C24" s="24" t="n">
        <f aca="false">C23+B24</f>
        <v>3665</v>
      </c>
      <c r="D24" s="25" t="n">
        <f aca="false">ROUND(C24/(Tuning!$B$25+Tuning!$B$26*25),1)</f>
        <v>86.2</v>
      </c>
      <c r="E24" s="26" t="s">
        <v>219</v>
      </c>
    </row>
    <row r="26" customFormat="false" ht="15" hidden="false" customHeight="false" outlineLevel="0" collapsed="false">
      <c r="A26" s="27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27.75" hidden="false" customHeight="true" outlineLevel="0" collapsed="false">
      <c r="A4" s="6" t="s">
        <v>223</v>
      </c>
      <c r="B4" s="6" t="s">
        <v>224</v>
      </c>
      <c r="C4" s="6" t="s">
        <v>225</v>
      </c>
      <c r="D4" s="6" t="s">
        <v>226</v>
      </c>
      <c r="E4" s="6" t="s">
        <v>227</v>
      </c>
      <c r="F4" s="6" t="s">
        <v>228</v>
      </c>
      <c r="G4" s="6" t="s">
        <v>229</v>
      </c>
      <c r="H4" s="6" t="s">
        <v>230</v>
      </c>
      <c r="I4" s="6" t="s">
        <v>231</v>
      </c>
      <c r="J4" s="6" t="s">
        <v>232</v>
      </c>
      <c r="K4" s="6" t="s">
        <v>233</v>
      </c>
    </row>
    <row r="5" customFormat="false" ht="15" hidden="false" customHeight="false" outlineLevel="0" collapsed="false">
      <c r="A5" s="23" t="s">
        <v>234</v>
      </c>
      <c r="B5" s="13" t="s">
        <v>235</v>
      </c>
      <c r="C5" s="9" t="n">
        <v>1</v>
      </c>
      <c r="D5" s="16" t="n">
        <f aca="false">ROUND(C5*Tuning!$B$16,1)</f>
        <v>1</v>
      </c>
      <c r="E5" s="12" t="n">
        <v>1</v>
      </c>
      <c r="F5" s="14" t="s">
        <v>236</v>
      </c>
      <c r="G5" s="22" t="n">
        <v>0</v>
      </c>
      <c r="H5" s="16" t="n">
        <f aca="false">D5</f>
        <v>1</v>
      </c>
      <c r="I5" s="19" t="n">
        <f aca="false">ROUND(H5*Tuning!$B$8,0)</f>
        <v>0</v>
      </c>
      <c r="J5" s="17" t="s">
        <v>126</v>
      </c>
      <c r="K5" s="18" t="s">
        <v>237</v>
      </c>
    </row>
    <row r="6" customFormat="false" ht="15" hidden="false" customHeight="false" outlineLevel="0" collapsed="false">
      <c r="A6" s="23" t="s">
        <v>238</v>
      </c>
      <c r="B6" s="13" t="s">
        <v>239</v>
      </c>
      <c r="C6" s="9" t="n">
        <v>1</v>
      </c>
      <c r="D6" s="16" t="n">
        <f aca="false">ROUND(C6*Tuning!$B$16,1)</f>
        <v>1</v>
      </c>
      <c r="E6" s="12" t="n">
        <v>1.2</v>
      </c>
      <c r="F6" s="14" t="s">
        <v>234</v>
      </c>
      <c r="G6" s="22" t="n">
        <v>2</v>
      </c>
      <c r="H6" s="16" t="n">
        <f aca="false">D6+G6*H5</f>
        <v>3</v>
      </c>
      <c r="I6" s="19" t="n">
        <f aca="false">ROUND(H6*Tuning!$B$8,0)</f>
        <v>1</v>
      </c>
      <c r="J6" s="17" t="s">
        <v>126</v>
      </c>
      <c r="K6" s="18"/>
    </row>
    <row r="7" customFormat="false" ht="15" hidden="false" customHeight="false" outlineLevel="0" collapsed="false">
      <c r="A7" s="23" t="s">
        <v>240</v>
      </c>
      <c r="B7" s="13" t="s">
        <v>241</v>
      </c>
      <c r="C7" s="9" t="n">
        <v>2</v>
      </c>
      <c r="D7" s="16" t="n">
        <f aca="false">ROUND(C7*Tuning!$B$16,1)</f>
        <v>2</v>
      </c>
      <c r="E7" s="12" t="n">
        <v>1</v>
      </c>
      <c r="F7" s="14" t="s">
        <v>238</v>
      </c>
      <c r="G7" s="22" t="n">
        <v>2</v>
      </c>
      <c r="H7" s="16" t="n">
        <f aca="false">D7+G7*H6</f>
        <v>8</v>
      </c>
      <c r="I7" s="19" t="n">
        <f aca="false">ROUND(H7*Tuning!$B$8,0)</f>
        <v>3</v>
      </c>
      <c r="J7" s="17" t="s">
        <v>126</v>
      </c>
      <c r="K7" s="18"/>
    </row>
    <row r="8" customFormat="false" ht="15" hidden="false" customHeight="false" outlineLevel="0" collapsed="false">
      <c r="A8" s="23" t="s">
        <v>242</v>
      </c>
      <c r="B8" s="13" t="s">
        <v>243</v>
      </c>
      <c r="C8" s="9" t="n">
        <v>3</v>
      </c>
      <c r="D8" s="16" t="n">
        <f aca="false">ROUND(C8*Tuning!$B$16,1)</f>
        <v>3</v>
      </c>
      <c r="E8" s="12" t="n">
        <v>0.8</v>
      </c>
      <c r="F8" s="14" t="s">
        <v>240</v>
      </c>
      <c r="G8" s="22" t="n">
        <v>2</v>
      </c>
      <c r="H8" s="16" t="n">
        <f aca="false">D8+G8*H7</f>
        <v>19</v>
      </c>
      <c r="I8" s="19" t="n">
        <f aca="false">ROUND(H8*Tuning!$B$8,0)</f>
        <v>8</v>
      </c>
      <c r="J8" s="17" t="s">
        <v>126</v>
      </c>
      <c r="K8" s="18" t="s">
        <v>244</v>
      </c>
    </row>
    <row r="9" customFormat="false" ht="15" hidden="false" customHeight="false" outlineLevel="0" collapsed="false">
      <c r="A9" s="23" t="s">
        <v>245</v>
      </c>
      <c r="B9" s="13" t="s">
        <v>246</v>
      </c>
      <c r="C9" s="9" t="n">
        <v>4</v>
      </c>
      <c r="D9" s="16" t="n">
        <f aca="false">ROUND(C9*Tuning!$B$16,1)</f>
        <v>4</v>
      </c>
      <c r="E9" s="12" t="n">
        <v>1.4</v>
      </c>
      <c r="F9" s="14" t="s">
        <v>242</v>
      </c>
      <c r="G9" s="22" t="n">
        <v>3</v>
      </c>
      <c r="H9" s="16" t="n">
        <f aca="false">D9+G9*H8</f>
        <v>61</v>
      </c>
      <c r="I9" s="19" t="n">
        <f aca="false">ROUND(H9*Tuning!$B$8,0)</f>
        <v>26</v>
      </c>
      <c r="J9" s="17" t="s">
        <v>126</v>
      </c>
      <c r="K9" s="18" t="s">
        <v>247</v>
      </c>
    </row>
    <row r="10" customFormat="false" ht="15" hidden="false" customHeight="false" outlineLevel="0" collapsed="false">
      <c r="A10" s="23" t="s">
        <v>248</v>
      </c>
      <c r="B10" s="13" t="s">
        <v>249</v>
      </c>
      <c r="C10" s="9" t="n">
        <v>4</v>
      </c>
      <c r="D10" s="16" t="n">
        <f aca="false">ROUND(C10*Tuning!$B$16,1)</f>
        <v>4</v>
      </c>
      <c r="E10" s="12" t="n">
        <v>0.9</v>
      </c>
      <c r="F10" s="14" t="s">
        <v>240</v>
      </c>
      <c r="G10" s="22" t="n">
        <v>2</v>
      </c>
      <c r="H10" s="16" t="n">
        <f aca="false">D10+G10*H7</f>
        <v>20</v>
      </c>
      <c r="I10" s="19" t="n">
        <f aca="false">ROUND(H10*Tuning!$B$8,0)</f>
        <v>9</v>
      </c>
      <c r="J10" s="17" t="s">
        <v>119</v>
      </c>
      <c r="K10" s="18" t="s">
        <v>250</v>
      </c>
    </row>
    <row r="11" customFormat="false" ht="15" hidden="false" customHeight="false" outlineLevel="0" collapsed="false">
      <c r="A11" s="23" t="s">
        <v>251</v>
      </c>
      <c r="B11" s="13" t="s">
        <v>252</v>
      </c>
      <c r="C11" s="9" t="n">
        <v>200</v>
      </c>
      <c r="D11" s="16" t="n">
        <f aca="false">ROUND(C11*Tuning!$B$16,1)</f>
        <v>200</v>
      </c>
      <c r="E11" s="12" t="n">
        <v>0.5</v>
      </c>
      <c r="F11" s="14" t="s">
        <v>248</v>
      </c>
      <c r="G11" s="22" t="n">
        <v>4</v>
      </c>
      <c r="H11" s="16" t="n">
        <f aca="false">D11+G11*H10</f>
        <v>280</v>
      </c>
      <c r="I11" s="19" t="n">
        <f aca="false">ROUND(H11*Tuning!$B$8,0)</f>
        <v>120</v>
      </c>
      <c r="J11" s="17" t="s">
        <v>119</v>
      </c>
      <c r="K11" s="18" t="s">
        <v>253</v>
      </c>
    </row>
    <row r="12" customFormat="false" ht="15" hidden="false" customHeight="false" outlineLevel="0" collapsed="false">
      <c r="A12" s="23" t="s">
        <v>254</v>
      </c>
      <c r="B12" s="13" t="s">
        <v>255</v>
      </c>
      <c r="C12" s="9" t="n">
        <v>700</v>
      </c>
      <c r="D12" s="16" t="n">
        <f aca="false">ROUND(C12*Tuning!$B$16,1)</f>
        <v>700</v>
      </c>
      <c r="E12" s="12" t="n">
        <v>0.4</v>
      </c>
      <c r="F12" s="14" t="s">
        <v>251</v>
      </c>
      <c r="G12" s="22" t="n">
        <v>4</v>
      </c>
      <c r="H12" s="16" t="n">
        <f aca="false">D12+G12*H11</f>
        <v>1820</v>
      </c>
      <c r="I12" s="19" t="n">
        <f aca="false">ROUND(H12*Tuning!$B$8,0)</f>
        <v>783</v>
      </c>
      <c r="J12" s="17" t="s">
        <v>119</v>
      </c>
      <c r="K12" s="18" t="s">
        <v>256</v>
      </c>
    </row>
    <row r="14" customFormat="false" ht="15" hidden="false" customHeight="false" outlineLevel="0" collapsed="false">
      <c r="A14" s="5" t="s">
        <v>257</v>
      </c>
    </row>
    <row r="15" customFormat="false" ht="15" hidden="false" customHeight="false" outlineLevel="0" collapsed="false">
      <c r="A15" s="11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7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8" min="17" style="0" width="13"/>
    <col collapsed="false" customWidth="true" hidden="false" outlineLevel="0" max="19" min="19" style="0" width="15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27.75" hidden="false" customHeight="true" outlineLevel="0" collapsed="false">
      <c r="A4" s="6" t="s">
        <v>261</v>
      </c>
      <c r="B4" s="6" t="s">
        <v>235</v>
      </c>
      <c r="C4" s="6" t="s">
        <v>262</v>
      </c>
      <c r="D4" s="6" t="s">
        <v>263</v>
      </c>
      <c r="E4" s="6" t="s">
        <v>264</v>
      </c>
      <c r="F4" s="6" t="s">
        <v>265</v>
      </c>
      <c r="G4" s="6" t="s">
        <v>266</v>
      </c>
      <c r="H4" s="6" t="s">
        <v>267</v>
      </c>
      <c r="I4" s="6" t="s">
        <v>268</v>
      </c>
      <c r="J4" s="6" t="s">
        <v>22</v>
      </c>
      <c r="K4" s="6" t="s">
        <v>269</v>
      </c>
      <c r="L4" s="6" t="s">
        <v>270</v>
      </c>
      <c r="M4" s="6" t="s">
        <v>271</v>
      </c>
      <c r="N4" s="6" t="s">
        <v>272</v>
      </c>
      <c r="O4" s="6" t="s">
        <v>273</v>
      </c>
      <c r="P4" s="6" t="s">
        <v>274</v>
      </c>
      <c r="Q4" s="6" t="s">
        <v>275</v>
      </c>
      <c r="R4" s="6" t="s">
        <v>276</v>
      </c>
      <c r="S4" s="6" t="s">
        <v>277</v>
      </c>
    </row>
    <row r="5" customFormat="false" ht="15" hidden="false" customHeight="false" outlineLevel="0" collapsed="false">
      <c r="A5" s="28" t="n">
        <v>1</v>
      </c>
      <c r="B5" s="22" t="n">
        <v>17</v>
      </c>
      <c r="C5" s="22" t="n">
        <v>7</v>
      </c>
      <c r="D5" s="22" t="n">
        <v>0</v>
      </c>
      <c r="E5" s="22" t="n">
        <v>0</v>
      </c>
      <c r="F5" s="22" t="n">
        <v>0</v>
      </c>
      <c r="G5" s="22" t="n">
        <v>0</v>
      </c>
      <c r="H5" s="22" t="n">
        <v>0</v>
      </c>
      <c r="I5" s="22" t="n">
        <v>0</v>
      </c>
      <c r="J5" s="19" t="n">
        <f aca="false">SUM(B5:I5)</f>
        <v>24</v>
      </c>
      <c r="K5" s="29" t="n">
        <f aca="false">ROUND(POWER(Tuning!$B$17,A5-1),3)</f>
        <v>1</v>
      </c>
      <c r="L5" s="20" t="n">
        <v>1.19</v>
      </c>
      <c r="M5" s="30" t="n">
        <f aca="false">ROUND((B5*Enemies!$H$5+C5*Enemies!$H$6+D5*Enemies!$H$7+E5*Enemies!$H$8+F5*Enemies!$H$9+G5*Enemies!$H$10+H5*Enemies!$H$11+I5*Enemies!$H$12)*K5,0)</f>
        <v>38</v>
      </c>
      <c r="N5" s="19" t="n">
        <f aca="false">ROUND(J5*L5+14,0)</f>
        <v>43</v>
      </c>
      <c r="O5" s="16" t="n">
        <f aca="false">IF(N5=0,0,ROUND(M5/N5,1))</f>
        <v>0.9</v>
      </c>
      <c r="P5" s="19" t="n">
        <f aca="false">ROUND(M5*Tuning!$B$8,0)</f>
        <v>16</v>
      </c>
      <c r="Q5" s="19" t="n">
        <f aca="false">ROUND(Tuning!$B$9+Tuning!$B$10*A5,0)</f>
        <v>61</v>
      </c>
      <c r="R5" s="19" t="n">
        <f aca="false">P5+Q5</f>
        <v>77</v>
      </c>
      <c r="S5" s="19" t="n">
        <f aca="false">Tuning!$B$6+R5</f>
        <v>727</v>
      </c>
    </row>
    <row r="6" customFormat="false" ht="15" hidden="false" customHeight="false" outlineLevel="0" collapsed="false">
      <c r="A6" s="28" t="n">
        <v>2</v>
      </c>
      <c r="B6" s="22" t="n">
        <v>20</v>
      </c>
      <c r="C6" s="22" t="n">
        <v>8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19" t="n">
        <f aca="false">SUM(B6:I6)</f>
        <v>28</v>
      </c>
      <c r="K6" s="29" t="n">
        <f aca="false">ROUND(POWER(Tuning!$B$17,A6-1),3)</f>
        <v>1.052</v>
      </c>
      <c r="L6" s="20" t="n">
        <v>1.17</v>
      </c>
      <c r="M6" s="30" t="n">
        <f aca="false">ROUND((B6*Enemies!$H$5+C6*Enemies!$H$6+D6*Enemies!$H$7+E6*Enemies!$H$8+F6*Enemies!$H$9+G6*Enemies!$H$10+H6*Enemies!$H$11+I6*Enemies!$H$12)*K6,0)</f>
        <v>46</v>
      </c>
      <c r="N6" s="19" t="n">
        <f aca="false">ROUND(J6*L6+14,0)</f>
        <v>47</v>
      </c>
      <c r="O6" s="16" t="n">
        <f aca="false">IF(N6=0,0,ROUND(M6/N6,1))</f>
        <v>1</v>
      </c>
      <c r="P6" s="19" t="n">
        <f aca="false">ROUND(M6*Tuning!$B$8,0)</f>
        <v>20</v>
      </c>
      <c r="Q6" s="19" t="n">
        <f aca="false">ROUND(Tuning!$B$9+Tuning!$B$10*A6,0)</f>
        <v>62</v>
      </c>
      <c r="R6" s="19" t="n">
        <f aca="false">P6+Q6</f>
        <v>82</v>
      </c>
      <c r="S6" s="19" t="n">
        <f aca="false">S5+R6</f>
        <v>809</v>
      </c>
    </row>
    <row r="7" customFormat="false" ht="15" hidden="false" customHeight="false" outlineLevel="0" collapsed="false">
      <c r="A7" s="28" t="n">
        <v>3</v>
      </c>
      <c r="B7" s="22" t="n">
        <v>23</v>
      </c>
      <c r="C7" s="22" t="n">
        <v>9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19" t="n">
        <f aca="false">SUM(B7:I7)</f>
        <v>32</v>
      </c>
      <c r="K7" s="29" t="n">
        <f aca="false">ROUND(POWER(Tuning!$B$17,A7-1),3)</f>
        <v>1.107</v>
      </c>
      <c r="L7" s="20" t="n">
        <v>1.16</v>
      </c>
      <c r="M7" s="30" t="n">
        <f aca="false">ROUND((B7*Enemies!$H$5+C7*Enemies!$H$6+D7*Enemies!$H$7+E7*Enemies!$H$8+F7*Enemies!$H$9+G7*Enemies!$H$10+H7*Enemies!$H$11+I7*Enemies!$H$12)*K7,0)</f>
        <v>55</v>
      </c>
      <c r="N7" s="19" t="n">
        <f aca="false">ROUND(J7*L7+14,0)</f>
        <v>51</v>
      </c>
      <c r="O7" s="16" t="n">
        <f aca="false">IF(N7=0,0,ROUND(M7/N7,1))</f>
        <v>1.1</v>
      </c>
      <c r="P7" s="19" t="n">
        <f aca="false">ROUND(M7*Tuning!$B$8,0)</f>
        <v>24</v>
      </c>
      <c r="Q7" s="19" t="n">
        <f aca="false">ROUND(Tuning!$B$9+Tuning!$B$10*A7,0)</f>
        <v>63</v>
      </c>
      <c r="R7" s="19" t="n">
        <f aca="false">P7+Q7</f>
        <v>87</v>
      </c>
      <c r="S7" s="19" t="n">
        <f aca="false">S6+R7</f>
        <v>896</v>
      </c>
    </row>
    <row r="8" customFormat="false" ht="15" hidden="false" customHeight="false" outlineLevel="0" collapsed="false">
      <c r="A8" s="28" t="n">
        <v>4</v>
      </c>
      <c r="B8" s="22" t="n">
        <v>26</v>
      </c>
      <c r="C8" s="22" t="n">
        <v>10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19" t="n">
        <f aca="false">SUM(B8:I8)</f>
        <v>36</v>
      </c>
      <c r="K8" s="29" t="n">
        <f aca="false">ROUND(POWER(Tuning!$B$17,A8-1),3)</f>
        <v>1.164</v>
      </c>
      <c r="L8" s="20" t="n">
        <v>1.14</v>
      </c>
      <c r="M8" s="30" t="n">
        <f aca="false">ROUND((B8*Enemies!$H$5+C8*Enemies!$H$6+D8*Enemies!$H$7+E8*Enemies!$H$8+F8*Enemies!$H$9+G8*Enemies!$H$10+H8*Enemies!$H$11+I8*Enemies!$H$12)*K8,0)</f>
        <v>65</v>
      </c>
      <c r="N8" s="19" t="n">
        <f aca="false">ROUND(J8*L8+14,0)</f>
        <v>55</v>
      </c>
      <c r="O8" s="16" t="n">
        <f aca="false">IF(N8=0,0,ROUND(M8/N8,1))</f>
        <v>1.2</v>
      </c>
      <c r="P8" s="19" t="n">
        <f aca="false">ROUND(M8*Tuning!$B$8,0)</f>
        <v>28</v>
      </c>
      <c r="Q8" s="19" t="n">
        <f aca="false">ROUND(Tuning!$B$9+Tuning!$B$10*A8,0)</f>
        <v>64</v>
      </c>
      <c r="R8" s="19" t="n">
        <f aca="false">P8+Q8</f>
        <v>92</v>
      </c>
      <c r="S8" s="19" t="n">
        <f aca="false">S7+R8</f>
        <v>988</v>
      </c>
    </row>
    <row r="9" customFormat="false" ht="15" hidden="false" customHeight="false" outlineLevel="0" collapsed="false">
      <c r="A9" s="28" t="n">
        <v>5</v>
      </c>
      <c r="B9" s="22" t="n">
        <v>29</v>
      </c>
      <c r="C9" s="22" t="n">
        <v>11</v>
      </c>
      <c r="D9" s="22" t="n">
        <v>0</v>
      </c>
      <c r="E9" s="22" t="n">
        <v>0</v>
      </c>
      <c r="F9" s="22" t="n">
        <v>0</v>
      </c>
      <c r="G9" s="22" t="n">
        <v>0</v>
      </c>
      <c r="H9" s="22" t="n">
        <v>0</v>
      </c>
      <c r="I9" s="22" t="n">
        <v>0</v>
      </c>
      <c r="J9" s="19" t="n">
        <f aca="false">SUM(B9:I9)</f>
        <v>40</v>
      </c>
      <c r="K9" s="29" t="n">
        <f aca="false">ROUND(POWER(Tuning!$B$17,A9-1),3)</f>
        <v>1.225</v>
      </c>
      <c r="L9" s="20" t="n">
        <v>1.13</v>
      </c>
      <c r="M9" s="30" t="n">
        <f aca="false">ROUND((B9*Enemies!$H$5+C9*Enemies!$H$6+D9*Enemies!$H$7+E9*Enemies!$H$8+F9*Enemies!$H$9+G9*Enemies!$H$10+H9*Enemies!$H$11+I9*Enemies!$H$12)*K9,0)</f>
        <v>76</v>
      </c>
      <c r="N9" s="19" t="n">
        <f aca="false">ROUND(J9*L9+14,0)</f>
        <v>59</v>
      </c>
      <c r="O9" s="16" t="n">
        <f aca="false">IF(N9=0,0,ROUND(M9/N9,1))</f>
        <v>1.3</v>
      </c>
      <c r="P9" s="19" t="n">
        <f aca="false">ROUND(M9*Tuning!$B$8,0)</f>
        <v>33</v>
      </c>
      <c r="Q9" s="19" t="n">
        <f aca="false">ROUND(Tuning!$B$9+Tuning!$B$10*A9,0)</f>
        <v>65</v>
      </c>
      <c r="R9" s="19" t="n">
        <f aca="false">P9+Q9</f>
        <v>98</v>
      </c>
      <c r="S9" s="19" t="n">
        <f aca="false">S8+R9</f>
        <v>1086</v>
      </c>
    </row>
    <row r="10" customFormat="false" ht="15" hidden="false" customHeight="false" outlineLevel="0" collapsed="false">
      <c r="A10" s="28" t="n">
        <v>6</v>
      </c>
      <c r="B10" s="22" t="n">
        <v>32</v>
      </c>
      <c r="C10" s="22" t="n">
        <v>12</v>
      </c>
      <c r="D10" s="22" t="n">
        <v>0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19" t="n">
        <f aca="false">SUM(B10:I10)</f>
        <v>44</v>
      </c>
      <c r="K10" s="29" t="n">
        <f aca="false">ROUND(POWER(Tuning!$B$17,A10-1),3)</f>
        <v>1.288</v>
      </c>
      <c r="L10" s="20" t="n">
        <v>1.12</v>
      </c>
      <c r="M10" s="30" t="n">
        <f aca="false">ROUND((B10*Enemies!$H$5+C10*Enemies!$H$6+D10*Enemies!$H$7+E10*Enemies!$H$8+F10*Enemies!$H$9+G10*Enemies!$H$10+H10*Enemies!$H$11+I10*Enemies!$H$12)*K10,0)</f>
        <v>88</v>
      </c>
      <c r="N10" s="19" t="n">
        <f aca="false">ROUND(J10*L10+14,0)</f>
        <v>63</v>
      </c>
      <c r="O10" s="16" t="n">
        <f aca="false">IF(N10=0,0,ROUND(M10/N10,1))</f>
        <v>1.4</v>
      </c>
      <c r="P10" s="19" t="n">
        <f aca="false">ROUND(M10*Tuning!$B$8,0)</f>
        <v>38</v>
      </c>
      <c r="Q10" s="19" t="n">
        <f aca="false">ROUND(Tuning!$B$9+Tuning!$B$10*A10,0)</f>
        <v>66</v>
      </c>
      <c r="R10" s="19" t="n">
        <f aca="false">P10+Q10</f>
        <v>104</v>
      </c>
      <c r="S10" s="19" t="n">
        <f aca="false">S9+R10</f>
        <v>1190</v>
      </c>
    </row>
    <row r="11" customFormat="false" ht="15" hidden="false" customHeight="false" outlineLevel="0" collapsed="false">
      <c r="A11" s="28" t="n">
        <v>7</v>
      </c>
      <c r="B11" s="22" t="n">
        <v>35</v>
      </c>
      <c r="C11" s="22" t="n">
        <v>13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19" t="n">
        <f aca="false">SUM(B11:I11)</f>
        <v>48</v>
      </c>
      <c r="K11" s="29" t="n">
        <f aca="false">ROUND(POWER(Tuning!$B$17,A11-1),3)</f>
        <v>1.355</v>
      </c>
      <c r="L11" s="20" t="n">
        <v>1.1</v>
      </c>
      <c r="M11" s="30" t="n">
        <f aca="false">ROUND((B11*Enemies!$H$5+C11*Enemies!$H$6+D11*Enemies!$H$7+E11*Enemies!$H$8+F11*Enemies!$H$9+G11*Enemies!$H$10+H11*Enemies!$H$11+I11*Enemies!$H$12)*K11,0)</f>
        <v>100</v>
      </c>
      <c r="N11" s="19" t="n">
        <f aca="false">ROUND(J11*L11+14,0)</f>
        <v>67</v>
      </c>
      <c r="O11" s="16" t="n">
        <f aca="false">IF(N11=0,0,ROUND(M11/N11,1))</f>
        <v>1.5</v>
      </c>
      <c r="P11" s="19" t="n">
        <f aca="false">ROUND(M11*Tuning!$B$8,0)</f>
        <v>43</v>
      </c>
      <c r="Q11" s="19" t="n">
        <f aca="false">ROUND(Tuning!$B$9+Tuning!$B$10*A11,0)</f>
        <v>67</v>
      </c>
      <c r="R11" s="19" t="n">
        <f aca="false">P11+Q11</f>
        <v>110</v>
      </c>
      <c r="S11" s="19" t="n">
        <f aca="false">S10+R11</f>
        <v>1300</v>
      </c>
    </row>
    <row r="12" customFormat="false" ht="15" hidden="false" customHeight="false" outlineLevel="0" collapsed="false">
      <c r="A12" s="28" t="n">
        <v>8</v>
      </c>
      <c r="B12" s="22" t="n">
        <v>37</v>
      </c>
      <c r="C12" s="22" t="n">
        <v>15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19" t="n">
        <f aca="false">SUM(B12:I12)</f>
        <v>52</v>
      </c>
      <c r="K12" s="29" t="n">
        <f aca="false">ROUND(POWER(Tuning!$B$17,A12-1),3)</f>
        <v>1.426</v>
      </c>
      <c r="L12" s="20" t="n">
        <v>1.09</v>
      </c>
      <c r="M12" s="30" t="n">
        <f aca="false">ROUND((B12*Enemies!$H$5+C12*Enemies!$H$6+D12*Enemies!$H$7+E12*Enemies!$H$8+F12*Enemies!$H$9+G12*Enemies!$H$10+H12*Enemies!$H$11+I12*Enemies!$H$12)*K12,0)</f>
        <v>117</v>
      </c>
      <c r="N12" s="19" t="n">
        <f aca="false">ROUND(J12*L12+14,0)</f>
        <v>71</v>
      </c>
      <c r="O12" s="16" t="n">
        <f aca="false">IF(N12=0,0,ROUND(M12/N12,1))</f>
        <v>1.6</v>
      </c>
      <c r="P12" s="19" t="n">
        <f aca="false">ROUND(M12*Tuning!$B$8,0)</f>
        <v>50</v>
      </c>
      <c r="Q12" s="19" t="n">
        <f aca="false">ROUND(Tuning!$B$9+Tuning!$B$10*A12,0)</f>
        <v>68</v>
      </c>
      <c r="R12" s="19" t="n">
        <f aca="false">P12+Q12</f>
        <v>118</v>
      </c>
      <c r="S12" s="19" t="n">
        <f aca="false">S11+R12</f>
        <v>1418</v>
      </c>
    </row>
    <row r="13" customFormat="false" ht="15" hidden="false" customHeight="false" outlineLevel="0" collapsed="false">
      <c r="A13" s="28" t="n">
        <v>9</v>
      </c>
      <c r="B13" s="22" t="n">
        <v>40</v>
      </c>
      <c r="C13" s="22" t="n">
        <v>16</v>
      </c>
      <c r="D13" s="22" t="n">
        <v>0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19" t="n">
        <f aca="false">SUM(B13:I13)</f>
        <v>56</v>
      </c>
      <c r="K13" s="29" t="n">
        <f aca="false">ROUND(POWER(Tuning!$B$17,A13-1),3)</f>
        <v>1.5</v>
      </c>
      <c r="L13" s="20" t="n">
        <v>1.07</v>
      </c>
      <c r="M13" s="30" t="n">
        <f aca="false">ROUND((B13*Enemies!$H$5+C13*Enemies!$H$6+D13*Enemies!$H$7+E13*Enemies!$H$8+F13*Enemies!$H$9+G13*Enemies!$H$10+H13*Enemies!$H$11+I13*Enemies!$H$12)*K13,0)</f>
        <v>132</v>
      </c>
      <c r="N13" s="19" t="n">
        <f aca="false">ROUND(J13*L13+14,0)</f>
        <v>74</v>
      </c>
      <c r="O13" s="16" t="n">
        <f aca="false">IF(N13=0,0,ROUND(M13/N13,1))</f>
        <v>1.8</v>
      </c>
      <c r="P13" s="19" t="n">
        <f aca="false">ROUND(M13*Tuning!$B$8,0)</f>
        <v>57</v>
      </c>
      <c r="Q13" s="19" t="n">
        <f aca="false">ROUND(Tuning!$B$9+Tuning!$B$10*A13,0)</f>
        <v>69</v>
      </c>
      <c r="R13" s="19" t="n">
        <f aca="false">P13+Q13</f>
        <v>126</v>
      </c>
      <c r="S13" s="19" t="n">
        <f aca="false">S12+R13</f>
        <v>1544</v>
      </c>
    </row>
    <row r="14" customFormat="false" ht="15" hidden="false" customHeight="false" outlineLevel="0" collapsed="false">
      <c r="A14" s="28" t="n">
        <v>10</v>
      </c>
      <c r="B14" s="22" t="n">
        <v>43</v>
      </c>
      <c r="C14" s="22" t="n">
        <v>17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19" t="n">
        <f aca="false">SUM(B14:I14)</f>
        <v>60</v>
      </c>
      <c r="K14" s="29" t="n">
        <f aca="false">ROUND(POWER(Tuning!$B$17,A14-1),3)</f>
        <v>1.578</v>
      </c>
      <c r="L14" s="20" t="n">
        <v>1.06</v>
      </c>
      <c r="M14" s="30" t="n">
        <f aca="false">ROUND((B14*Enemies!$H$5+C14*Enemies!$H$6+D14*Enemies!$H$7+E14*Enemies!$H$8+F14*Enemies!$H$9+G14*Enemies!$H$10+H14*Enemies!$H$11+I14*Enemies!$H$12)*K14,0)</f>
        <v>148</v>
      </c>
      <c r="N14" s="19" t="n">
        <f aca="false">ROUND(J14*L14+14,0)</f>
        <v>78</v>
      </c>
      <c r="O14" s="16" t="n">
        <f aca="false">IF(N14=0,0,ROUND(M14/N14,1))</f>
        <v>1.9</v>
      </c>
      <c r="P14" s="19" t="n">
        <f aca="false">ROUND(M14*Tuning!$B$8,0)</f>
        <v>64</v>
      </c>
      <c r="Q14" s="19" t="n">
        <f aca="false">ROUND(Tuning!$B$9+Tuning!$B$10*A14,0)</f>
        <v>70</v>
      </c>
      <c r="R14" s="19" t="n">
        <f aca="false">P14+Q14</f>
        <v>134</v>
      </c>
      <c r="S14" s="19" t="n">
        <f aca="false">S13+R14</f>
        <v>1678</v>
      </c>
    </row>
    <row r="15" customFormat="false" ht="15" hidden="false" customHeight="false" outlineLevel="0" collapsed="false">
      <c r="A15" s="31" t="n">
        <v>11</v>
      </c>
      <c r="B15" s="32" t="n">
        <v>19</v>
      </c>
      <c r="C15" s="32" t="n">
        <v>16</v>
      </c>
      <c r="D15" s="32" t="n">
        <v>16</v>
      </c>
      <c r="E15" s="32" t="n">
        <v>8</v>
      </c>
      <c r="F15" s="32" t="n">
        <v>0</v>
      </c>
      <c r="G15" s="32" t="n">
        <v>5</v>
      </c>
      <c r="H15" s="32" t="n">
        <v>0</v>
      </c>
      <c r="I15" s="32" t="n">
        <v>0</v>
      </c>
      <c r="J15" s="24" t="n">
        <f aca="false">SUM(B15:I15)</f>
        <v>64</v>
      </c>
      <c r="K15" s="33" t="n">
        <f aca="false">ROUND(POWER(Tuning!$B$17,A15-1),3)</f>
        <v>1.66</v>
      </c>
      <c r="L15" s="34" t="n">
        <v>1.05</v>
      </c>
      <c r="M15" s="35" t="n">
        <f aca="false">ROUND((B15*Enemies!$H$5+C15*Enemies!$H$6+D15*Enemies!$H$7+E15*Enemies!$H$8+F15*Enemies!$H$9+G15*Enemies!$H$10+H15*Enemies!$H$11+I15*Enemies!$H$12)*K15,0)</f>
        <v>742</v>
      </c>
      <c r="N15" s="24" t="n">
        <f aca="false">ROUND(J15*L15+14,0)</f>
        <v>81</v>
      </c>
      <c r="O15" s="25" t="n">
        <f aca="false">IF(N15=0,0,ROUND(M15/N15,1))</f>
        <v>9.2</v>
      </c>
      <c r="P15" s="24" t="n">
        <f aca="false">ROUND(M15*Tuning!$B$8,0)</f>
        <v>319</v>
      </c>
      <c r="Q15" s="24" t="n">
        <f aca="false">ROUND(Tuning!$B$9+Tuning!$B$10*A15,0)</f>
        <v>71</v>
      </c>
      <c r="R15" s="24" t="n">
        <f aca="false">P15+Q15</f>
        <v>390</v>
      </c>
      <c r="S15" s="24" t="n">
        <f aca="false">S14+R15</f>
        <v>2068</v>
      </c>
    </row>
    <row r="16" customFormat="false" ht="15" hidden="false" customHeight="false" outlineLevel="0" collapsed="false">
      <c r="A16" s="28" t="n">
        <v>12</v>
      </c>
      <c r="B16" s="22" t="n">
        <v>20</v>
      </c>
      <c r="C16" s="22" t="n">
        <v>17</v>
      </c>
      <c r="D16" s="22" t="n">
        <v>17</v>
      </c>
      <c r="E16" s="22" t="n">
        <v>8</v>
      </c>
      <c r="F16" s="22" t="n">
        <v>0</v>
      </c>
      <c r="G16" s="22" t="n">
        <v>5</v>
      </c>
      <c r="H16" s="22" t="n">
        <v>0</v>
      </c>
      <c r="I16" s="22" t="n">
        <v>0</v>
      </c>
      <c r="J16" s="19" t="n">
        <f aca="false">SUM(B16:I16)</f>
        <v>67</v>
      </c>
      <c r="K16" s="29" t="n">
        <f aca="false">ROUND(POWER(Tuning!$B$17,A16-1),3)</f>
        <v>1.747</v>
      </c>
      <c r="L16" s="20" t="n">
        <v>1.03</v>
      </c>
      <c r="M16" s="30" t="n">
        <f aca="false">ROUND((B16*Enemies!$H$5+C16*Enemies!$H$6+D16*Enemies!$H$7+E16*Enemies!$H$8+F16*Enemies!$H$9+G16*Enemies!$H$10+H16*Enemies!$H$11+I16*Enemies!$H$12)*K16,0)</f>
        <v>802</v>
      </c>
      <c r="N16" s="19" t="n">
        <f aca="false">ROUND(J16*L16+14,0)</f>
        <v>83</v>
      </c>
      <c r="O16" s="16" t="n">
        <f aca="false">IF(N16=0,0,ROUND(M16/N16,1))</f>
        <v>9.7</v>
      </c>
      <c r="P16" s="19" t="n">
        <f aca="false">ROUND(M16*Tuning!$B$8,0)</f>
        <v>345</v>
      </c>
      <c r="Q16" s="19" t="n">
        <f aca="false">ROUND(Tuning!$B$9+Tuning!$B$10*A16,0)</f>
        <v>72</v>
      </c>
      <c r="R16" s="19" t="n">
        <f aca="false">P16+Q16</f>
        <v>417</v>
      </c>
      <c r="S16" s="19" t="n">
        <f aca="false">S15+R16</f>
        <v>2485</v>
      </c>
    </row>
    <row r="17" customFormat="false" ht="15" hidden="false" customHeight="false" outlineLevel="0" collapsed="false">
      <c r="A17" s="28" t="n">
        <v>13</v>
      </c>
      <c r="B17" s="22" t="n">
        <v>22</v>
      </c>
      <c r="C17" s="22" t="n">
        <v>18</v>
      </c>
      <c r="D17" s="22" t="n">
        <v>18</v>
      </c>
      <c r="E17" s="22" t="n">
        <v>9</v>
      </c>
      <c r="F17" s="22" t="n">
        <v>0</v>
      </c>
      <c r="G17" s="22" t="n">
        <v>6</v>
      </c>
      <c r="H17" s="22" t="n">
        <v>0</v>
      </c>
      <c r="I17" s="22" t="n">
        <v>0</v>
      </c>
      <c r="J17" s="19" t="n">
        <f aca="false">SUM(B17:I17)</f>
        <v>73</v>
      </c>
      <c r="K17" s="29" t="n">
        <f aca="false">ROUND(POWER(Tuning!$B$17,A17-1),3)</f>
        <v>1.837</v>
      </c>
      <c r="L17" s="20" t="n">
        <v>1.02</v>
      </c>
      <c r="M17" s="30" t="n">
        <f aca="false">ROUND((B17*Enemies!$H$5+C17*Enemies!$H$6+D17*Enemies!$H$7+E17*Enemies!$H$8+F17*Enemies!$H$9+G17*Enemies!$H$10+H17*Enemies!$H$11+I17*Enemies!$H$12)*K17,0)</f>
        <v>939</v>
      </c>
      <c r="N17" s="19" t="n">
        <f aca="false">ROUND(J17*L17+14,0)</f>
        <v>88</v>
      </c>
      <c r="O17" s="16" t="n">
        <f aca="false">IF(N17=0,0,ROUND(M17/N17,1))</f>
        <v>10.7</v>
      </c>
      <c r="P17" s="19" t="n">
        <f aca="false">ROUND(M17*Tuning!$B$8,0)</f>
        <v>404</v>
      </c>
      <c r="Q17" s="19" t="n">
        <f aca="false">ROUND(Tuning!$B$9+Tuning!$B$10*A17,0)</f>
        <v>73</v>
      </c>
      <c r="R17" s="19" t="n">
        <f aca="false">P17+Q17</f>
        <v>477</v>
      </c>
      <c r="S17" s="19" t="n">
        <f aca="false">S16+R17</f>
        <v>2962</v>
      </c>
    </row>
    <row r="18" customFormat="false" ht="15" hidden="false" customHeight="false" outlineLevel="0" collapsed="false">
      <c r="A18" s="28" t="n">
        <v>14</v>
      </c>
      <c r="B18" s="22" t="n">
        <v>23</v>
      </c>
      <c r="C18" s="22" t="n">
        <v>19</v>
      </c>
      <c r="D18" s="22" t="n">
        <v>19</v>
      </c>
      <c r="E18" s="22" t="n">
        <v>9</v>
      </c>
      <c r="F18" s="22" t="n">
        <v>0</v>
      </c>
      <c r="G18" s="22" t="n">
        <v>6</v>
      </c>
      <c r="H18" s="22" t="n">
        <v>0</v>
      </c>
      <c r="I18" s="22" t="n">
        <v>0</v>
      </c>
      <c r="J18" s="19" t="n">
        <f aca="false">SUM(B18:I18)</f>
        <v>76</v>
      </c>
      <c r="K18" s="29" t="n">
        <f aca="false">ROUND(POWER(Tuning!$B$17,A18-1),3)</f>
        <v>1.933</v>
      </c>
      <c r="L18" s="20" t="n">
        <v>1</v>
      </c>
      <c r="M18" s="30" t="n">
        <f aca="false">ROUND((B18*Enemies!$H$5+C18*Enemies!$H$6+D18*Enemies!$H$7+E18*Enemies!$H$8+F18*Enemies!$H$9+G18*Enemies!$H$10+H18*Enemies!$H$11+I18*Enemies!$H$12)*K18,0)</f>
        <v>1011</v>
      </c>
      <c r="N18" s="19" t="n">
        <f aca="false">ROUND(J18*L18+14,0)</f>
        <v>90</v>
      </c>
      <c r="O18" s="16" t="n">
        <f aca="false">IF(N18=0,0,ROUND(M18/N18,1))</f>
        <v>11.2</v>
      </c>
      <c r="P18" s="19" t="n">
        <f aca="false">ROUND(M18*Tuning!$B$8,0)</f>
        <v>435</v>
      </c>
      <c r="Q18" s="19" t="n">
        <f aca="false">ROUND(Tuning!$B$9+Tuning!$B$10*A18,0)</f>
        <v>74</v>
      </c>
      <c r="R18" s="19" t="n">
        <f aca="false">P18+Q18</f>
        <v>509</v>
      </c>
      <c r="S18" s="19" t="n">
        <f aca="false">S17+R18</f>
        <v>3471</v>
      </c>
    </row>
    <row r="19" customFormat="false" ht="15" hidden="false" customHeight="false" outlineLevel="0" collapsed="false">
      <c r="A19" s="28" t="n">
        <v>15</v>
      </c>
      <c r="B19" s="22" t="n">
        <v>24</v>
      </c>
      <c r="C19" s="22" t="n">
        <v>20</v>
      </c>
      <c r="D19" s="22" t="n">
        <v>20</v>
      </c>
      <c r="E19" s="22" t="n">
        <v>10</v>
      </c>
      <c r="F19" s="22" t="n">
        <v>0</v>
      </c>
      <c r="G19" s="22" t="n">
        <v>6</v>
      </c>
      <c r="H19" s="22" t="n">
        <v>0</v>
      </c>
      <c r="I19" s="22" t="n">
        <v>0</v>
      </c>
      <c r="J19" s="19" t="n">
        <f aca="false">SUM(B19:I19)</f>
        <v>80</v>
      </c>
      <c r="K19" s="29" t="n">
        <f aca="false">ROUND(POWER(Tuning!$B$17,A19-1),3)</f>
        <v>2.033</v>
      </c>
      <c r="L19" s="20" t="n">
        <v>0.99</v>
      </c>
      <c r="M19" s="30" t="n">
        <f aca="false">ROUND((B19*Enemies!$H$5+C19*Enemies!$H$6+D19*Enemies!$H$7+E19*Enemies!$H$8+F19*Enemies!$H$9+G19*Enemies!$H$10+H19*Enemies!$H$11+I19*Enemies!$H$12)*K19,0)</f>
        <v>1126</v>
      </c>
      <c r="N19" s="19" t="n">
        <f aca="false">ROUND(J19*L19+14,0)</f>
        <v>93</v>
      </c>
      <c r="O19" s="16" t="n">
        <f aca="false">IF(N19=0,0,ROUND(M19/N19,1))</f>
        <v>12.1</v>
      </c>
      <c r="P19" s="19" t="n">
        <f aca="false">ROUND(M19*Tuning!$B$8,0)</f>
        <v>484</v>
      </c>
      <c r="Q19" s="19" t="n">
        <f aca="false">ROUND(Tuning!$B$9+Tuning!$B$10*A19,0)</f>
        <v>75</v>
      </c>
      <c r="R19" s="19" t="n">
        <f aca="false">P19+Q19</f>
        <v>559</v>
      </c>
      <c r="S19" s="19" t="n">
        <f aca="false">S18+R19</f>
        <v>4030</v>
      </c>
    </row>
    <row r="20" customFormat="false" ht="15" hidden="false" customHeight="false" outlineLevel="0" collapsed="false">
      <c r="A20" s="28" t="n">
        <v>16</v>
      </c>
      <c r="B20" s="22" t="n">
        <v>25</v>
      </c>
      <c r="C20" s="22" t="n">
        <v>21</v>
      </c>
      <c r="D20" s="22" t="n">
        <v>21</v>
      </c>
      <c r="E20" s="22" t="n">
        <v>10</v>
      </c>
      <c r="F20" s="22" t="n">
        <v>0</v>
      </c>
      <c r="G20" s="22" t="n">
        <v>7</v>
      </c>
      <c r="H20" s="22" t="n">
        <v>0</v>
      </c>
      <c r="I20" s="22" t="n">
        <v>0</v>
      </c>
      <c r="J20" s="19" t="n">
        <f aca="false">SUM(B20:I20)</f>
        <v>84</v>
      </c>
      <c r="K20" s="29" t="n">
        <f aca="false">ROUND(POWER(Tuning!$B$17,A20-1),3)</f>
        <v>2.139</v>
      </c>
      <c r="L20" s="20" t="n">
        <v>0.98</v>
      </c>
      <c r="M20" s="30" t="n">
        <f aca="false">ROUND((B20*Enemies!$H$5+C20*Enemies!$H$6+D20*Enemies!$H$7+E20*Enemies!$H$8+F20*Enemies!$H$9+G20*Enemies!$H$10+H20*Enemies!$H$11+I20*Enemies!$H$12)*K20,0)</f>
        <v>1253</v>
      </c>
      <c r="N20" s="19" t="n">
        <f aca="false">ROUND(J20*L20+14,0)</f>
        <v>96</v>
      </c>
      <c r="O20" s="16" t="n">
        <f aca="false">IF(N20=0,0,ROUND(M20/N20,1))</f>
        <v>13.1</v>
      </c>
      <c r="P20" s="19" t="n">
        <f aca="false">ROUND(M20*Tuning!$B$8,0)</f>
        <v>539</v>
      </c>
      <c r="Q20" s="19" t="n">
        <f aca="false">ROUND(Tuning!$B$9+Tuning!$B$10*A20,0)</f>
        <v>76</v>
      </c>
      <c r="R20" s="19" t="n">
        <f aca="false">P20+Q20</f>
        <v>615</v>
      </c>
      <c r="S20" s="19" t="n">
        <f aca="false">S19+R20</f>
        <v>4645</v>
      </c>
    </row>
    <row r="21" customFormat="false" ht="15" hidden="false" customHeight="false" outlineLevel="0" collapsed="false">
      <c r="A21" s="28" t="n">
        <v>17</v>
      </c>
      <c r="B21" s="22" t="n">
        <v>26</v>
      </c>
      <c r="C21" s="22" t="n">
        <v>22</v>
      </c>
      <c r="D21" s="22" t="n">
        <v>22</v>
      </c>
      <c r="E21" s="22" t="n">
        <v>11</v>
      </c>
      <c r="F21" s="22" t="n">
        <v>0</v>
      </c>
      <c r="G21" s="22" t="n">
        <v>7</v>
      </c>
      <c r="H21" s="22" t="n">
        <v>0</v>
      </c>
      <c r="I21" s="22" t="n">
        <v>0</v>
      </c>
      <c r="J21" s="19" t="n">
        <f aca="false">SUM(B21:I21)</f>
        <v>88</v>
      </c>
      <c r="K21" s="29" t="n">
        <f aca="false">ROUND(POWER(Tuning!$B$17,A21-1),3)</f>
        <v>2.25</v>
      </c>
      <c r="L21" s="20" t="n">
        <v>0.96</v>
      </c>
      <c r="M21" s="30" t="n">
        <f aca="false">ROUND((B21*Enemies!$H$5+C21*Enemies!$H$6+D21*Enemies!$H$7+E21*Enemies!$H$8+F21*Enemies!$H$9+G21*Enemies!$H$10+H21*Enemies!$H$11+I21*Enemies!$H$12)*K21,0)</f>
        <v>1388</v>
      </c>
      <c r="N21" s="19" t="n">
        <f aca="false">ROUND(J21*L21+14,0)</f>
        <v>98</v>
      </c>
      <c r="O21" s="16" t="n">
        <f aca="false">IF(N21=0,0,ROUND(M21/N21,1))</f>
        <v>14.2</v>
      </c>
      <c r="P21" s="19" t="n">
        <f aca="false">ROUND(M21*Tuning!$B$8,0)</f>
        <v>597</v>
      </c>
      <c r="Q21" s="19" t="n">
        <f aca="false">ROUND(Tuning!$B$9+Tuning!$B$10*A21,0)</f>
        <v>77</v>
      </c>
      <c r="R21" s="19" t="n">
        <f aca="false">P21+Q21</f>
        <v>674</v>
      </c>
      <c r="S21" s="19" t="n">
        <f aca="false">S20+R21</f>
        <v>5319</v>
      </c>
    </row>
    <row r="22" customFormat="false" ht="15" hidden="false" customHeight="false" outlineLevel="0" collapsed="false">
      <c r="A22" s="28" t="n">
        <v>18</v>
      </c>
      <c r="B22" s="22" t="n">
        <v>28</v>
      </c>
      <c r="C22" s="22" t="n">
        <v>23</v>
      </c>
      <c r="D22" s="22" t="n">
        <v>23</v>
      </c>
      <c r="E22" s="22" t="n">
        <v>11</v>
      </c>
      <c r="F22" s="22" t="n">
        <v>0</v>
      </c>
      <c r="G22" s="22" t="n">
        <v>7</v>
      </c>
      <c r="H22" s="22" t="n">
        <v>0</v>
      </c>
      <c r="I22" s="22" t="n">
        <v>0</v>
      </c>
      <c r="J22" s="19" t="n">
        <f aca="false">SUM(B22:I22)</f>
        <v>92</v>
      </c>
      <c r="K22" s="29" t="n">
        <f aca="false">ROUND(POWER(Tuning!$B$17,A22-1),3)</f>
        <v>2.367</v>
      </c>
      <c r="L22" s="20" t="n">
        <v>0.95</v>
      </c>
      <c r="M22" s="30" t="n">
        <f aca="false">ROUND((B22*Enemies!$H$5+C22*Enemies!$H$6+D22*Enemies!$H$7+E22*Enemies!$H$8+F22*Enemies!$H$9+G22*Enemies!$H$10+H22*Enemies!$H$11+I22*Enemies!$H$12)*K22,0)</f>
        <v>1491</v>
      </c>
      <c r="N22" s="19" t="n">
        <f aca="false">ROUND(J22*L22+14,0)</f>
        <v>101</v>
      </c>
      <c r="O22" s="16" t="n">
        <f aca="false">IF(N22=0,0,ROUND(M22/N22,1))</f>
        <v>14.8</v>
      </c>
      <c r="P22" s="19" t="n">
        <f aca="false">ROUND(M22*Tuning!$B$8,0)</f>
        <v>641</v>
      </c>
      <c r="Q22" s="19" t="n">
        <f aca="false">ROUND(Tuning!$B$9+Tuning!$B$10*A22,0)</f>
        <v>78</v>
      </c>
      <c r="R22" s="19" t="n">
        <f aca="false">P22+Q22</f>
        <v>719</v>
      </c>
      <c r="S22" s="19" t="n">
        <f aca="false">S21+R22</f>
        <v>6038</v>
      </c>
    </row>
    <row r="23" customFormat="false" ht="15" hidden="false" customHeight="false" outlineLevel="0" collapsed="false">
      <c r="A23" s="28" t="n">
        <v>19</v>
      </c>
      <c r="B23" s="22" t="n">
        <v>29</v>
      </c>
      <c r="C23" s="22" t="n">
        <v>24</v>
      </c>
      <c r="D23" s="22" t="n">
        <v>24</v>
      </c>
      <c r="E23" s="22" t="n">
        <v>12</v>
      </c>
      <c r="F23" s="22" t="n">
        <v>0</v>
      </c>
      <c r="G23" s="22" t="n">
        <v>8</v>
      </c>
      <c r="H23" s="22" t="n">
        <v>0</v>
      </c>
      <c r="I23" s="22" t="n">
        <v>0</v>
      </c>
      <c r="J23" s="19" t="n">
        <f aca="false">SUM(B23:I23)</f>
        <v>97</v>
      </c>
      <c r="K23" s="29" t="n">
        <f aca="false">ROUND(POWER(Tuning!$B$17,A23-1),3)</f>
        <v>2.49</v>
      </c>
      <c r="L23" s="20" t="n">
        <v>0.93</v>
      </c>
      <c r="M23" s="30" t="n">
        <f aca="false">ROUND((B23*Enemies!$H$5+C23*Enemies!$H$6+D23*Enemies!$H$7+E23*Enemies!$H$8+F23*Enemies!$H$9+G23*Enemies!$H$10+H23*Enemies!$H$11+I23*Enemies!$H$12)*K23,0)</f>
        <v>1696</v>
      </c>
      <c r="N23" s="19" t="n">
        <f aca="false">ROUND(J23*L23+14,0)</f>
        <v>104</v>
      </c>
      <c r="O23" s="16" t="n">
        <f aca="false">IF(N23=0,0,ROUND(M23/N23,1))</f>
        <v>16.3</v>
      </c>
      <c r="P23" s="19" t="n">
        <f aca="false">ROUND(M23*Tuning!$B$8,0)</f>
        <v>729</v>
      </c>
      <c r="Q23" s="19" t="n">
        <f aca="false">ROUND(Tuning!$B$9+Tuning!$B$10*A23,0)</f>
        <v>79</v>
      </c>
      <c r="R23" s="19" t="n">
        <f aca="false">P23+Q23</f>
        <v>808</v>
      </c>
      <c r="S23" s="19" t="n">
        <f aca="false">S22+R23</f>
        <v>6846</v>
      </c>
    </row>
    <row r="24" customFormat="false" ht="15" hidden="false" customHeight="false" outlineLevel="0" collapsed="false">
      <c r="A24" s="28" t="n">
        <v>20</v>
      </c>
      <c r="B24" s="22" t="n">
        <v>30</v>
      </c>
      <c r="C24" s="22" t="n">
        <v>25</v>
      </c>
      <c r="D24" s="22" t="n">
        <v>25</v>
      </c>
      <c r="E24" s="22" t="n">
        <v>12</v>
      </c>
      <c r="F24" s="22" t="n">
        <v>0</v>
      </c>
      <c r="G24" s="22" t="n">
        <v>8</v>
      </c>
      <c r="H24" s="22" t="n">
        <v>0</v>
      </c>
      <c r="I24" s="22" t="n">
        <v>0</v>
      </c>
      <c r="J24" s="19" t="n">
        <f aca="false">SUM(B24:I24)</f>
        <v>100</v>
      </c>
      <c r="K24" s="29" t="n">
        <f aca="false">ROUND(POWER(Tuning!$B$17,A24-1),3)</f>
        <v>2.62</v>
      </c>
      <c r="L24" s="20" t="n">
        <v>0.92</v>
      </c>
      <c r="M24" s="30" t="n">
        <f aca="false">ROUND((B24*Enemies!$H$5+C24*Enemies!$H$6+D24*Enemies!$H$7+E24*Enemies!$H$8+F24*Enemies!$H$9+G24*Enemies!$H$10+H24*Enemies!$H$11+I24*Enemies!$H$12)*K24,0)</f>
        <v>1816</v>
      </c>
      <c r="N24" s="19" t="n">
        <f aca="false">ROUND(J24*L24+14,0)</f>
        <v>106</v>
      </c>
      <c r="O24" s="16" t="n">
        <f aca="false">IF(N24=0,0,ROUND(M24/N24,1))</f>
        <v>17.1</v>
      </c>
      <c r="P24" s="19" t="n">
        <f aca="false">ROUND(M24*Tuning!$B$8,0)</f>
        <v>781</v>
      </c>
      <c r="Q24" s="19" t="n">
        <f aca="false">ROUND(Tuning!$B$9+Tuning!$B$10*A24,0)</f>
        <v>80</v>
      </c>
      <c r="R24" s="19" t="n">
        <f aca="false">P24+Q24</f>
        <v>861</v>
      </c>
      <c r="S24" s="19" t="n">
        <f aca="false">S23+R24</f>
        <v>7707</v>
      </c>
    </row>
    <row r="25" customFormat="false" ht="15" hidden="false" customHeight="false" outlineLevel="0" collapsed="false">
      <c r="A25" s="31" t="n">
        <v>21</v>
      </c>
      <c r="B25" s="32" t="n">
        <v>17</v>
      </c>
      <c r="C25" s="32" t="n">
        <v>21</v>
      </c>
      <c r="D25" s="32" t="n">
        <v>25</v>
      </c>
      <c r="E25" s="32" t="n">
        <v>21</v>
      </c>
      <c r="F25" s="32" t="n">
        <v>12</v>
      </c>
      <c r="G25" s="32" t="n">
        <v>8</v>
      </c>
      <c r="H25" s="32" t="n">
        <v>0</v>
      </c>
      <c r="I25" s="32" t="n">
        <v>0</v>
      </c>
      <c r="J25" s="24" t="n">
        <f aca="false">SUM(B25:I25)</f>
        <v>104</v>
      </c>
      <c r="K25" s="33" t="n">
        <f aca="false">ROUND(POWER(Tuning!$B$17,A25-1),3)</f>
        <v>2.756</v>
      </c>
      <c r="L25" s="34" t="n">
        <v>0.91</v>
      </c>
      <c r="M25" s="35" t="n">
        <f aca="false">ROUND((B25*Enemies!$H$5+C25*Enemies!$H$6+D25*Enemies!$H$7+E25*Enemies!$H$8+F25*Enemies!$H$9+G25*Enemies!$H$10+H25*Enemies!$H$11+I25*Enemies!$H$12)*K25,0)</f>
        <v>4330</v>
      </c>
      <c r="N25" s="24" t="n">
        <f aca="false">ROUND(J25*L25+14,0)</f>
        <v>109</v>
      </c>
      <c r="O25" s="25" t="n">
        <f aca="false">IF(N25=0,0,ROUND(M25/N25,1))</f>
        <v>39.7</v>
      </c>
      <c r="P25" s="24" t="n">
        <f aca="false">ROUND(M25*Tuning!$B$8,0)</f>
        <v>1862</v>
      </c>
      <c r="Q25" s="24" t="n">
        <f aca="false">ROUND(Tuning!$B$9+Tuning!$B$10*A25,0)</f>
        <v>81</v>
      </c>
      <c r="R25" s="24" t="n">
        <f aca="false">P25+Q25</f>
        <v>1943</v>
      </c>
      <c r="S25" s="24" t="n">
        <f aca="false">S24+R25</f>
        <v>9650</v>
      </c>
    </row>
    <row r="26" customFormat="false" ht="15" hidden="false" customHeight="false" outlineLevel="0" collapsed="false">
      <c r="A26" s="28" t="n">
        <v>22</v>
      </c>
      <c r="B26" s="22" t="n">
        <v>17</v>
      </c>
      <c r="C26" s="22" t="n">
        <v>22</v>
      </c>
      <c r="D26" s="22" t="n">
        <v>26</v>
      </c>
      <c r="E26" s="22" t="n">
        <v>22</v>
      </c>
      <c r="F26" s="22" t="n">
        <v>13</v>
      </c>
      <c r="G26" s="22" t="n">
        <v>9</v>
      </c>
      <c r="H26" s="22" t="n">
        <v>0</v>
      </c>
      <c r="I26" s="22" t="n">
        <v>0</v>
      </c>
      <c r="J26" s="19" t="n">
        <f aca="false">SUM(B26:I26)</f>
        <v>109</v>
      </c>
      <c r="K26" s="29" t="n">
        <f aca="false">ROUND(POWER(Tuning!$B$17,A26-1),3)</f>
        <v>2.9</v>
      </c>
      <c r="L26" s="20" t="n">
        <v>0.89</v>
      </c>
      <c r="M26" s="30" t="n">
        <f aca="false">ROUND((B26*Enemies!$H$5+C26*Enemies!$H$6+D26*Enemies!$H$7+E26*Enemies!$H$8+F26*Enemies!$H$9+G26*Enemies!$H$10+H26*Enemies!$H$11+I26*Enemies!$H$12)*K26,0)</f>
        <v>4878</v>
      </c>
      <c r="N26" s="19" t="n">
        <f aca="false">ROUND(J26*L26+14,0)</f>
        <v>111</v>
      </c>
      <c r="O26" s="16" t="n">
        <f aca="false">IF(N26=0,0,ROUND(M26/N26,1))</f>
        <v>43.9</v>
      </c>
      <c r="P26" s="19" t="n">
        <f aca="false">ROUND(M26*Tuning!$B$8,0)</f>
        <v>2098</v>
      </c>
      <c r="Q26" s="19" t="n">
        <f aca="false">ROUND(Tuning!$B$9+Tuning!$B$10*A26,0)</f>
        <v>82</v>
      </c>
      <c r="R26" s="19" t="n">
        <f aca="false">P26+Q26</f>
        <v>2180</v>
      </c>
      <c r="S26" s="19" t="n">
        <f aca="false">S25+R26</f>
        <v>11830</v>
      </c>
    </row>
    <row r="27" customFormat="false" ht="15" hidden="false" customHeight="false" outlineLevel="0" collapsed="false">
      <c r="A27" s="28" t="n">
        <v>23</v>
      </c>
      <c r="B27" s="22" t="n">
        <v>18</v>
      </c>
      <c r="C27" s="22" t="n">
        <v>22</v>
      </c>
      <c r="D27" s="22" t="n">
        <v>27</v>
      </c>
      <c r="E27" s="22" t="n">
        <v>22</v>
      </c>
      <c r="F27" s="22" t="n">
        <v>13</v>
      </c>
      <c r="G27" s="22" t="n">
        <v>9</v>
      </c>
      <c r="H27" s="22" t="n">
        <v>0</v>
      </c>
      <c r="I27" s="22" t="n">
        <v>0</v>
      </c>
      <c r="J27" s="19" t="n">
        <f aca="false">SUM(B27:I27)</f>
        <v>111</v>
      </c>
      <c r="K27" s="29" t="n">
        <f aca="false">ROUND(POWER(Tuning!$B$17,A27-1),3)</f>
        <v>3.05</v>
      </c>
      <c r="L27" s="20" t="n">
        <v>0.88</v>
      </c>
      <c r="M27" s="30" t="n">
        <f aca="false">ROUND((B27*Enemies!$H$5+C27*Enemies!$H$6+D27*Enemies!$H$7+E27*Enemies!$H$8+F27*Enemies!$H$9+G27*Enemies!$H$10+H27*Enemies!$H$11+I27*Enemies!$H$12)*K27,0)</f>
        <v>5158</v>
      </c>
      <c r="N27" s="19" t="n">
        <f aca="false">ROUND(J27*L27+14,0)</f>
        <v>112</v>
      </c>
      <c r="O27" s="16" t="n">
        <f aca="false">IF(N27=0,0,ROUND(M27/N27,1))</f>
        <v>46.1</v>
      </c>
      <c r="P27" s="19" t="n">
        <f aca="false">ROUND(M27*Tuning!$B$8,0)</f>
        <v>2218</v>
      </c>
      <c r="Q27" s="19" t="n">
        <f aca="false">ROUND(Tuning!$B$9+Tuning!$B$10*A27,0)</f>
        <v>83</v>
      </c>
      <c r="R27" s="19" t="n">
        <f aca="false">P27+Q27</f>
        <v>2301</v>
      </c>
      <c r="S27" s="19" t="n">
        <f aca="false">S26+R27</f>
        <v>14131</v>
      </c>
    </row>
    <row r="28" customFormat="false" ht="15" hidden="false" customHeight="false" outlineLevel="0" collapsed="false">
      <c r="A28" s="28" t="n">
        <v>24</v>
      </c>
      <c r="B28" s="22" t="n">
        <v>19</v>
      </c>
      <c r="C28" s="22" t="n">
        <v>23</v>
      </c>
      <c r="D28" s="22" t="n">
        <v>28</v>
      </c>
      <c r="E28" s="22" t="n">
        <v>23</v>
      </c>
      <c r="F28" s="22" t="n">
        <v>14</v>
      </c>
      <c r="G28" s="22" t="n">
        <v>9</v>
      </c>
      <c r="H28" s="22" t="n">
        <v>0</v>
      </c>
      <c r="I28" s="22" t="n">
        <v>0</v>
      </c>
      <c r="J28" s="19" t="n">
        <f aca="false">SUM(B28:I28)</f>
        <v>116</v>
      </c>
      <c r="K28" s="29" t="n">
        <f aca="false">ROUND(POWER(Tuning!$B$17,A28-1),3)</f>
        <v>3.209</v>
      </c>
      <c r="L28" s="20" t="n">
        <v>0.86</v>
      </c>
      <c r="M28" s="30" t="n">
        <f aca="false">ROUND((B28*Enemies!$H$5+C28*Enemies!$H$6+D28*Enemies!$H$7+E28*Enemies!$H$8+F28*Enemies!$H$9+G28*Enemies!$H$10+H28*Enemies!$H$11+I28*Enemies!$H$12)*K28,0)</f>
        <v>5722</v>
      </c>
      <c r="N28" s="19" t="n">
        <f aca="false">ROUND(J28*L28+14,0)</f>
        <v>114</v>
      </c>
      <c r="O28" s="16" t="n">
        <f aca="false">IF(N28=0,0,ROUND(M28/N28,1))</f>
        <v>50.2</v>
      </c>
      <c r="P28" s="19" t="n">
        <f aca="false">ROUND(M28*Tuning!$B$8,0)</f>
        <v>2460</v>
      </c>
      <c r="Q28" s="19" t="n">
        <f aca="false">ROUND(Tuning!$B$9+Tuning!$B$10*A28,0)</f>
        <v>84</v>
      </c>
      <c r="R28" s="19" t="n">
        <f aca="false">P28+Q28</f>
        <v>2544</v>
      </c>
      <c r="S28" s="19" t="n">
        <f aca="false">S27+R28</f>
        <v>16675</v>
      </c>
    </row>
    <row r="29" customFormat="false" ht="15" hidden="false" customHeight="false" outlineLevel="0" collapsed="false">
      <c r="A29" s="28" t="n">
        <v>25</v>
      </c>
      <c r="B29" s="22" t="n">
        <v>19</v>
      </c>
      <c r="C29" s="22" t="n">
        <v>24</v>
      </c>
      <c r="D29" s="22" t="n">
        <v>29</v>
      </c>
      <c r="E29" s="22" t="n">
        <v>24</v>
      </c>
      <c r="F29" s="22" t="n">
        <v>14</v>
      </c>
      <c r="G29" s="22" t="n">
        <v>10</v>
      </c>
      <c r="H29" s="22" t="n">
        <v>0</v>
      </c>
      <c r="I29" s="22" t="n">
        <v>0</v>
      </c>
      <c r="J29" s="19" t="n">
        <f aca="false">SUM(B29:I29)</f>
        <v>120</v>
      </c>
      <c r="K29" s="29" t="n">
        <f aca="false">ROUND(POWER(Tuning!$B$17,A29-1),3)</f>
        <v>3.376</v>
      </c>
      <c r="L29" s="20" t="n">
        <v>0.85</v>
      </c>
      <c r="M29" s="30" t="n">
        <f aca="false">ROUND((B29*Enemies!$H$5+C29*Enemies!$H$6+D29*Enemies!$H$7+E29*Enemies!$H$8+F29*Enemies!$H$9+G29*Enemies!$H$10+H29*Enemies!$H$11+I29*Enemies!$H$12)*K29,0)</f>
        <v>6188</v>
      </c>
      <c r="N29" s="19" t="n">
        <f aca="false">ROUND(J29*L29+14,0)</f>
        <v>116</v>
      </c>
      <c r="O29" s="16" t="n">
        <f aca="false">IF(N29=0,0,ROUND(M29/N29,1))</f>
        <v>53.3</v>
      </c>
      <c r="P29" s="19" t="n">
        <f aca="false">ROUND(M29*Tuning!$B$8,0)</f>
        <v>2661</v>
      </c>
      <c r="Q29" s="19" t="n">
        <f aca="false">ROUND(Tuning!$B$9+Tuning!$B$10*A29,0)</f>
        <v>85</v>
      </c>
      <c r="R29" s="19" t="n">
        <f aca="false">P29+Q29</f>
        <v>2746</v>
      </c>
      <c r="S29" s="19" t="n">
        <f aca="false">S28+R29</f>
        <v>19421</v>
      </c>
    </row>
    <row r="30" customFormat="false" ht="15" hidden="false" customHeight="false" outlineLevel="0" collapsed="false">
      <c r="A30" s="28" t="n">
        <v>26</v>
      </c>
      <c r="B30" s="22" t="n">
        <v>20</v>
      </c>
      <c r="C30" s="22" t="n">
        <v>25</v>
      </c>
      <c r="D30" s="22" t="n">
        <v>30</v>
      </c>
      <c r="E30" s="22" t="n">
        <v>25</v>
      </c>
      <c r="F30" s="22" t="n">
        <v>15</v>
      </c>
      <c r="G30" s="22" t="n">
        <v>10</v>
      </c>
      <c r="H30" s="22" t="n">
        <v>0</v>
      </c>
      <c r="I30" s="22" t="n">
        <v>0</v>
      </c>
      <c r="J30" s="19" t="n">
        <f aca="false">SUM(B30:I30)</f>
        <v>125</v>
      </c>
      <c r="K30" s="29" t="n">
        <f aca="false">ROUND(POWER(Tuning!$B$17,A30-1),3)</f>
        <v>3.551</v>
      </c>
      <c r="L30" s="20" t="n">
        <v>0.84</v>
      </c>
      <c r="M30" s="30" t="n">
        <f aca="false">ROUND((B30*Enemies!$H$5+C30*Enemies!$H$6+D30*Enemies!$H$7+E30*Enemies!$H$8+F30*Enemies!$H$9+G30*Enemies!$H$10+H30*Enemies!$H$11+I30*Enemies!$H$12)*K30,0)</f>
        <v>6836</v>
      </c>
      <c r="N30" s="19" t="n">
        <f aca="false">ROUND(J30*L30+14,0)</f>
        <v>119</v>
      </c>
      <c r="O30" s="16" t="n">
        <f aca="false">IF(N30=0,0,ROUND(M30/N30,1))</f>
        <v>57.4</v>
      </c>
      <c r="P30" s="19" t="n">
        <f aca="false">ROUND(M30*Tuning!$B$8,0)</f>
        <v>2939</v>
      </c>
      <c r="Q30" s="19" t="n">
        <f aca="false">ROUND(Tuning!$B$9+Tuning!$B$10*A30,0)</f>
        <v>86</v>
      </c>
      <c r="R30" s="19" t="n">
        <f aca="false">P30+Q30</f>
        <v>3025</v>
      </c>
      <c r="S30" s="19" t="n">
        <f aca="false">S29+R30</f>
        <v>22446</v>
      </c>
    </row>
    <row r="31" customFormat="false" ht="15" hidden="false" customHeight="false" outlineLevel="0" collapsed="false">
      <c r="A31" s="28" t="n">
        <v>27</v>
      </c>
      <c r="B31" s="22" t="n">
        <v>20</v>
      </c>
      <c r="C31" s="22" t="n">
        <v>26</v>
      </c>
      <c r="D31" s="22" t="n">
        <v>31</v>
      </c>
      <c r="E31" s="22" t="n">
        <v>26</v>
      </c>
      <c r="F31" s="22" t="n">
        <v>15</v>
      </c>
      <c r="G31" s="22" t="n">
        <v>10</v>
      </c>
      <c r="H31" s="22" t="n">
        <v>0</v>
      </c>
      <c r="I31" s="22" t="n">
        <v>0</v>
      </c>
      <c r="J31" s="19" t="n">
        <f aca="false">SUM(B31:I31)</f>
        <v>128</v>
      </c>
      <c r="K31" s="29" t="n">
        <f aca="false">ROUND(POWER(Tuning!$B$17,A31-1),3)</f>
        <v>3.736</v>
      </c>
      <c r="L31" s="20" t="n">
        <v>0.82</v>
      </c>
      <c r="M31" s="30" t="n">
        <f aca="false">ROUND((B31*Enemies!$H$5+C31*Enemies!$H$6+D31*Enemies!$H$7+E31*Enemies!$H$8+F31*Enemies!$H$9+G31*Enemies!$H$10+H31*Enemies!$H$11+I31*Enemies!$H$12)*K31,0)</f>
        <v>7304</v>
      </c>
      <c r="N31" s="19" t="n">
        <f aca="false">ROUND(J31*L31+14,0)</f>
        <v>119</v>
      </c>
      <c r="O31" s="16" t="n">
        <f aca="false">IF(N31=0,0,ROUND(M31/N31,1))</f>
        <v>61.4</v>
      </c>
      <c r="P31" s="19" t="n">
        <f aca="false">ROUND(M31*Tuning!$B$8,0)</f>
        <v>3141</v>
      </c>
      <c r="Q31" s="19" t="n">
        <f aca="false">ROUND(Tuning!$B$9+Tuning!$B$10*A31,0)</f>
        <v>87</v>
      </c>
      <c r="R31" s="19" t="n">
        <f aca="false">P31+Q31</f>
        <v>3228</v>
      </c>
      <c r="S31" s="19" t="n">
        <f aca="false">S30+R31</f>
        <v>25674</v>
      </c>
    </row>
    <row r="32" customFormat="false" ht="15" hidden="false" customHeight="false" outlineLevel="0" collapsed="false">
      <c r="A32" s="28" t="n">
        <v>28</v>
      </c>
      <c r="B32" s="22" t="n">
        <v>21</v>
      </c>
      <c r="C32" s="22" t="n">
        <v>26</v>
      </c>
      <c r="D32" s="22" t="n">
        <v>31</v>
      </c>
      <c r="E32" s="22" t="n">
        <v>26</v>
      </c>
      <c r="F32" s="22" t="n">
        <v>16</v>
      </c>
      <c r="G32" s="22" t="n">
        <v>10</v>
      </c>
      <c r="H32" s="22" t="n">
        <v>0</v>
      </c>
      <c r="I32" s="22" t="n">
        <v>0</v>
      </c>
      <c r="J32" s="19" t="n">
        <f aca="false">SUM(B32:I32)</f>
        <v>130</v>
      </c>
      <c r="K32" s="29" t="n">
        <f aca="false">ROUND(POWER(Tuning!$B$17,A32-1),3)</f>
        <v>3.93</v>
      </c>
      <c r="L32" s="20" t="n">
        <v>0.81</v>
      </c>
      <c r="M32" s="30" t="n">
        <f aca="false">ROUND((B32*Enemies!$H$5+C32*Enemies!$H$6+D32*Enemies!$H$7+E32*Enemies!$H$8+F32*Enemies!$H$9+G32*Enemies!$H$10+H32*Enemies!$H$11+I32*Enemies!$H$12)*K32,0)</f>
        <v>7927</v>
      </c>
      <c r="N32" s="19" t="n">
        <f aca="false">ROUND(J32*L32+14,0)</f>
        <v>119</v>
      </c>
      <c r="O32" s="16" t="n">
        <f aca="false">IF(N32=0,0,ROUND(M32/N32,1))</f>
        <v>66.6</v>
      </c>
      <c r="P32" s="19" t="n">
        <f aca="false">ROUND(M32*Tuning!$B$8,0)</f>
        <v>3409</v>
      </c>
      <c r="Q32" s="19" t="n">
        <f aca="false">ROUND(Tuning!$B$9+Tuning!$B$10*A32,0)</f>
        <v>88</v>
      </c>
      <c r="R32" s="19" t="n">
        <f aca="false">P32+Q32</f>
        <v>3497</v>
      </c>
      <c r="S32" s="19" t="n">
        <f aca="false">S31+R32</f>
        <v>29171</v>
      </c>
    </row>
    <row r="33" customFormat="false" ht="15" hidden="false" customHeight="false" outlineLevel="0" collapsed="false">
      <c r="A33" s="28" t="n">
        <v>29</v>
      </c>
      <c r="B33" s="22" t="n">
        <v>21</v>
      </c>
      <c r="C33" s="22" t="n">
        <v>26</v>
      </c>
      <c r="D33" s="22" t="n">
        <v>31</v>
      </c>
      <c r="E33" s="22" t="n">
        <v>26</v>
      </c>
      <c r="F33" s="22" t="n">
        <v>16</v>
      </c>
      <c r="G33" s="22" t="n">
        <v>10</v>
      </c>
      <c r="H33" s="22" t="n">
        <v>0</v>
      </c>
      <c r="I33" s="22" t="n">
        <v>0</v>
      </c>
      <c r="J33" s="19" t="n">
        <f aca="false">SUM(B33:I33)</f>
        <v>130</v>
      </c>
      <c r="K33" s="29" t="n">
        <f aca="false">ROUND(POWER(Tuning!$B$17,A33-1),3)</f>
        <v>4.135</v>
      </c>
      <c r="L33" s="20" t="n">
        <v>0.79</v>
      </c>
      <c r="M33" s="30" t="n">
        <f aca="false">ROUND((B33*Enemies!$H$5+C33*Enemies!$H$6+D33*Enemies!$H$7+E33*Enemies!$H$8+F33*Enemies!$H$9+G33*Enemies!$H$10+H33*Enemies!$H$11+I33*Enemies!$H$12)*K33,0)</f>
        <v>8340</v>
      </c>
      <c r="N33" s="19" t="n">
        <f aca="false">ROUND(J33*L33+14,0)</f>
        <v>117</v>
      </c>
      <c r="O33" s="16" t="n">
        <f aca="false">IF(N33=0,0,ROUND(M33/N33,1))</f>
        <v>71.3</v>
      </c>
      <c r="P33" s="19" t="n">
        <f aca="false">ROUND(M33*Tuning!$B$8,0)</f>
        <v>3586</v>
      </c>
      <c r="Q33" s="19" t="n">
        <f aca="false">ROUND(Tuning!$B$9+Tuning!$B$10*A33,0)</f>
        <v>89</v>
      </c>
      <c r="R33" s="19" t="n">
        <f aca="false">P33+Q33</f>
        <v>3675</v>
      </c>
      <c r="S33" s="19" t="n">
        <f aca="false">S32+R33</f>
        <v>32846</v>
      </c>
    </row>
    <row r="34" customFormat="false" ht="15" hidden="false" customHeight="false" outlineLevel="0" collapsed="false">
      <c r="A34" s="28" t="n">
        <v>30</v>
      </c>
      <c r="B34" s="22" t="n">
        <v>21</v>
      </c>
      <c r="C34" s="22" t="n">
        <v>26</v>
      </c>
      <c r="D34" s="22" t="n">
        <v>31</v>
      </c>
      <c r="E34" s="22" t="n">
        <v>26</v>
      </c>
      <c r="F34" s="22" t="n">
        <v>16</v>
      </c>
      <c r="G34" s="22" t="n">
        <v>10</v>
      </c>
      <c r="H34" s="22" t="n">
        <v>0</v>
      </c>
      <c r="I34" s="22" t="n">
        <v>0</v>
      </c>
      <c r="J34" s="19" t="n">
        <f aca="false">SUM(B34:I34)</f>
        <v>130</v>
      </c>
      <c r="K34" s="29" t="n">
        <f aca="false">ROUND(POWER(Tuning!$B$17,A34-1),3)</f>
        <v>4.35</v>
      </c>
      <c r="L34" s="20" t="n">
        <v>0.78</v>
      </c>
      <c r="M34" s="30" t="n">
        <f aca="false">ROUND((B34*Enemies!$H$5+C34*Enemies!$H$6+D34*Enemies!$H$7+E34*Enemies!$H$8+F34*Enemies!$H$9+G34*Enemies!$H$10+H34*Enemies!$H$11+I34*Enemies!$H$12)*K34,0)</f>
        <v>8774</v>
      </c>
      <c r="N34" s="19" t="n">
        <f aca="false">ROUND(J34*L34+14,0)</f>
        <v>115</v>
      </c>
      <c r="O34" s="16" t="n">
        <f aca="false">IF(N34=0,0,ROUND(M34/N34,1))</f>
        <v>76.3</v>
      </c>
      <c r="P34" s="19" t="n">
        <f aca="false">ROUND(M34*Tuning!$B$8,0)</f>
        <v>3773</v>
      </c>
      <c r="Q34" s="19" t="n">
        <f aca="false">ROUND(Tuning!$B$9+Tuning!$B$10*A34,0)</f>
        <v>90</v>
      </c>
      <c r="R34" s="19" t="n">
        <f aca="false">P34+Q34</f>
        <v>3863</v>
      </c>
      <c r="S34" s="19" t="n">
        <f aca="false">S33+R34</f>
        <v>36709</v>
      </c>
    </row>
    <row r="35" customFormat="false" ht="15" hidden="false" customHeight="false" outlineLevel="0" collapsed="false">
      <c r="A35" s="31" t="n">
        <v>31</v>
      </c>
      <c r="B35" s="32" t="n">
        <v>0</v>
      </c>
      <c r="C35" s="32" t="n">
        <v>16</v>
      </c>
      <c r="D35" s="32" t="n">
        <v>26</v>
      </c>
      <c r="E35" s="32" t="n">
        <v>31</v>
      </c>
      <c r="F35" s="32" t="n">
        <v>31</v>
      </c>
      <c r="G35" s="32" t="n">
        <v>18</v>
      </c>
      <c r="H35" s="32" t="n">
        <v>8</v>
      </c>
      <c r="I35" s="32" t="n">
        <v>0</v>
      </c>
      <c r="J35" s="24" t="n">
        <f aca="false">SUM(B35:I35)</f>
        <v>130</v>
      </c>
      <c r="K35" s="33" t="n">
        <f aca="false">ROUND(POWER(Tuning!$B$17,A35-1),3)</f>
        <v>4.576</v>
      </c>
      <c r="L35" s="34" t="n">
        <v>0.77</v>
      </c>
      <c r="M35" s="35" t="n">
        <f aca="false">ROUND((B35*Enemies!$H$5+C35*Enemies!$H$6+D35*Enemies!$H$7+E35*Enemies!$H$8+F35*Enemies!$H$9+G35*Enemies!$H$10+H35*Enemies!$H$11+I35*Enemies!$H$12)*K35,0)</f>
        <v>24418</v>
      </c>
      <c r="N35" s="24" t="n">
        <f aca="false">ROUND(J35*L35+14,0)</f>
        <v>114</v>
      </c>
      <c r="O35" s="25" t="n">
        <f aca="false">IF(N35=0,0,ROUND(M35/N35,1))</f>
        <v>214.2</v>
      </c>
      <c r="P35" s="24" t="n">
        <f aca="false">ROUND(M35*Tuning!$B$8,0)</f>
        <v>10500</v>
      </c>
      <c r="Q35" s="24" t="n">
        <f aca="false">ROUND(Tuning!$B$9+Tuning!$B$10*A35,0)</f>
        <v>91</v>
      </c>
      <c r="R35" s="24" t="n">
        <f aca="false">P35+Q35</f>
        <v>10591</v>
      </c>
      <c r="S35" s="24" t="n">
        <f aca="false">S34+R35</f>
        <v>47300</v>
      </c>
    </row>
    <row r="36" customFormat="false" ht="15" hidden="false" customHeight="false" outlineLevel="0" collapsed="false">
      <c r="A36" s="28" t="n">
        <v>32</v>
      </c>
      <c r="B36" s="22" t="n">
        <v>0</v>
      </c>
      <c r="C36" s="22" t="n">
        <v>16</v>
      </c>
      <c r="D36" s="22" t="n">
        <v>26</v>
      </c>
      <c r="E36" s="22" t="n">
        <v>31</v>
      </c>
      <c r="F36" s="22" t="n">
        <v>31</v>
      </c>
      <c r="G36" s="22" t="n">
        <v>18</v>
      </c>
      <c r="H36" s="22" t="n">
        <v>8</v>
      </c>
      <c r="I36" s="22" t="n">
        <v>0</v>
      </c>
      <c r="J36" s="19" t="n">
        <f aca="false">SUM(B36:I36)</f>
        <v>130</v>
      </c>
      <c r="K36" s="29" t="n">
        <f aca="false">ROUND(POWER(Tuning!$B$17,A36-1),3)</f>
        <v>4.814</v>
      </c>
      <c r="L36" s="20" t="n">
        <v>0.75</v>
      </c>
      <c r="M36" s="30" t="n">
        <f aca="false">ROUND((B36*Enemies!$H$5+C36*Enemies!$H$6+D36*Enemies!$H$7+E36*Enemies!$H$8+F36*Enemies!$H$9+G36*Enemies!$H$10+H36*Enemies!$H$11+I36*Enemies!$H$12)*K36,0)</f>
        <v>25688</v>
      </c>
      <c r="N36" s="19" t="n">
        <f aca="false">ROUND(J36*L36+14,0)</f>
        <v>112</v>
      </c>
      <c r="O36" s="16" t="n">
        <f aca="false">IF(N36=0,0,ROUND(M36/N36,1))</f>
        <v>229.4</v>
      </c>
      <c r="P36" s="19" t="n">
        <f aca="false">ROUND(M36*Tuning!$B$8,0)</f>
        <v>11046</v>
      </c>
      <c r="Q36" s="19" t="n">
        <f aca="false">ROUND(Tuning!$B$9+Tuning!$B$10*A36,0)</f>
        <v>92</v>
      </c>
      <c r="R36" s="19" t="n">
        <f aca="false">P36+Q36</f>
        <v>11138</v>
      </c>
      <c r="S36" s="19" t="n">
        <f aca="false">S35+R36</f>
        <v>58438</v>
      </c>
    </row>
    <row r="37" customFormat="false" ht="15" hidden="false" customHeight="false" outlineLevel="0" collapsed="false">
      <c r="A37" s="28" t="n">
        <v>33</v>
      </c>
      <c r="B37" s="22" t="n">
        <v>0</v>
      </c>
      <c r="C37" s="22" t="n">
        <v>16</v>
      </c>
      <c r="D37" s="22" t="n">
        <v>26</v>
      </c>
      <c r="E37" s="22" t="n">
        <v>31</v>
      </c>
      <c r="F37" s="22" t="n">
        <v>31</v>
      </c>
      <c r="G37" s="22" t="n">
        <v>18</v>
      </c>
      <c r="H37" s="22" t="n">
        <v>8</v>
      </c>
      <c r="I37" s="22" t="n">
        <v>0</v>
      </c>
      <c r="J37" s="19" t="n">
        <f aca="false">SUM(B37:I37)</f>
        <v>130</v>
      </c>
      <c r="K37" s="29" t="n">
        <f aca="false">ROUND(POWER(Tuning!$B$17,A37-1),3)</f>
        <v>5.064</v>
      </c>
      <c r="L37" s="20" t="n">
        <v>0.74</v>
      </c>
      <c r="M37" s="30" t="n">
        <f aca="false">ROUND((B37*Enemies!$H$5+C37*Enemies!$H$6+D37*Enemies!$H$7+E37*Enemies!$H$8+F37*Enemies!$H$9+G37*Enemies!$H$10+H37*Enemies!$H$11+I37*Enemies!$H$12)*K37,0)</f>
        <v>27022</v>
      </c>
      <c r="N37" s="19" t="n">
        <f aca="false">ROUND(J37*L37+14,0)</f>
        <v>110</v>
      </c>
      <c r="O37" s="16" t="n">
        <f aca="false">IF(N37=0,0,ROUND(M37/N37,1))</f>
        <v>245.7</v>
      </c>
      <c r="P37" s="19" t="n">
        <f aca="false">ROUND(M37*Tuning!$B$8,0)</f>
        <v>11619</v>
      </c>
      <c r="Q37" s="19" t="n">
        <f aca="false">ROUND(Tuning!$B$9+Tuning!$B$10*A37,0)</f>
        <v>93</v>
      </c>
      <c r="R37" s="19" t="n">
        <f aca="false">P37+Q37</f>
        <v>11712</v>
      </c>
      <c r="S37" s="19" t="n">
        <f aca="false">S36+R37</f>
        <v>70150</v>
      </c>
    </row>
    <row r="38" customFormat="false" ht="15" hidden="false" customHeight="false" outlineLevel="0" collapsed="false">
      <c r="A38" s="28" t="n">
        <v>34</v>
      </c>
      <c r="B38" s="22" t="n">
        <v>0</v>
      </c>
      <c r="C38" s="22" t="n">
        <v>16</v>
      </c>
      <c r="D38" s="22" t="n">
        <v>26</v>
      </c>
      <c r="E38" s="22" t="n">
        <v>31</v>
      </c>
      <c r="F38" s="22" t="n">
        <v>31</v>
      </c>
      <c r="G38" s="22" t="n">
        <v>18</v>
      </c>
      <c r="H38" s="22" t="n">
        <v>8</v>
      </c>
      <c r="I38" s="22" t="n">
        <v>0</v>
      </c>
      <c r="J38" s="19" t="n">
        <f aca="false">SUM(B38:I38)</f>
        <v>130</v>
      </c>
      <c r="K38" s="29" t="n">
        <f aca="false">ROUND(POWER(Tuning!$B$17,A38-1),3)</f>
        <v>5.327</v>
      </c>
      <c r="L38" s="20" t="n">
        <v>0.72</v>
      </c>
      <c r="M38" s="30" t="n">
        <f aca="false">ROUND((B38*Enemies!$H$5+C38*Enemies!$H$6+D38*Enemies!$H$7+E38*Enemies!$H$8+F38*Enemies!$H$9+G38*Enemies!$H$10+H38*Enemies!$H$11+I38*Enemies!$H$12)*K38,0)</f>
        <v>28425</v>
      </c>
      <c r="N38" s="19" t="n">
        <f aca="false">ROUND(J38*L38+14,0)</f>
        <v>108</v>
      </c>
      <c r="O38" s="16" t="n">
        <f aca="false">IF(N38=0,0,ROUND(M38/N38,1))</f>
        <v>263.2</v>
      </c>
      <c r="P38" s="19" t="n">
        <f aca="false">ROUND(M38*Tuning!$B$8,0)</f>
        <v>12223</v>
      </c>
      <c r="Q38" s="19" t="n">
        <f aca="false">ROUND(Tuning!$B$9+Tuning!$B$10*A38,0)</f>
        <v>94</v>
      </c>
      <c r="R38" s="19" t="n">
        <f aca="false">P38+Q38</f>
        <v>12317</v>
      </c>
      <c r="S38" s="19" t="n">
        <f aca="false">S37+R38</f>
        <v>82467</v>
      </c>
    </row>
    <row r="39" customFormat="false" ht="15" hidden="false" customHeight="false" outlineLevel="0" collapsed="false">
      <c r="A39" s="28" t="n">
        <v>35</v>
      </c>
      <c r="B39" s="22" t="n">
        <v>0</v>
      </c>
      <c r="C39" s="22" t="n">
        <v>16</v>
      </c>
      <c r="D39" s="22" t="n">
        <v>26</v>
      </c>
      <c r="E39" s="22" t="n">
        <v>31</v>
      </c>
      <c r="F39" s="22" t="n">
        <v>31</v>
      </c>
      <c r="G39" s="22" t="n">
        <v>18</v>
      </c>
      <c r="H39" s="22" t="n">
        <v>8</v>
      </c>
      <c r="I39" s="22" t="n">
        <v>0</v>
      </c>
      <c r="J39" s="19" t="n">
        <f aca="false">SUM(B39:I39)</f>
        <v>130</v>
      </c>
      <c r="K39" s="29" t="n">
        <f aca="false">ROUND(POWER(Tuning!$B$17,A39-1),3)</f>
        <v>5.604</v>
      </c>
      <c r="L39" s="20" t="n">
        <v>0.71</v>
      </c>
      <c r="M39" s="30" t="n">
        <f aca="false">ROUND((B39*Enemies!$H$5+C39*Enemies!$H$6+D39*Enemies!$H$7+E39*Enemies!$H$8+F39*Enemies!$H$9+G39*Enemies!$H$10+H39*Enemies!$H$11+I39*Enemies!$H$12)*K39,0)</f>
        <v>29903</v>
      </c>
      <c r="N39" s="19" t="n">
        <f aca="false">ROUND(J39*L39+14,0)</f>
        <v>106</v>
      </c>
      <c r="O39" s="16" t="n">
        <f aca="false">IF(N39=0,0,ROUND(M39/N39,1))</f>
        <v>282.1</v>
      </c>
      <c r="P39" s="19" t="n">
        <f aca="false">ROUND(M39*Tuning!$B$8,0)</f>
        <v>12858</v>
      </c>
      <c r="Q39" s="19" t="n">
        <f aca="false">ROUND(Tuning!$B$9+Tuning!$B$10*A39,0)</f>
        <v>95</v>
      </c>
      <c r="R39" s="19" t="n">
        <f aca="false">P39+Q39</f>
        <v>12953</v>
      </c>
      <c r="S39" s="19" t="n">
        <f aca="false">S38+R39</f>
        <v>95420</v>
      </c>
    </row>
    <row r="40" customFormat="false" ht="15" hidden="false" customHeight="false" outlineLevel="0" collapsed="false">
      <c r="A40" s="28" t="n">
        <v>36</v>
      </c>
      <c r="B40" s="22" t="n">
        <v>0</v>
      </c>
      <c r="C40" s="22" t="n">
        <v>16</v>
      </c>
      <c r="D40" s="22" t="n">
        <v>26</v>
      </c>
      <c r="E40" s="22" t="n">
        <v>31</v>
      </c>
      <c r="F40" s="22" t="n">
        <v>31</v>
      </c>
      <c r="G40" s="22" t="n">
        <v>18</v>
      </c>
      <c r="H40" s="22" t="n">
        <v>8</v>
      </c>
      <c r="I40" s="22" t="n">
        <v>0</v>
      </c>
      <c r="J40" s="19" t="n">
        <f aca="false">SUM(B40:I40)</f>
        <v>130</v>
      </c>
      <c r="K40" s="29" t="n">
        <f aca="false">ROUND(POWER(Tuning!$B$17,A40-1),3)</f>
        <v>5.896</v>
      </c>
      <c r="L40" s="20" t="n">
        <v>0.7</v>
      </c>
      <c r="M40" s="30" t="n">
        <f aca="false">ROUND((B40*Enemies!$H$5+C40*Enemies!$H$6+D40*Enemies!$H$7+E40*Enemies!$H$8+F40*Enemies!$H$9+G40*Enemies!$H$10+H40*Enemies!$H$11+I40*Enemies!$H$12)*K40,0)</f>
        <v>31461</v>
      </c>
      <c r="N40" s="19" t="n">
        <f aca="false">ROUND(J40*L40+14,0)</f>
        <v>105</v>
      </c>
      <c r="O40" s="16" t="n">
        <f aca="false">IF(N40=0,0,ROUND(M40/N40,1))</f>
        <v>299.6</v>
      </c>
      <c r="P40" s="19" t="n">
        <f aca="false">ROUND(M40*Tuning!$B$8,0)</f>
        <v>13528</v>
      </c>
      <c r="Q40" s="19" t="n">
        <f aca="false">ROUND(Tuning!$B$9+Tuning!$B$10*A40,0)</f>
        <v>96</v>
      </c>
      <c r="R40" s="19" t="n">
        <f aca="false">P40+Q40</f>
        <v>13624</v>
      </c>
      <c r="S40" s="19" t="n">
        <f aca="false">S39+R40</f>
        <v>109044</v>
      </c>
    </row>
    <row r="41" customFormat="false" ht="15" hidden="false" customHeight="false" outlineLevel="0" collapsed="false">
      <c r="A41" s="28" t="n">
        <v>37</v>
      </c>
      <c r="B41" s="22" t="n">
        <v>0</v>
      </c>
      <c r="C41" s="22" t="n">
        <v>16</v>
      </c>
      <c r="D41" s="22" t="n">
        <v>26</v>
      </c>
      <c r="E41" s="22" t="n">
        <v>31</v>
      </c>
      <c r="F41" s="22" t="n">
        <v>31</v>
      </c>
      <c r="G41" s="22" t="n">
        <v>18</v>
      </c>
      <c r="H41" s="22" t="n">
        <v>8</v>
      </c>
      <c r="I41" s="22" t="n">
        <v>0</v>
      </c>
      <c r="J41" s="19" t="n">
        <f aca="false">SUM(B41:I41)</f>
        <v>130</v>
      </c>
      <c r="K41" s="29" t="n">
        <f aca="false">ROUND(POWER(Tuning!$B$17,A41-1),3)</f>
        <v>6.202</v>
      </c>
      <c r="L41" s="20" t="n">
        <v>0.68</v>
      </c>
      <c r="M41" s="30" t="n">
        <f aca="false">ROUND((B41*Enemies!$H$5+C41*Enemies!$H$6+D41*Enemies!$H$7+E41*Enemies!$H$8+F41*Enemies!$H$9+G41*Enemies!$H$10+H41*Enemies!$H$11+I41*Enemies!$H$12)*K41,0)</f>
        <v>33094</v>
      </c>
      <c r="N41" s="19" t="n">
        <f aca="false">ROUND(J41*L41+14,0)</f>
        <v>102</v>
      </c>
      <c r="O41" s="16" t="n">
        <f aca="false">IF(N41=0,0,ROUND(M41/N41,1))</f>
        <v>324.5</v>
      </c>
      <c r="P41" s="19" t="n">
        <f aca="false">ROUND(M41*Tuning!$B$8,0)</f>
        <v>14230</v>
      </c>
      <c r="Q41" s="19" t="n">
        <f aca="false">ROUND(Tuning!$B$9+Tuning!$B$10*A41,0)</f>
        <v>97</v>
      </c>
      <c r="R41" s="19" t="n">
        <f aca="false">P41+Q41</f>
        <v>14327</v>
      </c>
      <c r="S41" s="19" t="n">
        <f aca="false">S40+R41</f>
        <v>123371</v>
      </c>
    </row>
    <row r="42" customFormat="false" ht="15" hidden="false" customHeight="false" outlineLevel="0" collapsed="false">
      <c r="A42" s="28" t="n">
        <v>38</v>
      </c>
      <c r="B42" s="22" t="n">
        <v>0</v>
      </c>
      <c r="C42" s="22" t="n">
        <v>16</v>
      </c>
      <c r="D42" s="22" t="n">
        <v>26</v>
      </c>
      <c r="E42" s="22" t="n">
        <v>31</v>
      </c>
      <c r="F42" s="22" t="n">
        <v>31</v>
      </c>
      <c r="G42" s="22" t="n">
        <v>18</v>
      </c>
      <c r="H42" s="22" t="n">
        <v>8</v>
      </c>
      <c r="I42" s="22" t="n">
        <v>0</v>
      </c>
      <c r="J42" s="19" t="n">
        <f aca="false">SUM(B42:I42)</f>
        <v>130</v>
      </c>
      <c r="K42" s="29" t="n">
        <f aca="false">ROUND(POWER(Tuning!$B$17,A42-1),3)</f>
        <v>6.525</v>
      </c>
      <c r="L42" s="20" t="n">
        <v>0.67</v>
      </c>
      <c r="M42" s="30" t="n">
        <f aca="false">ROUND((B42*Enemies!$H$5+C42*Enemies!$H$6+D42*Enemies!$H$7+E42*Enemies!$H$8+F42*Enemies!$H$9+G42*Enemies!$H$10+H42*Enemies!$H$11+I42*Enemies!$H$12)*K42,0)</f>
        <v>34817</v>
      </c>
      <c r="N42" s="19" t="n">
        <f aca="false">ROUND(J42*L42+14,0)</f>
        <v>101</v>
      </c>
      <c r="O42" s="16" t="n">
        <f aca="false">IF(N42=0,0,ROUND(M42/N42,1))</f>
        <v>344.7</v>
      </c>
      <c r="P42" s="19" t="n">
        <f aca="false">ROUND(M42*Tuning!$B$8,0)</f>
        <v>14971</v>
      </c>
      <c r="Q42" s="19" t="n">
        <f aca="false">ROUND(Tuning!$B$9+Tuning!$B$10*A42,0)</f>
        <v>98</v>
      </c>
      <c r="R42" s="19" t="n">
        <f aca="false">P42+Q42</f>
        <v>15069</v>
      </c>
      <c r="S42" s="19" t="n">
        <f aca="false">S41+R42</f>
        <v>138440</v>
      </c>
    </row>
    <row r="43" customFormat="false" ht="15" hidden="false" customHeight="false" outlineLevel="0" collapsed="false">
      <c r="A43" s="28" t="n">
        <v>39</v>
      </c>
      <c r="B43" s="22" t="n">
        <v>0</v>
      </c>
      <c r="C43" s="22" t="n">
        <v>16</v>
      </c>
      <c r="D43" s="22" t="n">
        <v>26</v>
      </c>
      <c r="E43" s="22" t="n">
        <v>31</v>
      </c>
      <c r="F43" s="22" t="n">
        <v>31</v>
      </c>
      <c r="G43" s="22" t="n">
        <v>18</v>
      </c>
      <c r="H43" s="22" t="n">
        <v>8</v>
      </c>
      <c r="I43" s="22" t="n">
        <v>0</v>
      </c>
      <c r="J43" s="19" t="n">
        <f aca="false">SUM(B43:I43)</f>
        <v>130</v>
      </c>
      <c r="K43" s="29" t="n">
        <f aca="false">ROUND(POWER(Tuning!$B$17,A43-1),3)</f>
        <v>6.864</v>
      </c>
      <c r="L43" s="20" t="n">
        <v>0.65</v>
      </c>
      <c r="M43" s="30" t="n">
        <f aca="false">ROUND((B43*Enemies!$H$5+C43*Enemies!$H$6+D43*Enemies!$H$7+E43*Enemies!$H$8+F43*Enemies!$H$9+G43*Enemies!$H$10+H43*Enemies!$H$11+I43*Enemies!$H$12)*K43,0)</f>
        <v>36626</v>
      </c>
      <c r="N43" s="19" t="n">
        <f aca="false">ROUND(J43*L43+14,0)</f>
        <v>99</v>
      </c>
      <c r="O43" s="16" t="n">
        <f aca="false">IF(N43=0,0,ROUND(M43/N43,1))</f>
        <v>370</v>
      </c>
      <c r="P43" s="19" t="n">
        <f aca="false">ROUND(M43*Tuning!$B$8,0)</f>
        <v>15749</v>
      </c>
      <c r="Q43" s="19" t="n">
        <f aca="false">ROUND(Tuning!$B$9+Tuning!$B$10*A43,0)</f>
        <v>99</v>
      </c>
      <c r="R43" s="19" t="n">
        <f aca="false">P43+Q43</f>
        <v>15848</v>
      </c>
      <c r="S43" s="19" t="n">
        <f aca="false">S42+R43</f>
        <v>154288</v>
      </c>
    </row>
    <row r="44" customFormat="false" ht="15" hidden="false" customHeight="false" outlineLevel="0" collapsed="false">
      <c r="A44" s="31" t="n">
        <v>40</v>
      </c>
      <c r="B44" s="32" t="n">
        <v>0</v>
      </c>
      <c r="C44" s="32" t="n">
        <v>16</v>
      </c>
      <c r="D44" s="32" t="n">
        <v>26</v>
      </c>
      <c r="E44" s="32" t="n">
        <v>31</v>
      </c>
      <c r="F44" s="32" t="n">
        <v>31</v>
      </c>
      <c r="G44" s="32" t="n">
        <v>18</v>
      </c>
      <c r="H44" s="32" t="n">
        <v>8</v>
      </c>
      <c r="I44" s="32" t="n">
        <v>1</v>
      </c>
      <c r="J44" s="24" t="n">
        <f aca="false">SUM(B44:I44)</f>
        <v>131</v>
      </c>
      <c r="K44" s="33" t="n">
        <f aca="false">ROUND(POWER(Tuning!$B$17,A44-1),3)</f>
        <v>7.221</v>
      </c>
      <c r="L44" s="34" t="n">
        <v>0.64</v>
      </c>
      <c r="M44" s="35" t="n">
        <f aca="false">ROUND((B44*Enemies!$H$5+C44*Enemies!$H$6+D44*Enemies!$H$7+E44*Enemies!$H$8+F44*Enemies!$H$9+G44*Enemies!$H$10+H44*Enemies!$H$11+I44*Enemies!$H$12)*K44,0)</f>
        <v>51673</v>
      </c>
      <c r="N44" s="24" t="n">
        <f aca="false">ROUND(J44*L44+14,0)</f>
        <v>98</v>
      </c>
      <c r="O44" s="25" t="n">
        <f aca="false">IF(N44=0,0,ROUND(M44/N44,1))</f>
        <v>527.3</v>
      </c>
      <c r="P44" s="24" t="n">
        <f aca="false">ROUND(M44*Tuning!$B$8,0)</f>
        <v>22219</v>
      </c>
      <c r="Q44" s="24" t="n">
        <f aca="false">ROUND(Tuning!$B$9+Tuning!$B$10*A44,0)</f>
        <v>100</v>
      </c>
      <c r="R44" s="24" t="n">
        <f aca="false">P44+Q44</f>
        <v>22319</v>
      </c>
      <c r="S44" s="24" t="n">
        <f aca="false">S43+R44</f>
        <v>176607</v>
      </c>
    </row>
    <row r="46" customFormat="false" ht="15" hidden="false" customHeight="false" outlineLevel="0" collapsed="false">
      <c r="A46" s="27" t="s">
        <v>278</v>
      </c>
    </row>
    <row r="47" customFormat="false" ht="15" hidden="false" customHeight="false" outlineLevel="0" collapsed="false">
      <c r="A47" s="27" t="s">
        <v>279</v>
      </c>
    </row>
    <row r="48" customFormat="false" ht="15" hidden="false" customHeight="false" outlineLevel="0" collapsed="false">
      <c r="A48" s="27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8" min="7" style="0" width="14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" t="s">
        <v>282</v>
      </c>
    </row>
    <row r="4" customFormat="false" ht="27.75" hidden="false" customHeight="true" outlineLevel="0" collapsed="false">
      <c r="A4" s="6" t="s">
        <v>261</v>
      </c>
      <c r="B4" s="6" t="s">
        <v>273</v>
      </c>
      <c r="C4" s="6" t="s">
        <v>283</v>
      </c>
      <c r="D4" s="6" t="s">
        <v>147</v>
      </c>
      <c r="E4" s="6" t="s">
        <v>284</v>
      </c>
      <c r="F4" s="6" t="s">
        <v>277</v>
      </c>
      <c r="G4" s="6" t="s">
        <v>285</v>
      </c>
      <c r="H4" s="6" t="s">
        <v>286</v>
      </c>
      <c r="I4" s="6" t="s">
        <v>287</v>
      </c>
    </row>
    <row r="5" customFormat="false" ht="15" hidden="false" customHeight="false" outlineLevel="0" collapsed="false">
      <c r="A5" s="28" t="n">
        <v>1</v>
      </c>
      <c r="B5" s="36" t="n">
        <f aca="false">Rounds!O5</f>
        <v>0.9</v>
      </c>
      <c r="C5" s="16" t="n">
        <f aca="false">MIN(5,A5/Tuning!$B$32)</f>
        <v>0.125</v>
      </c>
      <c r="D5" s="16" t="n">
        <f aca="false">ROUND(Towers!$C$11*POWER(Tuning!$B$12/Tuning!$B$13,C5),1)</f>
        <v>68.3</v>
      </c>
      <c r="E5" s="19" t="n">
        <f aca="false">ROUND(B5*D5/Tuning!$B$31,0)</f>
        <v>102</v>
      </c>
      <c r="F5" s="30" t="n">
        <f aca="false">Rounds!S5</f>
        <v>727</v>
      </c>
      <c r="G5" s="19" t="n">
        <f aca="false">ROUND(F5*Tuning!$B$30,0)</f>
        <v>545</v>
      </c>
      <c r="H5" s="37" t="n">
        <f aca="false">IF(E5=0,0,G5/E5)</f>
        <v>5.34313725490196</v>
      </c>
      <c r="I5" s="14" t="str">
        <f aca="false">IF(H5&lt;1,"TIGHT",IF(H5&lt;2,"OK","EASY"))</f>
        <v>EASY</v>
      </c>
    </row>
    <row r="6" customFormat="false" ht="15" hidden="false" customHeight="false" outlineLevel="0" collapsed="false">
      <c r="A6" s="28" t="n">
        <v>2</v>
      </c>
      <c r="B6" s="36" t="n">
        <f aca="false">Rounds!O6</f>
        <v>1</v>
      </c>
      <c r="C6" s="16" t="n">
        <f aca="false">MIN(5,A6/Tuning!$B$32)</f>
        <v>0.25</v>
      </c>
      <c r="D6" s="16" t="n">
        <f aca="false">ROUND(Towers!$C$11*POWER(Tuning!$B$12/Tuning!$B$13,C6),1)</f>
        <v>69.9</v>
      </c>
      <c r="E6" s="19" t="n">
        <f aca="false">ROUND(B6*D6/Tuning!$B$31,0)</f>
        <v>117</v>
      </c>
      <c r="F6" s="30" t="n">
        <f aca="false">Rounds!S6</f>
        <v>809</v>
      </c>
      <c r="G6" s="19" t="n">
        <f aca="false">ROUND(F6*Tuning!$B$30,0)</f>
        <v>607</v>
      </c>
      <c r="H6" s="37" t="n">
        <f aca="false">IF(E6=0,0,G6/E6)</f>
        <v>5.18803418803419</v>
      </c>
      <c r="I6" s="14" t="str">
        <f aca="false">IF(H6&lt;1,"TIGHT",IF(H6&lt;2,"OK","EASY"))</f>
        <v>EASY</v>
      </c>
    </row>
    <row r="7" customFormat="false" ht="15" hidden="false" customHeight="false" outlineLevel="0" collapsed="false">
      <c r="A7" s="28" t="n">
        <v>3</v>
      </c>
      <c r="B7" s="36" t="n">
        <f aca="false">Rounds!O7</f>
        <v>1.1</v>
      </c>
      <c r="C7" s="16" t="n">
        <f aca="false">MIN(5,A7/Tuning!$B$32)</f>
        <v>0.375</v>
      </c>
      <c r="D7" s="16" t="n">
        <f aca="false">ROUND(Towers!$C$11*POWER(Tuning!$B$12/Tuning!$B$13,C7),1)</f>
        <v>71.6</v>
      </c>
      <c r="E7" s="19" t="n">
        <f aca="false">ROUND(B7*D7/Tuning!$B$31,0)</f>
        <v>131</v>
      </c>
      <c r="F7" s="30" t="n">
        <f aca="false">Rounds!S7</f>
        <v>896</v>
      </c>
      <c r="G7" s="19" t="n">
        <f aca="false">ROUND(F7*Tuning!$B$30,0)</f>
        <v>672</v>
      </c>
      <c r="H7" s="37" t="n">
        <f aca="false">IF(E7=0,0,G7/E7)</f>
        <v>5.12977099236641</v>
      </c>
      <c r="I7" s="14" t="str">
        <f aca="false">IF(H7&lt;1,"TIGHT",IF(H7&lt;2,"OK","EASY"))</f>
        <v>EASY</v>
      </c>
    </row>
    <row r="8" customFormat="false" ht="15" hidden="false" customHeight="false" outlineLevel="0" collapsed="false">
      <c r="A8" s="28" t="n">
        <v>4</v>
      </c>
      <c r="B8" s="36" t="n">
        <f aca="false">Rounds!O8</f>
        <v>1.2</v>
      </c>
      <c r="C8" s="16" t="n">
        <f aca="false">MIN(5,A8/Tuning!$B$32)</f>
        <v>0.5</v>
      </c>
      <c r="D8" s="16" t="n">
        <f aca="false">ROUND(Towers!$C$11*POWER(Tuning!$B$12/Tuning!$B$13,C8),1)</f>
        <v>73.3</v>
      </c>
      <c r="E8" s="19" t="n">
        <f aca="false">ROUND(B8*D8/Tuning!$B$31,0)</f>
        <v>147</v>
      </c>
      <c r="F8" s="30" t="n">
        <f aca="false">Rounds!S8</f>
        <v>988</v>
      </c>
      <c r="G8" s="19" t="n">
        <f aca="false">ROUND(F8*Tuning!$B$30,0)</f>
        <v>741</v>
      </c>
      <c r="H8" s="37" t="n">
        <f aca="false">IF(E8=0,0,G8/E8)</f>
        <v>5.04081632653061</v>
      </c>
      <c r="I8" s="14" t="str">
        <f aca="false">IF(H8&lt;1,"TIGHT",IF(H8&lt;2,"OK","EASY"))</f>
        <v>EASY</v>
      </c>
    </row>
    <row r="9" customFormat="false" ht="15" hidden="false" customHeight="false" outlineLevel="0" collapsed="false">
      <c r="A9" s="28" t="n">
        <v>5</v>
      </c>
      <c r="B9" s="36" t="n">
        <f aca="false">Rounds!O9</f>
        <v>1.3</v>
      </c>
      <c r="C9" s="16" t="n">
        <f aca="false">MIN(5,A9/Tuning!$B$32)</f>
        <v>0.625</v>
      </c>
      <c r="D9" s="16" t="n">
        <f aca="false">ROUND(Towers!$C$11*POWER(Tuning!$B$12/Tuning!$B$13,C9),1)</f>
        <v>75.1</v>
      </c>
      <c r="E9" s="19" t="n">
        <f aca="false">ROUND(B9*D9/Tuning!$B$31,0)</f>
        <v>163</v>
      </c>
      <c r="F9" s="30" t="n">
        <f aca="false">Rounds!S9</f>
        <v>1086</v>
      </c>
      <c r="G9" s="19" t="n">
        <f aca="false">ROUND(F9*Tuning!$B$30,0)</f>
        <v>815</v>
      </c>
      <c r="H9" s="37" t="n">
        <f aca="false">IF(E9=0,0,G9/E9)</f>
        <v>5</v>
      </c>
      <c r="I9" s="14" t="str">
        <f aca="false">IF(H9&lt;1,"TIGHT",IF(H9&lt;2,"OK","EASY"))</f>
        <v>EASY</v>
      </c>
    </row>
    <row r="10" customFormat="false" ht="15" hidden="false" customHeight="false" outlineLevel="0" collapsed="false">
      <c r="A10" s="28" t="n">
        <v>6</v>
      </c>
      <c r="B10" s="36" t="n">
        <f aca="false">Rounds!O10</f>
        <v>1.4</v>
      </c>
      <c r="C10" s="16" t="n">
        <f aca="false">MIN(5,A10/Tuning!$B$32)</f>
        <v>0.75</v>
      </c>
      <c r="D10" s="16" t="n">
        <f aca="false">ROUND(Towers!$C$11*POWER(Tuning!$B$12/Tuning!$B$13,C10),1)</f>
        <v>76.9</v>
      </c>
      <c r="E10" s="19" t="n">
        <f aca="false">ROUND(B10*D10/Tuning!$B$31,0)</f>
        <v>179</v>
      </c>
      <c r="F10" s="30" t="n">
        <f aca="false">Rounds!S10</f>
        <v>1190</v>
      </c>
      <c r="G10" s="19" t="n">
        <f aca="false">ROUND(F10*Tuning!$B$30,0)</f>
        <v>893</v>
      </c>
      <c r="H10" s="37" t="n">
        <f aca="false">IF(E10=0,0,G10/E10)</f>
        <v>4.98882681564246</v>
      </c>
      <c r="I10" s="14" t="str">
        <f aca="false">IF(H10&lt;1,"TIGHT",IF(H10&lt;2,"OK","EASY"))</f>
        <v>EASY</v>
      </c>
    </row>
    <row r="11" customFormat="false" ht="15" hidden="false" customHeight="false" outlineLevel="0" collapsed="false">
      <c r="A11" s="28" t="n">
        <v>7</v>
      </c>
      <c r="B11" s="36" t="n">
        <f aca="false">Rounds!O11</f>
        <v>1.5</v>
      </c>
      <c r="C11" s="16" t="n">
        <f aca="false">MIN(5,A11/Tuning!$B$32)</f>
        <v>0.875</v>
      </c>
      <c r="D11" s="16" t="n">
        <f aca="false">ROUND(Towers!$C$11*POWER(Tuning!$B$12/Tuning!$B$13,C11),1)</f>
        <v>78.8</v>
      </c>
      <c r="E11" s="19" t="n">
        <f aca="false">ROUND(B11*D11/Tuning!$B$31,0)</f>
        <v>197</v>
      </c>
      <c r="F11" s="30" t="n">
        <f aca="false">Rounds!S11</f>
        <v>1300</v>
      </c>
      <c r="G11" s="19" t="n">
        <f aca="false">ROUND(F11*Tuning!$B$30,0)</f>
        <v>975</v>
      </c>
      <c r="H11" s="37" t="n">
        <f aca="false">IF(E11=0,0,G11/E11)</f>
        <v>4.9492385786802</v>
      </c>
      <c r="I11" s="14" t="str">
        <f aca="false">IF(H11&lt;1,"TIGHT",IF(H11&lt;2,"OK","EASY"))</f>
        <v>EASY</v>
      </c>
    </row>
    <row r="12" customFormat="false" ht="15" hidden="false" customHeight="false" outlineLevel="0" collapsed="false">
      <c r="A12" s="28" t="n">
        <v>8</v>
      </c>
      <c r="B12" s="36" t="n">
        <f aca="false">Rounds!O12</f>
        <v>1.6</v>
      </c>
      <c r="C12" s="16" t="n">
        <f aca="false">MIN(5,A12/Tuning!$B$32)</f>
        <v>1</v>
      </c>
      <c r="D12" s="16" t="n">
        <f aca="false">ROUND(Towers!$C$11*POWER(Tuning!$B$12/Tuning!$B$13,C12),1)</f>
        <v>80.7</v>
      </c>
      <c r="E12" s="19" t="n">
        <f aca="false">ROUND(B12*D12/Tuning!$B$31,0)</f>
        <v>215</v>
      </c>
      <c r="F12" s="30" t="n">
        <f aca="false">Rounds!S12</f>
        <v>1418</v>
      </c>
      <c r="G12" s="19" t="n">
        <f aca="false">ROUND(F12*Tuning!$B$30,0)</f>
        <v>1064</v>
      </c>
      <c r="H12" s="37" t="n">
        <f aca="false">IF(E12=0,0,G12/E12)</f>
        <v>4.94883720930233</v>
      </c>
      <c r="I12" s="14" t="str">
        <f aca="false">IF(H12&lt;1,"TIGHT",IF(H12&lt;2,"OK","EASY"))</f>
        <v>EASY</v>
      </c>
    </row>
    <row r="13" customFormat="false" ht="15" hidden="false" customHeight="false" outlineLevel="0" collapsed="false">
      <c r="A13" s="28" t="n">
        <v>9</v>
      </c>
      <c r="B13" s="36" t="n">
        <f aca="false">Rounds!O13</f>
        <v>1.8</v>
      </c>
      <c r="C13" s="16" t="n">
        <f aca="false">MIN(5,A13/Tuning!$B$32)</f>
        <v>1.125</v>
      </c>
      <c r="D13" s="16" t="n">
        <f aca="false">ROUND(Towers!$C$11*POWER(Tuning!$B$12/Tuning!$B$13,C13),1)</f>
        <v>82.7</v>
      </c>
      <c r="E13" s="19" t="n">
        <f aca="false">ROUND(B13*D13/Tuning!$B$31,0)</f>
        <v>248</v>
      </c>
      <c r="F13" s="30" t="n">
        <f aca="false">Rounds!S13</f>
        <v>1544</v>
      </c>
      <c r="G13" s="19" t="n">
        <f aca="false">ROUND(F13*Tuning!$B$30,0)</f>
        <v>1158</v>
      </c>
      <c r="H13" s="37" t="n">
        <f aca="false">IF(E13=0,0,G13/E13)</f>
        <v>4.66935483870968</v>
      </c>
      <c r="I13" s="14" t="str">
        <f aca="false">IF(H13&lt;1,"TIGHT",IF(H13&lt;2,"OK","EASY"))</f>
        <v>EASY</v>
      </c>
    </row>
    <row r="14" customFormat="false" ht="15" hidden="false" customHeight="false" outlineLevel="0" collapsed="false">
      <c r="A14" s="28" t="n">
        <v>10</v>
      </c>
      <c r="B14" s="36" t="n">
        <f aca="false">Rounds!O14</f>
        <v>1.9</v>
      </c>
      <c r="C14" s="16" t="n">
        <f aca="false">MIN(5,A14/Tuning!$B$32)</f>
        <v>1.25</v>
      </c>
      <c r="D14" s="16" t="n">
        <f aca="false">ROUND(Towers!$C$11*POWER(Tuning!$B$12/Tuning!$B$13,C14),1)</f>
        <v>84.6</v>
      </c>
      <c r="E14" s="19" t="n">
        <f aca="false">ROUND(B14*D14/Tuning!$B$31,0)</f>
        <v>268</v>
      </c>
      <c r="F14" s="30" t="n">
        <f aca="false">Rounds!S14</f>
        <v>1678</v>
      </c>
      <c r="G14" s="19" t="n">
        <f aca="false">ROUND(F14*Tuning!$B$30,0)</f>
        <v>1259</v>
      </c>
      <c r="H14" s="37" t="n">
        <f aca="false">IF(E14=0,0,G14/E14)</f>
        <v>4.69776119402985</v>
      </c>
      <c r="I14" s="14" t="str">
        <f aca="false">IF(H14&lt;1,"TIGHT",IF(H14&lt;2,"OK","EASY"))</f>
        <v>EASY</v>
      </c>
    </row>
    <row r="15" customFormat="false" ht="15" hidden="false" customHeight="false" outlineLevel="0" collapsed="false">
      <c r="A15" s="31" t="n">
        <v>11</v>
      </c>
      <c r="B15" s="38" t="n">
        <f aca="false">Rounds!O15</f>
        <v>9.2</v>
      </c>
      <c r="C15" s="25" t="n">
        <f aca="false">MIN(5,A15/Tuning!$B$32)</f>
        <v>1.375</v>
      </c>
      <c r="D15" s="25" t="n">
        <f aca="false">ROUND(Towers!$C$11*POWER(Tuning!$B$12/Tuning!$B$13,C15),1)</f>
        <v>86.7</v>
      </c>
      <c r="E15" s="24" t="n">
        <f aca="false">ROUND(B15*D15/Tuning!$B$31,0)</f>
        <v>1329</v>
      </c>
      <c r="F15" s="35" t="n">
        <f aca="false">Rounds!S15</f>
        <v>2068</v>
      </c>
      <c r="G15" s="24" t="n">
        <f aca="false">ROUND(F15*Tuning!$B$30,0)</f>
        <v>1551</v>
      </c>
      <c r="H15" s="39" t="n">
        <f aca="false">IF(E15=0,0,G15/E15)</f>
        <v>1.16704288939052</v>
      </c>
      <c r="I15" s="40" t="str">
        <f aca="false">IF(H15&lt;1,"TIGHT",IF(H15&lt;2,"OK","EASY"))</f>
        <v>OK</v>
      </c>
    </row>
    <row r="16" customFormat="false" ht="15" hidden="false" customHeight="false" outlineLevel="0" collapsed="false">
      <c r="A16" s="28" t="n">
        <v>12</v>
      </c>
      <c r="B16" s="36" t="n">
        <f aca="false">Rounds!O16</f>
        <v>9.7</v>
      </c>
      <c r="C16" s="16" t="n">
        <f aca="false">MIN(5,A16/Tuning!$B$32)</f>
        <v>1.5</v>
      </c>
      <c r="D16" s="16" t="n">
        <f aca="false">ROUND(Towers!$C$11*POWER(Tuning!$B$12/Tuning!$B$13,C16),1)</f>
        <v>88.8</v>
      </c>
      <c r="E16" s="19" t="n">
        <f aca="false">ROUND(B16*D16/Tuning!$B$31,0)</f>
        <v>1436</v>
      </c>
      <c r="F16" s="30" t="n">
        <f aca="false">Rounds!S16</f>
        <v>2485</v>
      </c>
      <c r="G16" s="19" t="n">
        <f aca="false">ROUND(F16*Tuning!$B$30,0)</f>
        <v>1864</v>
      </c>
      <c r="H16" s="37" t="n">
        <f aca="false">IF(E16=0,0,G16/E16)</f>
        <v>1.29805013927577</v>
      </c>
      <c r="I16" s="14" t="str">
        <f aca="false">IF(H16&lt;1,"TIGHT",IF(H16&lt;2,"OK","EASY"))</f>
        <v>OK</v>
      </c>
    </row>
    <row r="17" customFormat="false" ht="15" hidden="false" customHeight="false" outlineLevel="0" collapsed="false">
      <c r="A17" s="28" t="n">
        <v>13</v>
      </c>
      <c r="B17" s="36" t="n">
        <f aca="false">Rounds!O17</f>
        <v>10.7</v>
      </c>
      <c r="C17" s="16" t="n">
        <f aca="false">MIN(5,A17/Tuning!$B$32)</f>
        <v>1.625</v>
      </c>
      <c r="D17" s="16" t="n">
        <f aca="false">ROUND(Towers!$C$11*POWER(Tuning!$B$12/Tuning!$B$13,C17),1)</f>
        <v>90.9</v>
      </c>
      <c r="E17" s="19" t="n">
        <f aca="false">ROUND(B17*D17/Tuning!$B$31,0)</f>
        <v>1621</v>
      </c>
      <c r="F17" s="30" t="n">
        <f aca="false">Rounds!S17</f>
        <v>2962</v>
      </c>
      <c r="G17" s="19" t="n">
        <f aca="false">ROUND(F17*Tuning!$B$30,0)</f>
        <v>2222</v>
      </c>
      <c r="H17" s="37" t="n">
        <f aca="false">IF(E17=0,0,G17/E17)</f>
        <v>1.37075879086983</v>
      </c>
      <c r="I17" s="14" t="str">
        <f aca="false">IF(H17&lt;1,"TIGHT",IF(H17&lt;2,"OK","EASY"))</f>
        <v>OK</v>
      </c>
    </row>
    <row r="18" customFormat="false" ht="15" hidden="false" customHeight="false" outlineLevel="0" collapsed="false">
      <c r="A18" s="28" t="n">
        <v>14</v>
      </c>
      <c r="B18" s="36" t="n">
        <f aca="false">Rounds!O18</f>
        <v>11.2</v>
      </c>
      <c r="C18" s="16" t="n">
        <f aca="false">MIN(5,A18/Tuning!$B$32)</f>
        <v>1.75</v>
      </c>
      <c r="D18" s="16" t="n">
        <f aca="false">ROUND(Towers!$C$11*POWER(Tuning!$B$12/Tuning!$B$13,C18),1)</f>
        <v>93.1</v>
      </c>
      <c r="E18" s="19" t="n">
        <f aca="false">ROUND(B18*D18/Tuning!$B$31,0)</f>
        <v>1738</v>
      </c>
      <c r="F18" s="30" t="n">
        <f aca="false">Rounds!S18</f>
        <v>3471</v>
      </c>
      <c r="G18" s="19" t="n">
        <f aca="false">ROUND(F18*Tuning!$B$30,0)</f>
        <v>2603</v>
      </c>
      <c r="H18" s="37" t="n">
        <f aca="false">IF(E18=0,0,G18/E18)</f>
        <v>1.49769850402762</v>
      </c>
      <c r="I18" s="14" t="str">
        <f aca="false">IF(H18&lt;1,"TIGHT",IF(H18&lt;2,"OK","EASY"))</f>
        <v>OK</v>
      </c>
    </row>
    <row r="19" customFormat="false" ht="15" hidden="false" customHeight="false" outlineLevel="0" collapsed="false">
      <c r="A19" s="28" t="n">
        <v>15</v>
      </c>
      <c r="B19" s="36" t="n">
        <f aca="false">Rounds!O19</f>
        <v>12.1</v>
      </c>
      <c r="C19" s="16" t="n">
        <f aca="false">MIN(5,A19/Tuning!$B$32)</f>
        <v>1.875</v>
      </c>
      <c r="D19" s="16" t="n">
        <f aca="false">ROUND(Towers!$C$11*POWER(Tuning!$B$12/Tuning!$B$13,C19),1)</f>
        <v>95.4</v>
      </c>
      <c r="E19" s="19" t="n">
        <f aca="false">ROUND(B19*D19/Tuning!$B$31,0)</f>
        <v>1924</v>
      </c>
      <c r="F19" s="30" t="n">
        <f aca="false">Rounds!S19</f>
        <v>4030</v>
      </c>
      <c r="G19" s="19" t="n">
        <f aca="false">ROUND(F19*Tuning!$B$30,0)</f>
        <v>3023</v>
      </c>
      <c r="H19" s="37" t="n">
        <f aca="false">IF(E19=0,0,G19/E19)</f>
        <v>1.57120582120582</v>
      </c>
      <c r="I19" s="14" t="str">
        <f aca="false">IF(H19&lt;1,"TIGHT",IF(H19&lt;2,"OK","EASY"))</f>
        <v>OK</v>
      </c>
    </row>
    <row r="20" customFormat="false" ht="15" hidden="false" customHeight="false" outlineLevel="0" collapsed="false">
      <c r="A20" s="28" t="n">
        <v>16</v>
      </c>
      <c r="B20" s="36" t="n">
        <f aca="false">Rounds!O20</f>
        <v>13.1</v>
      </c>
      <c r="C20" s="16" t="n">
        <f aca="false">MIN(5,A20/Tuning!$B$32)</f>
        <v>2</v>
      </c>
      <c r="D20" s="16" t="n">
        <f aca="false">ROUND(Towers!$C$11*POWER(Tuning!$B$12/Tuning!$B$13,C20),1)</f>
        <v>97.7</v>
      </c>
      <c r="E20" s="19" t="n">
        <f aca="false">ROUND(B20*D20/Tuning!$B$31,0)</f>
        <v>2133</v>
      </c>
      <c r="F20" s="30" t="n">
        <f aca="false">Rounds!S20</f>
        <v>4645</v>
      </c>
      <c r="G20" s="19" t="n">
        <f aca="false">ROUND(F20*Tuning!$B$30,0)</f>
        <v>3484</v>
      </c>
      <c r="H20" s="37" t="n">
        <f aca="false">IF(E20=0,0,G20/E20)</f>
        <v>1.6333802156587</v>
      </c>
      <c r="I20" s="14" t="str">
        <f aca="false">IF(H20&lt;1,"TIGHT",IF(H20&lt;2,"OK","EASY"))</f>
        <v>OK</v>
      </c>
    </row>
    <row r="21" customFormat="false" ht="15" hidden="false" customHeight="false" outlineLevel="0" collapsed="false">
      <c r="A21" s="28" t="n">
        <v>17</v>
      </c>
      <c r="B21" s="36" t="n">
        <f aca="false">Rounds!O21</f>
        <v>14.2</v>
      </c>
      <c r="C21" s="16" t="n">
        <f aca="false">MIN(5,A21/Tuning!$B$32)</f>
        <v>2.125</v>
      </c>
      <c r="D21" s="16" t="n">
        <f aca="false">ROUND(Towers!$C$11*POWER(Tuning!$B$12/Tuning!$B$13,C21),1)</f>
        <v>100.1</v>
      </c>
      <c r="E21" s="19" t="n">
        <f aca="false">ROUND(B21*D21/Tuning!$B$31,0)</f>
        <v>2369</v>
      </c>
      <c r="F21" s="30" t="n">
        <f aca="false">Rounds!S21</f>
        <v>5319</v>
      </c>
      <c r="G21" s="19" t="n">
        <f aca="false">ROUND(F21*Tuning!$B$30,0)</f>
        <v>3989</v>
      </c>
      <c r="H21" s="37" t="n">
        <f aca="false">IF(E21=0,0,G21/E21)</f>
        <v>1.68383284086112</v>
      </c>
      <c r="I21" s="14" t="str">
        <f aca="false">IF(H21&lt;1,"TIGHT",IF(H21&lt;2,"OK","EASY"))</f>
        <v>OK</v>
      </c>
    </row>
    <row r="22" customFormat="false" ht="15" hidden="false" customHeight="false" outlineLevel="0" collapsed="false">
      <c r="A22" s="28" t="n">
        <v>18</v>
      </c>
      <c r="B22" s="36" t="n">
        <f aca="false">Rounds!O22</f>
        <v>14.8</v>
      </c>
      <c r="C22" s="16" t="n">
        <f aca="false">MIN(5,A22/Tuning!$B$32)</f>
        <v>2.25</v>
      </c>
      <c r="D22" s="16" t="n">
        <f aca="false">ROUND(Towers!$C$11*POWER(Tuning!$B$12/Tuning!$B$13,C22),1)</f>
        <v>102.5</v>
      </c>
      <c r="E22" s="19" t="n">
        <f aca="false">ROUND(B22*D22/Tuning!$B$31,0)</f>
        <v>2528</v>
      </c>
      <c r="F22" s="30" t="n">
        <f aca="false">Rounds!S22</f>
        <v>6038</v>
      </c>
      <c r="G22" s="19" t="n">
        <f aca="false">ROUND(F22*Tuning!$B$30,0)</f>
        <v>4529</v>
      </c>
      <c r="H22" s="37" t="n">
        <f aca="false">IF(E22=0,0,G22/E22)</f>
        <v>1.79153481012658</v>
      </c>
      <c r="I22" s="14" t="str">
        <f aca="false">IF(H22&lt;1,"TIGHT",IF(H22&lt;2,"OK","EASY"))</f>
        <v>OK</v>
      </c>
    </row>
    <row r="23" customFormat="false" ht="15" hidden="false" customHeight="false" outlineLevel="0" collapsed="false">
      <c r="A23" s="28" t="n">
        <v>19</v>
      </c>
      <c r="B23" s="36" t="n">
        <f aca="false">Rounds!O23</f>
        <v>16.3</v>
      </c>
      <c r="C23" s="16" t="n">
        <f aca="false">MIN(5,A23/Tuning!$B$32)</f>
        <v>2.375</v>
      </c>
      <c r="D23" s="16" t="n">
        <f aca="false">ROUND(Towers!$C$11*POWER(Tuning!$B$12/Tuning!$B$13,C23),1)</f>
        <v>104.9</v>
      </c>
      <c r="E23" s="19" t="n">
        <f aca="false">ROUND(B23*D23/Tuning!$B$31,0)</f>
        <v>2850</v>
      </c>
      <c r="F23" s="30" t="n">
        <f aca="false">Rounds!S23</f>
        <v>6846</v>
      </c>
      <c r="G23" s="19" t="n">
        <f aca="false">ROUND(F23*Tuning!$B$30,0)</f>
        <v>5135</v>
      </c>
      <c r="H23" s="37" t="n">
        <f aca="false">IF(E23=0,0,G23/E23)</f>
        <v>1.80175438596491</v>
      </c>
      <c r="I23" s="14" t="str">
        <f aca="false">IF(H23&lt;1,"TIGHT",IF(H23&lt;2,"OK","EASY"))</f>
        <v>OK</v>
      </c>
    </row>
    <row r="24" customFormat="false" ht="15" hidden="false" customHeight="false" outlineLevel="0" collapsed="false">
      <c r="A24" s="28" t="n">
        <v>20</v>
      </c>
      <c r="B24" s="36" t="n">
        <f aca="false">Rounds!O24</f>
        <v>17.1</v>
      </c>
      <c r="C24" s="16" t="n">
        <f aca="false">MIN(5,A24/Tuning!$B$32)</f>
        <v>2.5</v>
      </c>
      <c r="D24" s="16" t="n">
        <f aca="false">ROUND(Towers!$C$11*POWER(Tuning!$B$12/Tuning!$B$13,C24),1)</f>
        <v>107.5</v>
      </c>
      <c r="E24" s="19" t="n">
        <f aca="false">ROUND(B24*D24/Tuning!$B$31,0)</f>
        <v>3064</v>
      </c>
      <c r="F24" s="30" t="n">
        <f aca="false">Rounds!S24</f>
        <v>7707</v>
      </c>
      <c r="G24" s="19" t="n">
        <f aca="false">ROUND(F24*Tuning!$B$30,0)</f>
        <v>5780</v>
      </c>
      <c r="H24" s="37" t="n">
        <f aca="false">IF(E24=0,0,G24/E24)</f>
        <v>1.88642297650131</v>
      </c>
      <c r="I24" s="14" t="str">
        <f aca="false">IF(H24&lt;1,"TIGHT",IF(H24&lt;2,"OK","EASY"))</f>
        <v>OK</v>
      </c>
    </row>
    <row r="25" customFormat="false" ht="15" hidden="false" customHeight="false" outlineLevel="0" collapsed="false">
      <c r="A25" s="31" t="n">
        <v>21</v>
      </c>
      <c r="B25" s="38" t="n">
        <f aca="false">Rounds!O25</f>
        <v>39.7</v>
      </c>
      <c r="C25" s="25" t="n">
        <f aca="false">MIN(5,A25/Tuning!$B$32)</f>
        <v>2.625</v>
      </c>
      <c r="D25" s="25" t="n">
        <f aca="false">ROUND(Towers!$C$11*POWER(Tuning!$B$12/Tuning!$B$13,C25),1)</f>
        <v>110.1</v>
      </c>
      <c r="E25" s="24" t="n">
        <f aca="false">ROUND(B25*D25/Tuning!$B$31,0)</f>
        <v>7285</v>
      </c>
      <c r="F25" s="35" t="n">
        <f aca="false">Rounds!S25</f>
        <v>9650</v>
      </c>
      <c r="G25" s="24" t="n">
        <f aca="false">ROUND(F25*Tuning!$B$30,0)</f>
        <v>7238</v>
      </c>
      <c r="H25" s="39" t="n">
        <f aca="false">IF(E25=0,0,G25/E25)</f>
        <v>0.993548387096774</v>
      </c>
      <c r="I25" s="40" t="str">
        <f aca="false">IF(H25&lt;1,"TIGHT",IF(H25&lt;2,"OK","EASY"))</f>
        <v>TIGHT</v>
      </c>
    </row>
    <row r="26" customFormat="false" ht="15" hidden="false" customHeight="false" outlineLevel="0" collapsed="false">
      <c r="A26" s="28" t="n">
        <v>22</v>
      </c>
      <c r="B26" s="36" t="n">
        <f aca="false">Rounds!O26</f>
        <v>43.9</v>
      </c>
      <c r="C26" s="16" t="n">
        <f aca="false">MIN(5,A26/Tuning!$B$32)</f>
        <v>2.75</v>
      </c>
      <c r="D26" s="16" t="n">
        <f aca="false">ROUND(Towers!$C$11*POWER(Tuning!$B$12/Tuning!$B$13,C26),1)</f>
        <v>112.7</v>
      </c>
      <c r="E26" s="19" t="n">
        <f aca="false">ROUND(B26*D26/Tuning!$B$31,0)</f>
        <v>8246</v>
      </c>
      <c r="F26" s="30" t="n">
        <f aca="false">Rounds!S26</f>
        <v>11830</v>
      </c>
      <c r="G26" s="19" t="n">
        <f aca="false">ROUND(F26*Tuning!$B$30,0)</f>
        <v>8873</v>
      </c>
      <c r="H26" s="37" t="n">
        <f aca="false">IF(E26=0,0,G26/E26)</f>
        <v>1.07603686635945</v>
      </c>
      <c r="I26" s="14" t="str">
        <f aca="false">IF(H26&lt;1,"TIGHT",IF(H26&lt;2,"OK","EASY"))</f>
        <v>OK</v>
      </c>
    </row>
    <row r="27" customFormat="false" ht="15" hidden="false" customHeight="false" outlineLevel="0" collapsed="false">
      <c r="A27" s="28" t="n">
        <v>23</v>
      </c>
      <c r="B27" s="36" t="n">
        <f aca="false">Rounds!O27</f>
        <v>46.1</v>
      </c>
      <c r="C27" s="16" t="n">
        <f aca="false">MIN(5,A27/Tuning!$B$32)</f>
        <v>2.875</v>
      </c>
      <c r="D27" s="16" t="n">
        <f aca="false">ROUND(Towers!$C$11*POWER(Tuning!$B$12/Tuning!$B$13,C27),1)</f>
        <v>115.5</v>
      </c>
      <c r="E27" s="19" t="n">
        <f aca="false">ROUND(B27*D27/Tuning!$B$31,0)</f>
        <v>8874</v>
      </c>
      <c r="F27" s="30" t="n">
        <f aca="false">Rounds!S27</f>
        <v>14131</v>
      </c>
      <c r="G27" s="19" t="n">
        <f aca="false">ROUND(F27*Tuning!$B$30,0)</f>
        <v>10598</v>
      </c>
      <c r="H27" s="37" t="n">
        <f aca="false">IF(E27=0,0,G27/E27)</f>
        <v>1.19427541131395</v>
      </c>
      <c r="I27" s="14" t="str">
        <f aca="false">IF(H27&lt;1,"TIGHT",IF(H27&lt;2,"OK","EASY"))</f>
        <v>OK</v>
      </c>
    </row>
    <row r="28" customFormat="false" ht="15" hidden="false" customHeight="false" outlineLevel="0" collapsed="false">
      <c r="A28" s="28" t="n">
        <v>24</v>
      </c>
      <c r="B28" s="36" t="n">
        <f aca="false">Rounds!O28</f>
        <v>50.2</v>
      </c>
      <c r="C28" s="16" t="n">
        <f aca="false">MIN(5,A28/Tuning!$B$32)</f>
        <v>3</v>
      </c>
      <c r="D28" s="16" t="n">
        <f aca="false">ROUND(Towers!$C$11*POWER(Tuning!$B$12/Tuning!$B$13,C28),1)</f>
        <v>118.3</v>
      </c>
      <c r="E28" s="19" t="n">
        <f aca="false">ROUND(B28*D28/Tuning!$B$31,0)</f>
        <v>9898</v>
      </c>
      <c r="F28" s="30" t="n">
        <f aca="false">Rounds!S28</f>
        <v>16675</v>
      </c>
      <c r="G28" s="19" t="n">
        <f aca="false">ROUND(F28*Tuning!$B$30,0)</f>
        <v>12506</v>
      </c>
      <c r="H28" s="37" t="n">
        <f aca="false">IF(E28=0,0,G28/E28)</f>
        <v>1.26348757324712</v>
      </c>
      <c r="I28" s="14" t="str">
        <f aca="false">IF(H28&lt;1,"TIGHT",IF(H28&lt;2,"OK","EASY"))</f>
        <v>OK</v>
      </c>
    </row>
    <row r="29" customFormat="false" ht="15" hidden="false" customHeight="false" outlineLevel="0" collapsed="false">
      <c r="A29" s="28" t="n">
        <v>25</v>
      </c>
      <c r="B29" s="36" t="n">
        <f aca="false">Rounds!O29</f>
        <v>53.3</v>
      </c>
      <c r="C29" s="16" t="n">
        <f aca="false">MIN(5,A29/Tuning!$B$32)</f>
        <v>3.125</v>
      </c>
      <c r="D29" s="16" t="n">
        <f aca="false">ROUND(Towers!$C$11*POWER(Tuning!$B$12/Tuning!$B$13,C29),1)</f>
        <v>121.1</v>
      </c>
      <c r="E29" s="19" t="n">
        <f aca="false">ROUND(B29*D29/Tuning!$B$31,0)</f>
        <v>10758</v>
      </c>
      <c r="F29" s="30" t="n">
        <f aca="false">Rounds!S29</f>
        <v>19421</v>
      </c>
      <c r="G29" s="19" t="n">
        <f aca="false">ROUND(F29*Tuning!$B$30,0)</f>
        <v>14566</v>
      </c>
      <c r="H29" s="37" t="n">
        <f aca="false">IF(E29=0,0,G29/E29)</f>
        <v>1.35396913924521</v>
      </c>
      <c r="I29" s="14" t="str">
        <f aca="false">IF(H29&lt;1,"TIGHT",IF(H29&lt;2,"OK","EASY"))</f>
        <v>OK</v>
      </c>
    </row>
    <row r="30" customFormat="false" ht="15" hidden="false" customHeight="false" outlineLevel="0" collapsed="false">
      <c r="A30" s="28" t="n">
        <v>26</v>
      </c>
      <c r="B30" s="36" t="n">
        <f aca="false">Rounds!O30</f>
        <v>57.4</v>
      </c>
      <c r="C30" s="16" t="n">
        <f aca="false">MIN(5,A30/Tuning!$B$32)</f>
        <v>3.25</v>
      </c>
      <c r="D30" s="16" t="n">
        <f aca="false">ROUND(Towers!$C$11*POWER(Tuning!$B$12/Tuning!$B$13,C30),1)</f>
        <v>124</v>
      </c>
      <c r="E30" s="19" t="n">
        <f aca="false">ROUND(B30*D30/Tuning!$B$31,0)</f>
        <v>11863</v>
      </c>
      <c r="F30" s="30" t="n">
        <f aca="false">Rounds!S30</f>
        <v>22446</v>
      </c>
      <c r="G30" s="19" t="n">
        <f aca="false">ROUND(F30*Tuning!$B$30,0)</f>
        <v>16835</v>
      </c>
      <c r="H30" s="37" t="n">
        <f aca="false">IF(E30=0,0,G30/E30)</f>
        <v>1.41911826688022</v>
      </c>
      <c r="I30" s="14" t="str">
        <f aca="false">IF(H30&lt;1,"TIGHT",IF(H30&lt;2,"OK","EASY"))</f>
        <v>OK</v>
      </c>
    </row>
    <row r="31" customFormat="false" ht="15" hidden="false" customHeight="false" outlineLevel="0" collapsed="false">
      <c r="A31" s="28" t="n">
        <v>27</v>
      </c>
      <c r="B31" s="36" t="n">
        <f aca="false">Rounds!O31</f>
        <v>61.4</v>
      </c>
      <c r="C31" s="16" t="n">
        <f aca="false">MIN(5,A31/Tuning!$B$32)</f>
        <v>3.375</v>
      </c>
      <c r="D31" s="16" t="n">
        <f aca="false">ROUND(Towers!$C$11*POWER(Tuning!$B$12/Tuning!$B$13,C31),1)</f>
        <v>127</v>
      </c>
      <c r="E31" s="19" t="n">
        <f aca="false">ROUND(B31*D31/Tuning!$B$31,0)</f>
        <v>12996</v>
      </c>
      <c r="F31" s="30" t="n">
        <f aca="false">Rounds!S31</f>
        <v>25674</v>
      </c>
      <c r="G31" s="19" t="n">
        <f aca="false">ROUND(F31*Tuning!$B$30,0)</f>
        <v>19256</v>
      </c>
      <c r="H31" s="37" t="n">
        <f aca="false">IF(E31=0,0,G31/E31)</f>
        <v>1.48168667282241</v>
      </c>
      <c r="I31" s="14" t="str">
        <f aca="false">IF(H31&lt;1,"TIGHT",IF(H31&lt;2,"OK","EASY"))</f>
        <v>OK</v>
      </c>
    </row>
    <row r="32" customFormat="false" ht="15" hidden="false" customHeight="false" outlineLevel="0" collapsed="false">
      <c r="A32" s="28" t="n">
        <v>28</v>
      </c>
      <c r="B32" s="36" t="n">
        <f aca="false">Rounds!O32</f>
        <v>66.6</v>
      </c>
      <c r="C32" s="16" t="n">
        <f aca="false">MIN(5,A32/Tuning!$B$32)</f>
        <v>3.5</v>
      </c>
      <c r="D32" s="16" t="n">
        <f aca="false">ROUND(Towers!$C$11*POWER(Tuning!$B$12/Tuning!$B$13,C32),1)</f>
        <v>130.1</v>
      </c>
      <c r="E32" s="19" t="n">
        <f aca="false">ROUND(B32*D32/Tuning!$B$31,0)</f>
        <v>14441</v>
      </c>
      <c r="F32" s="30" t="n">
        <f aca="false">Rounds!S32</f>
        <v>29171</v>
      </c>
      <c r="G32" s="19" t="n">
        <f aca="false">ROUND(F32*Tuning!$B$30,0)</f>
        <v>21878</v>
      </c>
      <c r="H32" s="37" t="n">
        <f aca="false">IF(E32=0,0,G32/E32)</f>
        <v>1.51499203656256</v>
      </c>
      <c r="I32" s="14" t="str">
        <f aca="false">IF(H32&lt;1,"TIGHT",IF(H32&lt;2,"OK","EASY"))</f>
        <v>OK</v>
      </c>
    </row>
    <row r="33" customFormat="false" ht="15" hidden="false" customHeight="false" outlineLevel="0" collapsed="false">
      <c r="A33" s="28" t="n">
        <v>29</v>
      </c>
      <c r="B33" s="36" t="n">
        <f aca="false">Rounds!O33</f>
        <v>71.3</v>
      </c>
      <c r="C33" s="16" t="n">
        <f aca="false">MIN(5,A33/Tuning!$B$32)</f>
        <v>3.625</v>
      </c>
      <c r="D33" s="16" t="n">
        <f aca="false">ROUND(Towers!$C$11*POWER(Tuning!$B$12/Tuning!$B$13,C33),1)</f>
        <v>133.3</v>
      </c>
      <c r="E33" s="19" t="n">
        <f aca="false">ROUND(B33*D33/Tuning!$B$31,0)</f>
        <v>15840</v>
      </c>
      <c r="F33" s="30" t="n">
        <f aca="false">Rounds!S33</f>
        <v>32846</v>
      </c>
      <c r="G33" s="19" t="n">
        <f aca="false">ROUND(F33*Tuning!$B$30,0)</f>
        <v>24635</v>
      </c>
      <c r="H33" s="37" t="n">
        <f aca="false">IF(E33=0,0,G33/E33)</f>
        <v>1.5552398989899</v>
      </c>
      <c r="I33" s="14" t="str">
        <f aca="false">IF(H33&lt;1,"TIGHT",IF(H33&lt;2,"OK","EASY"))</f>
        <v>OK</v>
      </c>
    </row>
    <row r="34" customFormat="false" ht="15" hidden="false" customHeight="false" outlineLevel="0" collapsed="false">
      <c r="A34" s="28" t="n">
        <v>30</v>
      </c>
      <c r="B34" s="36" t="n">
        <f aca="false">Rounds!O34</f>
        <v>76.3</v>
      </c>
      <c r="C34" s="16" t="n">
        <f aca="false">MIN(5,A34/Tuning!$B$32)</f>
        <v>3.75</v>
      </c>
      <c r="D34" s="16" t="n">
        <f aca="false">ROUND(Towers!$C$11*POWER(Tuning!$B$12/Tuning!$B$13,C34),1)</f>
        <v>136.5</v>
      </c>
      <c r="E34" s="19" t="n">
        <f aca="false">ROUND(B34*D34/Tuning!$B$31,0)</f>
        <v>17358</v>
      </c>
      <c r="F34" s="30" t="n">
        <f aca="false">Rounds!S34</f>
        <v>36709</v>
      </c>
      <c r="G34" s="19" t="n">
        <f aca="false">ROUND(F34*Tuning!$B$30,0)</f>
        <v>27532</v>
      </c>
      <c r="H34" s="37" t="n">
        <f aca="false">IF(E34=0,0,G34/E34)</f>
        <v>1.58612743403618</v>
      </c>
      <c r="I34" s="14" t="str">
        <f aca="false">IF(H34&lt;1,"TIGHT",IF(H34&lt;2,"OK","EASY"))</f>
        <v>OK</v>
      </c>
    </row>
    <row r="35" customFormat="false" ht="15" hidden="false" customHeight="false" outlineLevel="0" collapsed="false">
      <c r="A35" s="31" t="n">
        <v>31</v>
      </c>
      <c r="B35" s="38" t="n">
        <f aca="false">Rounds!O35</f>
        <v>214.2</v>
      </c>
      <c r="C35" s="25" t="n">
        <f aca="false">MIN(5,A35/Tuning!$B$32)</f>
        <v>3.875</v>
      </c>
      <c r="D35" s="25" t="n">
        <f aca="false">ROUND(Towers!$C$11*POWER(Tuning!$B$12/Tuning!$B$13,C35),1)</f>
        <v>139.8</v>
      </c>
      <c r="E35" s="24" t="n">
        <f aca="false">ROUND(B35*D35/Tuning!$B$31,0)</f>
        <v>49909</v>
      </c>
      <c r="F35" s="35" t="n">
        <f aca="false">Rounds!S35</f>
        <v>47300</v>
      </c>
      <c r="G35" s="24" t="n">
        <f aca="false">ROUND(F35*Tuning!$B$30,0)</f>
        <v>35475</v>
      </c>
      <c r="H35" s="39" t="n">
        <f aca="false">IF(E35=0,0,G35/E35)</f>
        <v>0.710793644432868</v>
      </c>
      <c r="I35" s="40" t="str">
        <f aca="false">IF(H35&lt;1,"TIGHT",IF(H35&lt;2,"OK","EASY"))</f>
        <v>TIGHT</v>
      </c>
    </row>
    <row r="36" customFormat="false" ht="15" hidden="false" customHeight="false" outlineLevel="0" collapsed="false">
      <c r="A36" s="28" t="n">
        <v>32</v>
      </c>
      <c r="B36" s="36" t="n">
        <f aca="false">Rounds!O36</f>
        <v>229.4</v>
      </c>
      <c r="C36" s="16" t="n">
        <f aca="false">MIN(5,A36/Tuning!$B$32)</f>
        <v>4</v>
      </c>
      <c r="D36" s="16" t="n">
        <f aca="false">ROUND(Towers!$C$11*POWER(Tuning!$B$12/Tuning!$B$13,C36),1)</f>
        <v>143.2</v>
      </c>
      <c r="E36" s="19" t="n">
        <f aca="false">ROUND(B36*D36/Tuning!$B$31,0)</f>
        <v>54750</v>
      </c>
      <c r="F36" s="30" t="n">
        <f aca="false">Rounds!S36</f>
        <v>58438</v>
      </c>
      <c r="G36" s="19" t="n">
        <f aca="false">ROUND(F36*Tuning!$B$30,0)</f>
        <v>43829</v>
      </c>
      <c r="H36" s="37" t="n">
        <f aca="false">IF(E36=0,0,G36/E36)</f>
        <v>0.800529680365297</v>
      </c>
      <c r="I36" s="14" t="str">
        <f aca="false">IF(H36&lt;1,"TIGHT",IF(H36&lt;2,"OK","EASY"))</f>
        <v>TIGHT</v>
      </c>
    </row>
    <row r="37" customFormat="false" ht="15" hidden="false" customHeight="false" outlineLevel="0" collapsed="false">
      <c r="A37" s="28" t="n">
        <v>33</v>
      </c>
      <c r="B37" s="36" t="n">
        <f aca="false">Rounds!O37</f>
        <v>245.7</v>
      </c>
      <c r="C37" s="16" t="n">
        <f aca="false">MIN(5,A37/Tuning!$B$32)</f>
        <v>4.125</v>
      </c>
      <c r="D37" s="16" t="n">
        <f aca="false">ROUND(Towers!$C$11*POWER(Tuning!$B$12/Tuning!$B$13,C37),1)</f>
        <v>146.6</v>
      </c>
      <c r="E37" s="19" t="n">
        <f aca="false">ROUND(B37*D37/Tuning!$B$31,0)</f>
        <v>60033</v>
      </c>
      <c r="F37" s="30" t="n">
        <f aca="false">Rounds!S37</f>
        <v>70150</v>
      </c>
      <c r="G37" s="19" t="n">
        <f aca="false">ROUND(F37*Tuning!$B$30,0)</f>
        <v>52613</v>
      </c>
      <c r="H37" s="37" t="n">
        <f aca="false">IF(E37=0,0,G37/E37)</f>
        <v>0.876401312611397</v>
      </c>
      <c r="I37" s="14" t="str">
        <f aca="false">IF(H37&lt;1,"TIGHT",IF(H37&lt;2,"OK","EASY"))</f>
        <v>TIGHT</v>
      </c>
    </row>
    <row r="38" customFormat="false" ht="15" hidden="false" customHeight="false" outlineLevel="0" collapsed="false">
      <c r="A38" s="28" t="n">
        <v>34</v>
      </c>
      <c r="B38" s="36" t="n">
        <f aca="false">Rounds!O38</f>
        <v>263.2</v>
      </c>
      <c r="C38" s="16" t="n">
        <f aca="false">MIN(5,A38/Tuning!$B$32)</f>
        <v>4.25</v>
      </c>
      <c r="D38" s="16" t="n">
        <f aca="false">ROUND(Towers!$C$11*POWER(Tuning!$B$12/Tuning!$B$13,C38),1)</f>
        <v>150.2</v>
      </c>
      <c r="E38" s="19" t="n">
        <f aca="false">ROUND(B38*D38/Tuning!$B$31,0)</f>
        <v>65888</v>
      </c>
      <c r="F38" s="30" t="n">
        <f aca="false">Rounds!S38</f>
        <v>82467</v>
      </c>
      <c r="G38" s="19" t="n">
        <f aca="false">ROUND(F38*Tuning!$B$30,0)</f>
        <v>61850</v>
      </c>
      <c r="H38" s="37" t="n">
        <f aca="false">IF(E38=0,0,G38/E38)</f>
        <v>0.938714181641574</v>
      </c>
      <c r="I38" s="14" t="str">
        <f aca="false">IF(H38&lt;1,"TIGHT",IF(H38&lt;2,"OK","EASY"))</f>
        <v>TIGHT</v>
      </c>
    </row>
    <row r="39" customFormat="false" ht="15" hidden="false" customHeight="false" outlineLevel="0" collapsed="false">
      <c r="A39" s="28" t="n">
        <v>35</v>
      </c>
      <c r="B39" s="36" t="n">
        <f aca="false">Rounds!O39</f>
        <v>282.1</v>
      </c>
      <c r="C39" s="16" t="n">
        <f aca="false">MIN(5,A39/Tuning!$B$32)</f>
        <v>4.375</v>
      </c>
      <c r="D39" s="16" t="n">
        <f aca="false">ROUND(Towers!$C$11*POWER(Tuning!$B$12/Tuning!$B$13,C39),1)</f>
        <v>153.8</v>
      </c>
      <c r="E39" s="19" t="n">
        <f aca="false">ROUND(B39*D39/Tuning!$B$31,0)</f>
        <v>72312</v>
      </c>
      <c r="F39" s="30" t="n">
        <f aca="false">Rounds!S39</f>
        <v>95420</v>
      </c>
      <c r="G39" s="19" t="n">
        <f aca="false">ROUND(F39*Tuning!$B$30,0)</f>
        <v>71565</v>
      </c>
      <c r="H39" s="37" t="n">
        <f aca="false">IF(E39=0,0,G39/E39)</f>
        <v>0.989669764354464</v>
      </c>
      <c r="I39" s="14" t="str">
        <f aca="false">IF(H39&lt;1,"TIGHT",IF(H39&lt;2,"OK","EASY"))</f>
        <v>TIGHT</v>
      </c>
    </row>
    <row r="40" customFormat="false" ht="15" hidden="false" customHeight="false" outlineLevel="0" collapsed="false">
      <c r="A40" s="28" t="n">
        <v>36</v>
      </c>
      <c r="B40" s="36" t="n">
        <f aca="false">Rounds!O40</f>
        <v>299.6</v>
      </c>
      <c r="C40" s="16" t="n">
        <f aca="false">MIN(5,A40/Tuning!$B$32)</f>
        <v>4.5</v>
      </c>
      <c r="D40" s="16" t="n">
        <f aca="false">ROUND(Towers!$C$11*POWER(Tuning!$B$12/Tuning!$B$13,C40),1)</f>
        <v>157.5</v>
      </c>
      <c r="E40" s="19" t="n">
        <f aca="false">ROUND(B40*D40/Tuning!$B$31,0)</f>
        <v>78645</v>
      </c>
      <c r="F40" s="30" t="n">
        <f aca="false">Rounds!S40</f>
        <v>109044</v>
      </c>
      <c r="G40" s="19" t="n">
        <f aca="false">ROUND(F40*Tuning!$B$30,0)</f>
        <v>81783</v>
      </c>
      <c r="H40" s="37" t="n">
        <f aca="false">IF(E40=0,0,G40/E40)</f>
        <v>1.03990082014114</v>
      </c>
      <c r="I40" s="14" t="str">
        <f aca="false">IF(H40&lt;1,"TIGHT",IF(H40&lt;2,"OK","EASY"))</f>
        <v>OK</v>
      </c>
    </row>
    <row r="41" customFormat="false" ht="15" hidden="false" customHeight="false" outlineLevel="0" collapsed="false">
      <c r="A41" s="28" t="n">
        <v>37</v>
      </c>
      <c r="B41" s="36" t="n">
        <f aca="false">Rounds!O41</f>
        <v>324.5</v>
      </c>
      <c r="C41" s="16" t="n">
        <f aca="false">MIN(5,A41/Tuning!$B$32)</f>
        <v>4.625</v>
      </c>
      <c r="D41" s="16" t="n">
        <f aca="false">ROUND(Towers!$C$11*POWER(Tuning!$B$12/Tuning!$B$13,C41),1)</f>
        <v>161.3</v>
      </c>
      <c r="E41" s="19" t="n">
        <f aca="false">ROUND(B41*D41/Tuning!$B$31,0)</f>
        <v>87236</v>
      </c>
      <c r="F41" s="30" t="n">
        <f aca="false">Rounds!S41</f>
        <v>123371</v>
      </c>
      <c r="G41" s="19" t="n">
        <f aca="false">ROUND(F41*Tuning!$B$30,0)</f>
        <v>92528</v>
      </c>
      <c r="H41" s="37" t="n">
        <f aca="false">IF(E41=0,0,G41/E41)</f>
        <v>1.06066302902471</v>
      </c>
      <c r="I41" s="14" t="str">
        <f aca="false">IF(H41&lt;1,"TIGHT",IF(H41&lt;2,"OK","EASY"))</f>
        <v>OK</v>
      </c>
    </row>
    <row r="42" customFormat="false" ht="15" hidden="false" customHeight="false" outlineLevel="0" collapsed="false">
      <c r="A42" s="28" t="n">
        <v>38</v>
      </c>
      <c r="B42" s="36" t="n">
        <f aca="false">Rounds!O42</f>
        <v>344.7</v>
      </c>
      <c r="C42" s="16" t="n">
        <f aca="false">MIN(5,A42/Tuning!$B$32)</f>
        <v>4.75</v>
      </c>
      <c r="D42" s="16" t="n">
        <f aca="false">ROUND(Towers!$C$11*POWER(Tuning!$B$12/Tuning!$B$13,C42),1)</f>
        <v>165.2</v>
      </c>
      <c r="E42" s="19" t="n">
        <f aca="false">ROUND(B42*D42/Tuning!$B$31,0)</f>
        <v>94907</v>
      </c>
      <c r="F42" s="30" t="n">
        <f aca="false">Rounds!S42</f>
        <v>138440</v>
      </c>
      <c r="G42" s="19" t="n">
        <f aca="false">ROUND(F42*Tuning!$B$30,0)</f>
        <v>103830</v>
      </c>
      <c r="H42" s="37" t="n">
        <f aca="false">IF(E42=0,0,G42/E42)</f>
        <v>1.0940183548105</v>
      </c>
      <c r="I42" s="14" t="str">
        <f aca="false">IF(H42&lt;1,"TIGHT",IF(H42&lt;2,"OK","EASY"))</f>
        <v>OK</v>
      </c>
    </row>
    <row r="43" customFormat="false" ht="15" hidden="false" customHeight="false" outlineLevel="0" collapsed="false">
      <c r="A43" s="28" t="n">
        <v>39</v>
      </c>
      <c r="B43" s="36" t="n">
        <f aca="false">Rounds!O43</f>
        <v>370</v>
      </c>
      <c r="C43" s="16" t="n">
        <f aca="false">MIN(5,A43/Tuning!$B$32)</f>
        <v>4.875</v>
      </c>
      <c r="D43" s="16" t="n">
        <f aca="false">ROUND(Towers!$C$11*POWER(Tuning!$B$12/Tuning!$B$13,C43),1)</f>
        <v>169.2</v>
      </c>
      <c r="E43" s="19" t="n">
        <f aca="false">ROUND(B43*D43/Tuning!$B$31,0)</f>
        <v>104340</v>
      </c>
      <c r="F43" s="30" t="n">
        <f aca="false">Rounds!S43</f>
        <v>154288</v>
      </c>
      <c r="G43" s="19" t="n">
        <f aca="false">ROUND(F43*Tuning!$B$30,0)</f>
        <v>115716</v>
      </c>
      <c r="H43" s="37" t="n">
        <f aca="false">IF(E43=0,0,G43/E43)</f>
        <v>1.10902817711328</v>
      </c>
      <c r="I43" s="14" t="str">
        <f aca="false">IF(H43&lt;1,"TIGHT",IF(H43&lt;2,"OK","EASY"))</f>
        <v>OK</v>
      </c>
    </row>
    <row r="44" customFormat="false" ht="15" hidden="false" customHeight="false" outlineLevel="0" collapsed="false">
      <c r="A44" s="31" t="n">
        <v>40</v>
      </c>
      <c r="B44" s="38" t="n">
        <f aca="false">Rounds!O44</f>
        <v>527.3</v>
      </c>
      <c r="C44" s="25" t="n">
        <f aca="false">MIN(5,A44/Tuning!$B$32)</f>
        <v>5</v>
      </c>
      <c r="D44" s="25" t="n">
        <f aca="false">ROUND(Towers!$C$11*POWER(Tuning!$B$12/Tuning!$B$13,C44),1)</f>
        <v>173.3</v>
      </c>
      <c r="E44" s="24" t="n">
        <f aca="false">ROUND(B44*D44/Tuning!$B$31,0)</f>
        <v>152302</v>
      </c>
      <c r="F44" s="35" t="n">
        <f aca="false">Rounds!S44</f>
        <v>176607</v>
      </c>
      <c r="G44" s="24" t="n">
        <f aca="false">ROUND(F44*Tuning!$B$30,0)</f>
        <v>132455</v>
      </c>
      <c r="H44" s="39" t="n">
        <f aca="false">IF(E44=0,0,G44/E44)</f>
        <v>0.869686543840527</v>
      </c>
      <c r="I44" s="40" t="str">
        <f aca="false">IF(H44&lt;1,"TIGHT",IF(H44&lt;2,"OK","EASY"))</f>
        <v>TIGHT</v>
      </c>
    </row>
    <row r="46" customFormat="false" ht="15" hidden="false" customHeight="false" outlineLevel="0" collapsed="false">
      <c r="A46" s="5" t="s">
        <v>288</v>
      </c>
    </row>
    <row r="47" customFormat="false" ht="15" hidden="false" customHeight="false" outlineLevel="0" collapsed="false">
      <c r="A47" s="11" t="s">
        <v>289</v>
      </c>
    </row>
    <row r="48" customFormat="false" ht="15" hidden="false" customHeight="false" outlineLevel="0" collapsed="false">
      <c r="A48" s="11"/>
    </row>
    <row r="49" customFormat="false" ht="15" hidden="false" customHeight="false" outlineLevel="0" collapsed="false">
      <c r="A49" s="11" t="s">
        <v>290</v>
      </c>
    </row>
    <row r="50" customFormat="false" ht="15" hidden="false" customHeight="false" outlineLevel="0" collapsed="false">
      <c r="A50" s="11" t="s">
        <v>291</v>
      </c>
    </row>
    <row r="51" customFormat="false" ht="15" hidden="false" customHeight="false" outlineLevel="0" collapsed="false">
      <c r="A51" s="11" t="s">
        <v>292</v>
      </c>
    </row>
    <row r="52" customFormat="false" ht="15" hidden="false" customHeight="false" outlineLevel="0" collapsed="false">
      <c r="A52" s="11"/>
    </row>
    <row r="53" customFormat="false" ht="15" hidden="false" customHeight="false" outlineLevel="0" collapsed="false">
      <c r="A53" s="5" t="s">
        <v>293</v>
      </c>
    </row>
    <row r="54" customFormat="false" ht="15" hidden="false" customHeight="false" outlineLevel="0" collapsed="false">
      <c r="A54" s="11" t="s">
        <v>294</v>
      </c>
    </row>
    <row r="55" customFormat="false" ht="15" hidden="false" customHeight="false" outlineLevel="0" collapsed="false">
      <c r="A55" s="11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2026-09-15T00:35:17Z</dcterms:created>
  <dc:creator>openpyxl</dc:creator>
  <dc:description/>
  <dc:language>en-US</dc:language>
  <cp:lastModifiedBy/>
  <dcterms:modified xsi:type="dcterms:W3CDTF">2026-09-15T00:35:17Z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