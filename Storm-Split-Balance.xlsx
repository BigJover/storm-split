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Weapons" sheetId="5" state="visible" r:id="rId5"/>
    <sheet name="Mastery" sheetId="6" state="visible" r:id="rId6"/>
    <sheet name="Enemies" sheetId="7" state="visible" r:id="rId7"/>
    <sheet name="Rounds" sheetId="8" state="visible" r:id="rId8"/>
    <sheet name="Difficulty" sheetId="9" state="visible" r:id="rId9"/>
    <sheet name="Balance Check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Weapons</t>
        </is>
      </c>
      <c r="B15" s="13" t="inlineStr">
        <is>
          <t>3 weapon types x 5 in-round tiers. The player's own upgrade track.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weapon type, bought with Storm Cores.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Low on purpose. 40 makes a leak hurt, which is what makes Chiller worth buying.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Weapon tier 1 cost</t>
        </is>
      </c>
      <c r="B21" s="27" t="n">
        <v>300</v>
      </c>
      <c r="C21" s="28" t="inlineStr">
        <is>
          <t>cash</t>
        </is>
      </c>
      <c r="D21" s="29" t="inlineStr">
        <is>
          <t>Entry price of the player's own upgrade track.</t>
        </is>
      </c>
      <c r="E21" s="7" t="n"/>
    </row>
    <row r="22" ht="13.65" customHeight="1" s="90">
      <c r="A22" s="26" t="inlineStr">
        <is>
          <t>Weapon cost growth</t>
        </is>
      </c>
      <c r="B22" s="30" t="n">
        <v>2.35</v>
      </c>
      <c r="C22" s="28" t="inlineStr">
        <is>
          <t>x</t>
        </is>
      </c>
      <c r="D22" s="29" t="inlineStr">
        <is>
          <t>Compounding multiple per weapon tier.</t>
        </is>
      </c>
      <c r="E22" s="7" t="n"/>
    </row>
    <row r="23" ht="13.65" customHeight="1" s="90">
      <c r="A23" s="26" t="inlineStr">
        <is>
          <t>Weapon damage growth</t>
        </is>
      </c>
      <c r="B23" s="30" t="n">
        <v>1.35</v>
      </c>
      <c r="C23" s="28" t="inlineStr">
        <is>
          <t>x</t>
        </is>
      </c>
      <c r="D23" s="29" t="inlineStr">
        <is>
          <t>Far below tower tier damage growth (1.90x) on purpose. A maxed weapon must land near 50% of a maxed tower's DPS, never above it.</t>
        </is>
      </c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Core payout base</t>
        </is>
      </c>
      <c r="B25" s="27" t="n">
        <v>5</v>
      </c>
      <c r="C25" s="28" t="inlineStr">
        <is>
          <t>cores</t>
        </is>
      </c>
      <c r="D25" s="29" t="inlineStr">
        <is>
          <t>Storm Cores awarded for finishing a match at all.</t>
        </is>
      </c>
      <c r="E25" s="7" t="n"/>
    </row>
    <row r="26" ht="13.65" customHeight="1" s="90">
      <c r="A26" s="26" t="inlineStr">
        <is>
          <t>Core payout per round</t>
        </is>
      </c>
      <c r="B26" s="30" t="n">
        <v>1.5</v>
      </c>
      <c r="C26" s="28" t="inlineStr">
        <is>
          <t>cores</t>
        </is>
      </c>
      <c r="D26" s="29" t="inlineStr">
        <is>
          <t>Cores per round reached. A loss at round 27 still pays.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cores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6</v>
      </c>
      <c r="C46" s="28" t="inlineStr">
        <is>
          <t>studs</t>
        </is>
      </c>
      <c r="D46" s="29" t="inlineStr">
        <is>
          <t>A shot hits the enemy nearest to where you aimed,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Airburst delay</t>
        </is>
      </c>
      <c r="B48" s="30" t="n">
        <v>1</v>
      </c>
      <c r="C48" s="28" t="inlineStr">
        <is>
          <t>s</t>
        </is>
      </c>
      <c r="D48" s="29" t="inlineStr">
        <is>
          <t>Time between calling an Airburst and the strike landing.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</row>
    <row r="5" ht="13.65" customHeight="1" s="90">
      <c r="A5" s="43" t="inlineStr">
        <is>
          <t>Scout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</row>
    <row r="6" ht="13.65" customHeight="1" s="90">
      <c r="A6" s="43" t="inlineStr">
        <is>
          <t>Sniper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</row>
    <row r="7" ht="13.65" customHeight="1" s="90">
      <c r="A7" s="43" t="inlineStr">
        <is>
          <t>Grenadier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</row>
    <row r="8" ht="13.65" customHeight="1" s="90">
      <c r="A8" s="43" t="inlineStr">
        <is>
          <t>Chiller</t>
        </is>
      </c>
      <c r="B8" s="43" t="inlineStr">
        <is>
          <t>Support / crowd control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</row>
    <row r="9" ht="13.65" customHeight="1" s="90">
      <c r="A9" s="43" t="inlineStr">
        <is>
          <t>Quartermaster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8.67188" customWidth="1" style="81" min="31" max="16384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</row>
    <row r="5" ht="13.65" customHeight="1" s="90">
      <c r="A5" s="43" t="inlineStr">
        <is>
          <t>Scout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</row>
    <row r="6" ht="13.65" customHeight="1" s="90">
      <c r="A6" s="43" t="inlineStr">
        <is>
          <t>Scout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</row>
    <row r="7" ht="13.65" customHeight="1" s="90">
      <c r="A7" s="43" t="inlineStr">
        <is>
          <t>Scout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</row>
    <row r="8" ht="13.65" customHeight="1" s="90">
      <c r="A8" s="43" t="inlineStr">
        <is>
          <t>Scout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</row>
    <row r="9" ht="13.65" customHeight="1" s="90">
      <c r="A9" s="43" t="inlineStr">
        <is>
          <t>Scout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</row>
    <row r="10" ht="13.65" customHeight="1" s="90">
      <c r="A10" s="43" t="inlineStr">
        <is>
          <t>Scout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</row>
    <row r="11" ht="13.65" customHeight="1" s="90">
      <c r="A11" s="43" t="inlineStr">
        <is>
          <t>Scout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</row>
    <row r="12" ht="13.65" customHeight="1" s="90">
      <c r="A12" s="43" t="inlineStr">
        <is>
          <t>Scout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</row>
    <row r="13" ht="13.65" customHeight="1" s="90">
      <c r="A13" s="43" t="inlineStr">
        <is>
          <t>Scout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</row>
    <row r="14" ht="13.65" customHeight="1" s="90">
      <c r="A14" s="43" t="inlineStr">
        <is>
          <t>Scout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Stormgunner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</row>
    <row r="15" ht="13.65" customHeight="1" s="90">
      <c r="A15" s="43" t="inlineStr">
        <is>
          <t>Scout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</row>
    <row r="16" ht="13.65" customHeight="1" s="90">
      <c r="A16" s="43" t="inlineStr">
        <is>
          <t>Scout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</row>
    <row r="17" ht="13.65" customHeight="1" s="90">
      <c r="A17" s="43" t="inlineStr">
        <is>
          <t>Scout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</row>
    <row r="18" ht="13.65" customHeight="1" s="90">
      <c r="A18" s="43" t="inlineStr">
        <is>
          <t>Scout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</row>
    <row r="19" ht="13.65" customHeight="1" s="90">
      <c r="A19" s="43" t="inlineStr">
        <is>
          <t>Scout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Tank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</row>
    <row r="20" ht="13.65" customHeight="1" s="90">
      <c r="A20" s="43" t="inlineStr">
        <is>
          <t>Sniper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</row>
    <row r="21" ht="13.65" customHeight="1" s="90">
      <c r="A21" s="43" t="inlineStr">
        <is>
          <t>Sniper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</row>
    <row r="22" ht="13.65" customHeight="1" s="90">
      <c r="A22" s="43" t="inlineStr">
        <is>
          <t>Sniper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</row>
    <row r="23" ht="13.65" customHeight="1" s="90">
      <c r="A23" s="43" t="inlineStr">
        <is>
          <t>Sniper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</row>
    <row r="24" ht="13.65" customHeight="1" s="90">
      <c r="A24" s="43" t="inlineStr">
        <is>
          <t>Sniper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</row>
    <row r="25" ht="13.65" customHeight="1" s="90">
      <c r="A25" s="43" t="inlineStr">
        <is>
          <t>Sniper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</row>
    <row r="26" ht="13.65" customHeight="1" s="90">
      <c r="A26" s="43" t="inlineStr">
        <is>
          <t>Sniper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</row>
    <row r="27" ht="13.65" customHeight="1" s="90">
      <c r="A27" s="43" t="inlineStr">
        <is>
          <t>Sniper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</row>
    <row r="28" ht="13.65" customHeight="1" s="90">
      <c r="A28" s="43" t="inlineStr">
        <is>
          <t>Sniper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</row>
    <row r="29" ht="13.65" customHeight="1" s="90">
      <c r="A29" s="43" t="inlineStr">
        <is>
          <t>Sniper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</row>
    <row r="30" ht="13.65" customHeight="1" s="90">
      <c r="A30" s="43" t="inlineStr">
        <is>
          <t>Sniper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</row>
    <row r="31" ht="13.65" customHeight="1" s="90">
      <c r="A31" s="43" t="inlineStr">
        <is>
          <t>Sniper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</row>
    <row r="32" ht="13.65" customHeight="1" s="90">
      <c r="A32" s="43" t="inlineStr">
        <is>
          <t>Sniper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</row>
    <row r="33" ht="13.65" customHeight="1" s="90">
      <c r="A33" s="43" t="inlineStr">
        <is>
          <t>Sniper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</row>
    <row r="34" ht="13.65" customHeight="1" s="90">
      <c r="A34" s="43" t="inlineStr">
        <is>
          <t>Sniper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</row>
    <row r="35" ht="13.65" customHeight="1" s="90">
      <c r="A35" s="43" t="inlineStr">
        <is>
          <t>Grenadier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</row>
    <row r="36" ht="13.65" customHeight="1" s="90">
      <c r="A36" s="43" t="inlineStr">
        <is>
          <t>Grenadier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</row>
    <row r="37" ht="13.65" customHeight="1" s="90">
      <c r="A37" s="43" t="inlineStr">
        <is>
          <t>Grenadier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</row>
    <row r="38" ht="13.65" customHeight="1" s="90">
      <c r="A38" s="43" t="inlineStr">
        <is>
          <t>Grenadier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</row>
    <row r="39" ht="13.65" customHeight="1" s="90">
      <c r="A39" s="43" t="inlineStr">
        <is>
          <t>Grenadier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</row>
    <row r="40" ht="13.65" customHeight="1" s="90">
      <c r="A40" s="43" t="inlineStr">
        <is>
          <t>Grenadier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</row>
    <row r="41" ht="13.65" customHeight="1" s="90">
      <c r="A41" s="43" t="inlineStr">
        <is>
          <t>Grenadier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</row>
    <row r="42" ht="13.65" customHeight="1" s="90">
      <c r="A42" s="43" t="inlineStr">
        <is>
          <t>Grenadier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</row>
    <row r="43" ht="13.65" customHeight="1" s="90">
      <c r="A43" s="43" t="inlineStr">
        <is>
          <t>Grenadier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</row>
    <row r="44" ht="13.65" customHeight="1" s="90">
      <c r="A44" s="43" t="inlineStr">
        <is>
          <t>Grenadier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</row>
    <row r="45" ht="13.65" customHeight="1" s="90">
      <c r="A45" s="43" t="inlineStr">
        <is>
          <t>Grenadier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</row>
    <row r="46" ht="13.65" customHeight="1" s="90">
      <c r="A46" s="43" t="inlineStr">
        <is>
          <t>Grenadier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</row>
    <row r="47" ht="13.65" customHeight="1" s="90">
      <c r="A47" s="43" t="inlineStr">
        <is>
          <t>Grenadier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</row>
    <row r="48" ht="13.65" customHeight="1" s="90">
      <c r="A48" s="43" t="inlineStr">
        <is>
          <t>Grenadier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</row>
    <row r="49" ht="13.65" customHeight="1" s="90">
      <c r="A49" s="43" t="inlineStr">
        <is>
          <t>Grenadier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</row>
    <row r="50" ht="13.65" customHeight="1" s="90">
      <c r="A50" s="43" t="inlineStr">
        <is>
          <t>Chiller</t>
        </is>
      </c>
      <c r="B50" s="43" t="inlineStr">
        <is>
          <t>Field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Cold Snap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</row>
    <row r="51" ht="13.65" customHeight="1" s="90">
      <c r="A51" s="43" t="inlineStr">
        <is>
          <t>Chiller</t>
        </is>
      </c>
      <c r="B51" s="43" t="inlineStr">
        <is>
          <t>Field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Frostbite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</row>
    <row r="52" ht="13.65" customHeight="1" s="90">
      <c r="A52" s="43" t="inlineStr">
        <is>
          <t>Chiller</t>
        </is>
      </c>
      <c r="B52" s="43" t="inlineStr">
        <is>
          <t>Field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Permafrost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</row>
    <row r="53" ht="13.65" customHeight="1" s="90">
      <c r="A53" s="43" t="inlineStr">
        <is>
          <t>Chiller</t>
        </is>
      </c>
      <c r="B53" s="43" t="inlineStr">
        <is>
          <t>Field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Glacier Zone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</row>
    <row r="54" ht="13.65" customHeight="1" s="90">
      <c r="A54" s="43" t="inlineStr">
        <is>
          <t>Chiller</t>
        </is>
      </c>
      <c r="B54" s="43" t="inlineStr">
        <is>
          <t>Field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Absolute Zero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</row>
    <row r="55" ht="13.65" customHeight="1" s="90">
      <c r="A55" s="43" t="inlineStr">
        <is>
          <t>Chiller</t>
        </is>
      </c>
      <c r="B55" s="43" t="inlineStr">
        <is>
          <t>Freeze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Flash Freeze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</row>
    <row r="56" ht="13.65" customHeight="1" s="90">
      <c r="A56" s="43" t="inlineStr">
        <is>
          <t>Chiller</t>
        </is>
      </c>
      <c r="B56" s="43" t="inlineStr">
        <is>
          <t>Freeze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Deep Freeze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</row>
    <row r="57" ht="13.65" customHeight="1" s="90">
      <c r="A57" s="43" t="inlineStr">
        <is>
          <t>Chiller</t>
        </is>
      </c>
      <c r="B57" s="43" t="inlineStr">
        <is>
          <t>Freeze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Ice Shards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</row>
    <row r="58" ht="13.65" customHeight="1" s="90">
      <c r="A58" s="43" t="inlineStr">
        <is>
          <t>Chiller</t>
        </is>
      </c>
      <c r="B58" s="43" t="inlineStr">
        <is>
          <t>Freeze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Cryo Pulse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</row>
    <row r="59" ht="13.65" customHeight="1" s="90">
      <c r="A59" s="43" t="inlineStr">
        <is>
          <t>Chiller</t>
        </is>
      </c>
      <c r="B59" s="43" t="inlineStr">
        <is>
          <t>Freeze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Stasis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</row>
    <row r="60" ht="13.65" customHeight="1" s="90">
      <c r="A60" s="43" t="inlineStr">
        <is>
          <t>Chiller</t>
        </is>
      </c>
      <c r="B60" s="43" t="inlineStr">
        <is>
          <t>Brittle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Brittle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</row>
    <row r="61" ht="13.65" customHeight="1" s="90">
      <c r="A61" s="43" t="inlineStr">
        <is>
          <t>Chiller</t>
        </is>
      </c>
      <c r="B61" s="43" t="inlineStr">
        <is>
          <t>Brittle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Shatter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</row>
    <row r="62" ht="13.65" customHeight="1" s="90">
      <c r="A62" s="43" t="inlineStr">
        <is>
          <t>Chiller</t>
        </is>
      </c>
      <c r="B62" s="43" t="inlineStr">
        <is>
          <t>Brittle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Cold Front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</row>
    <row r="63" ht="13.65" customHeight="1" s="90">
      <c r="A63" s="43" t="inlineStr">
        <is>
          <t>Chiller</t>
        </is>
      </c>
      <c r="B63" s="43" t="inlineStr">
        <is>
          <t>Brittle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Frozen Core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</row>
    <row r="64" ht="13.65" customHeight="1" s="90">
      <c r="A64" s="43" t="inlineStr">
        <is>
          <t>Chiller</t>
        </is>
      </c>
      <c r="B64" s="43" t="inlineStr">
        <is>
          <t>Brittle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Winter's Edge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</row>
    <row r="65" ht="13.65" customHeight="1" s="90">
      <c r="A65" s="43" t="inlineStr">
        <is>
          <t>Quartermaster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</row>
    <row r="66" ht="13.65" customHeight="1" s="90">
      <c r="A66" s="43" t="inlineStr">
        <is>
          <t>Quartermaster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</row>
    <row r="67" ht="13.65" customHeight="1" s="90">
      <c r="A67" s="43" t="inlineStr">
        <is>
          <t>Quartermaster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</row>
    <row r="68" ht="13.65" customHeight="1" s="90">
      <c r="A68" s="43" t="inlineStr">
        <is>
          <t>Quartermaster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</row>
    <row r="69" ht="13.65" customHeight="1" s="90">
      <c r="A69" s="43" t="inlineStr">
        <is>
          <t>Quartermaster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Storm Bank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</row>
    <row r="70" ht="13.65" customHeight="1" s="90">
      <c r="A70" s="43" t="inlineStr">
        <is>
          <t>Quartermaster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</row>
    <row r="71" ht="13.65" customHeight="1" s="90">
      <c r="A71" s="43" t="inlineStr">
        <is>
          <t>Quartermaster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</row>
    <row r="72" ht="13.65" customHeight="1" s="90">
      <c r="A72" s="43" t="inlineStr">
        <is>
          <t>Quartermaster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</row>
    <row r="73" ht="13.65" customHeight="1" s="90">
      <c r="A73" s="43" t="inlineStr">
        <is>
          <t>Quartermaster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</row>
    <row r="74" ht="13.65" customHeight="1" s="90">
      <c r="A74" s="43" t="inlineStr">
        <is>
          <t>Quartermaster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Barge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</row>
    <row r="75" ht="13.65" customHeight="1" s="90">
      <c r="A75" s="43" t="inlineStr">
        <is>
          <t>Quartermaster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</row>
    <row r="76" ht="13.65" customHeight="1" s="90">
      <c r="A76" s="43" t="inlineStr">
        <is>
          <t>Quartermaster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</row>
    <row r="77" ht="13.65" customHeight="1" s="90">
      <c r="A77" s="43" t="inlineStr">
        <is>
          <t>Quartermaster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</row>
    <row r="78" ht="13.65" customHeight="1" s="90">
      <c r="A78" s="43" t="inlineStr">
        <is>
          <t>Quartermaster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</row>
    <row r="79" ht="13.65" customHeight="1" s="90">
      <c r="A79" s="43" t="inlineStr">
        <is>
          <t>Quartermaster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4" customWidth="1" style="81" min="1" max="1"/>
    <col width="11" customWidth="1" style="81" min="2" max="2"/>
    <col width="7" customWidth="1" style="81" min="3" max="3"/>
    <col width="20" customWidth="1" style="81" min="4" max="4"/>
    <col width="11" customWidth="1" style="81" min="5" max="5"/>
    <col width="12" customWidth="1" style="81" min="6" max="6"/>
    <col width="10" customWidth="1" style="81" min="7" max="7"/>
    <col width="12" customWidth="1" style="81" min="8" max="8"/>
    <col width="9" customWidth="1" style="81" min="9" max="9"/>
    <col width="10" customWidth="1" style="81" min="10" max="10"/>
    <col width="12" customWidth="1" style="81" min="11" max="11"/>
    <col width="46" customWidth="1" style="81" min="12" max="12"/>
    <col width="13" customWidth="1" style="81" min="13" max="16384"/>
    <col width="13" customWidth="1" style="90" min="14" max="14"/>
    <col width="13" customWidth="1" style="90" min="15" max="15"/>
    <col width="13" customWidth="1" style="90" min="16" max="16"/>
    <col width="13" customWidth="1" style="90" min="17" max="17"/>
    <col width="13" customWidth="1" style="90" min="18" max="18"/>
    <col width="13" customWidth="1" style="90" min="19" max="19"/>
  </cols>
  <sheetData>
    <row r="1" ht="18.5" customHeight="1" s="90">
      <c r="A1" s="2" t="inlineStr">
        <is>
          <t>PLAYER WEAPONS — in-round track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4" t="n"/>
    </row>
    <row r="2" ht="13.65" customHeight="1" s="90">
      <c r="A2" s="5" t="inlineStr">
        <is>
          <t>Resets every match. Bought from the same shared cash as towers. Abilities unlock at tier 2.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41" t="n"/>
    </row>
    <row r="4" ht="27.75" customHeight="1" s="90">
      <c r="A4" s="21" t="inlineStr">
        <is>
          <t>Weapon type</t>
        </is>
      </c>
      <c r="B4" s="21" t="inlineStr">
        <is>
          <t>Ability</t>
        </is>
      </c>
      <c r="C4" s="21" t="inlineStr">
        <is>
          <t>Tier</t>
        </is>
      </c>
      <c r="D4" s="21" t="inlineStr">
        <is>
          <t>Weapon</t>
        </is>
      </c>
      <c r="E4" s="21" t="inlineStr">
        <is>
          <t>Cost</t>
        </is>
      </c>
      <c r="F4" s="21" t="inlineStr">
        <is>
          <t>Cumulative</t>
        </is>
      </c>
      <c r="G4" s="21" t="inlineStr">
        <is>
          <t>Damage</t>
        </is>
      </c>
      <c r="H4" s="21" t="inlineStr">
        <is>
          <t>Fire rate /s</t>
        </is>
      </c>
      <c r="I4" s="21" t="inlineStr">
        <is>
          <t>Targets</t>
        </is>
      </c>
      <c r="J4" s="21" t="inlineStr">
        <is>
          <t>DPS</t>
        </is>
      </c>
      <c r="K4" s="21" t="inlineStr">
        <is>
          <t>Cooldown (s)</t>
        </is>
      </c>
      <c r="L4" s="21" t="inlineStr">
        <is>
          <t>Trade-off</t>
        </is>
      </c>
      <c r="M4" s="21" t="inlineStr">
        <is>
          <t>Pierces armour</t>
        </is>
      </c>
      <c r="N4" s="21" t="inlineStr">
        <is>
          <t>Hits air</t>
        </is>
      </c>
      <c r="O4" s="21" t="inlineStr">
        <is>
          <t>Range (m)</t>
        </is>
      </c>
      <c r="P4" s="21" t="inlineStr">
        <is>
          <t>Splash radius (m)</t>
        </is>
      </c>
      <c r="Q4" s="21" t="inlineStr">
        <is>
          <t>Ability power</t>
        </is>
      </c>
      <c r="R4" s="21" t="inlineStr">
        <is>
          <t>Ability (s)</t>
        </is>
      </c>
      <c r="S4" s="21" t="inlineStr">
        <is>
          <t>Ability radius (m)</t>
        </is>
      </c>
    </row>
    <row r="5" ht="13.65" customHeight="1" s="90">
      <c r="A5" s="43" t="inlineStr">
        <is>
          <t>Precision</t>
        </is>
      </c>
      <c r="B5" s="59" t="inlineStr">
        <is>
          <t>— locked —</t>
        </is>
      </c>
      <c r="C5" s="56" t="n">
        <v>1</v>
      </c>
      <c r="D5" s="43" t="inlineStr">
        <is>
          <t>Scoped pistol</t>
        </is>
      </c>
      <c r="E5" s="56">
        <f t="array" ref="E5">ROUND('Tuning'!$B$21*POWER('Tuning'!$B$22,C5-1),0)</f>
        <v/>
      </c>
      <c r="F5" s="56">
        <f t="array" ref="F5">E5</f>
        <v/>
      </c>
      <c r="G5" s="92">
        <f t="array" ref="G5">ROUND(6*POWER('Tuning'!$B$23,C5-1),1)</f>
        <v/>
      </c>
      <c r="H5" s="57" t="n">
        <v>1.1</v>
      </c>
      <c r="I5" s="60" t="n">
        <v>1</v>
      </c>
      <c r="J5" s="92">
        <f t="array" ref="J5">G5*H5*I5</f>
        <v/>
      </c>
      <c r="K5" s="56" t="n"/>
      <c r="L5" s="47" t="inlineStr">
        <is>
          <t>Huge single-target damage. Useless against swarms. Railgun pierces 2 in a lane.</t>
        </is>
      </c>
      <c r="M5" s="60" t="inlineStr">
        <is>
          <t>Yes</t>
        </is>
      </c>
      <c r="N5" s="60" t="inlineStr">
        <is>
          <t>Yes</t>
        </is>
      </c>
      <c r="O5" s="60" t="n">
        <v>60</v>
      </c>
      <c r="P5" s="60" t="n">
        <v>0</v>
      </c>
      <c r="Q5" s="60" t="n"/>
      <c r="R5" s="60" t="n"/>
      <c r="S5" s="60" t="n"/>
    </row>
    <row r="6" ht="13.65" customHeight="1" s="90">
      <c r="A6" s="43" t="inlineStr">
        <is>
          <t>Precision</t>
        </is>
      </c>
      <c r="B6" s="43" t="inlineStr">
        <is>
          <t>Mark</t>
        </is>
      </c>
      <c r="C6" s="56" t="n">
        <v>2</v>
      </c>
      <c r="D6" s="43" t="inlineStr">
        <is>
          <t>Marksman rifle</t>
        </is>
      </c>
      <c r="E6" s="56">
        <f t="array" ref="E6">ROUND('Tuning'!$B$21*POWER('Tuning'!$B$22,C6-1),0)</f>
        <v/>
      </c>
      <c r="F6" s="56">
        <f t="array" ref="F6">F5+E6</f>
        <v/>
      </c>
      <c r="G6" s="92">
        <f t="array" ref="G6">ROUND(6*POWER('Tuning'!$B$23,C6-1),1)</f>
        <v/>
      </c>
      <c r="H6" s="57" t="n">
        <v>1.1</v>
      </c>
      <c r="I6" s="60" t="n">
        <v>1</v>
      </c>
      <c r="J6" s="92">
        <f t="array" ref="J6">G6*H6*I6</f>
        <v/>
      </c>
      <c r="K6" s="60" t="n">
        <v>40</v>
      </c>
      <c r="L6" s="61" t="n"/>
      <c r="M6" s="60" t="inlineStr">
        <is>
          <t>Yes</t>
        </is>
      </c>
      <c r="N6" s="60" t="inlineStr">
        <is>
          <t>Yes</t>
        </is>
      </c>
      <c r="O6" s="60" t="n">
        <v>60</v>
      </c>
      <c r="P6" s="60" t="n">
        <v>0</v>
      </c>
      <c r="Q6" s="60" t="n">
        <v>50</v>
      </c>
      <c r="R6" s="60" t="n">
        <v>8</v>
      </c>
      <c r="S6" s="60" t="n">
        <v>0</v>
      </c>
    </row>
    <row r="7" ht="13.65" customHeight="1" s="90">
      <c r="A7" s="43" t="inlineStr">
        <is>
          <t>Precision</t>
        </is>
      </c>
      <c r="B7" s="43" t="inlineStr">
        <is>
          <t>Mark</t>
        </is>
      </c>
      <c r="C7" s="56" t="n">
        <v>3</v>
      </c>
      <c r="D7" s="43" t="inlineStr">
        <is>
          <t>Heavy marksman</t>
        </is>
      </c>
      <c r="E7" s="56">
        <f t="array" ref="E7">ROUND('Tuning'!$B$21*POWER('Tuning'!$B$22,C7-1),0)</f>
        <v/>
      </c>
      <c r="F7" s="56">
        <f t="array" ref="F7">F6+E7</f>
        <v/>
      </c>
      <c r="G7" s="92">
        <f t="array" ref="G7">ROUND(6*POWER('Tuning'!$B$23,C7-1),1)</f>
        <v/>
      </c>
      <c r="H7" s="57" t="n">
        <v>1.1</v>
      </c>
      <c r="I7" s="60" t="n">
        <v>1</v>
      </c>
      <c r="J7" s="92">
        <f t="array" ref="J7">G7*H7*I7</f>
        <v/>
      </c>
      <c r="K7" s="60" t="n">
        <v>35</v>
      </c>
      <c r="L7" s="61" t="n"/>
      <c r="M7" s="60" t="inlineStr">
        <is>
          <t>Yes</t>
        </is>
      </c>
      <c r="N7" s="60" t="inlineStr">
        <is>
          <t>Yes</t>
        </is>
      </c>
      <c r="O7" s="60" t="n">
        <v>60</v>
      </c>
      <c r="P7" s="60" t="n">
        <v>0</v>
      </c>
      <c r="Q7" s="60" t="n">
        <v>55</v>
      </c>
      <c r="R7" s="60" t="n">
        <v>8</v>
      </c>
      <c r="S7" s="60" t="n">
        <v>0</v>
      </c>
    </row>
    <row r="8" ht="13.65" customHeight="1" s="90">
      <c r="A8" s="43" t="inlineStr">
        <is>
          <t>Precision</t>
        </is>
      </c>
      <c r="B8" s="43" t="inlineStr">
        <is>
          <t>Mark</t>
        </is>
      </c>
      <c r="C8" s="56" t="n">
        <v>4</v>
      </c>
      <c r="D8" s="43" t="inlineStr">
        <is>
          <t>Anti-materiel rifle</t>
        </is>
      </c>
      <c r="E8" s="56">
        <f t="array" ref="E8">ROUND('Tuning'!$B$21*POWER('Tuning'!$B$22,C8-1),0)</f>
        <v/>
      </c>
      <c r="F8" s="56">
        <f t="array" ref="F8">F7+E8</f>
        <v/>
      </c>
      <c r="G8" s="92">
        <f t="array" ref="G8">ROUND(6*POWER('Tuning'!$B$23,C8-1),1)</f>
        <v/>
      </c>
      <c r="H8" s="57" t="n">
        <v>1.1</v>
      </c>
      <c r="I8" s="60" t="n">
        <v>1</v>
      </c>
      <c r="J8" s="92">
        <f t="array" ref="J8">G8*H8*I8</f>
        <v/>
      </c>
      <c r="K8" s="60" t="n">
        <v>30</v>
      </c>
      <c r="L8" s="61" t="n"/>
      <c r="M8" s="60" t="inlineStr">
        <is>
          <t>Yes</t>
        </is>
      </c>
      <c r="N8" s="60" t="inlineStr">
        <is>
          <t>Yes</t>
        </is>
      </c>
      <c r="O8" s="60" t="n">
        <v>60</v>
      </c>
      <c r="P8" s="60" t="n">
        <v>0</v>
      </c>
      <c r="Q8" s="60" t="n">
        <v>65</v>
      </c>
      <c r="R8" s="60" t="n">
        <v>9</v>
      </c>
      <c r="S8" s="60" t="n">
        <v>0</v>
      </c>
    </row>
    <row r="9" ht="13.65" customHeight="1" s="90">
      <c r="A9" s="43" t="inlineStr">
        <is>
          <t>Precision</t>
        </is>
      </c>
      <c r="B9" s="43" t="inlineStr">
        <is>
          <t>Mark</t>
        </is>
      </c>
      <c r="C9" s="56" t="n">
        <v>5</v>
      </c>
      <c r="D9" s="43" t="inlineStr">
        <is>
          <t>Railgun</t>
        </is>
      </c>
      <c r="E9" s="56">
        <f t="array" ref="E9">ROUND('Tuning'!$B$21*POWER('Tuning'!$B$22,C9-1),0)</f>
        <v/>
      </c>
      <c r="F9" s="56">
        <f t="array" ref="F9">F8+E9</f>
        <v/>
      </c>
      <c r="G9" s="92">
        <f t="array" ref="G9">ROUND(6*POWER('Tuning'!$B$23,C9-1),1)</f>
        <v/>
      </c>
      <c r="H9" s="57" t="n">
        <v>1.1</v>
      </c>
      <c r="I9" s="60" t="n">
        <v>2</v>
      </c>
      <c r="J9" s="92">
        <f t="array" ref="J9">G9*H9*I9</f>
        <v/>
      </c>
      <c r="K9" s="60" t="n">
        <v>25</v>
      </c>
      <c r="L9" s="61" t="n"/>
      <c r="M9" s="60" t="inlineStr">
        <is>
          <t>Yes</t>
        </is>
      </c>
      <c r="N9" s="60" t="inlineStr">
        <is>
          <t>Yes</t>
        </is>
      </c>
      <c r="O9" s="60" t="n">
        <v>60</v>
      </c>
      <c r="P9" s="60" t="n">
        <v>0</v>
      </c>
      <c r="Q9" s="60" t="n">
        <v>80</v>
      </c>
      <c r="R9" s="60" t="n">
        <v>10</v>
      </c>
      <c r="S9" s="60" t="n">
        <v>0</v>
      </c>
    </row>
    <row r="10" ht="13.65" customHeight="1" s="90">
      <c r="A10" s="43" t="inlineStr">
        <is>
          <t>Sustained</t>
        </is>
      </c>
      <c r="B10" s="59" t="inlineStr">
        <is>
          <t>— locked —</t>
        </is>
      </c>
      <c r="C10" s="56" t="n">
        <v>1</v>
      </c>
      <c r="D10" s="43" t="inlineStr">
        <is>
          <t>SMG</t>
        </is>
      </c>
      <c r="E10" s="56">
        <f t="array" ref="E10">ROUND('Tuning'!$B$21*POWER('Tuning'!$B$22,C10-1),0)</f>
        <v/>
      </c>
      <c r="F10" s="56">
        <f t="array" ref="F10">E10</f>
        <v/>
      </c>
      <c r="G10" s="92">
        <f t="array" ref="G10">ROUND(1.2*POWER('Tuning'!$B$23,C10-1),1)</f>
        <v/>
      </c>
      <c r="H10" s="57" t="n">
        <v>8</v>
      </c>
      <c r="I10" s="60" t="n">
        <v>1</v>
      </c>
      <c r="J10" s="92">
        <f t="array" ref="J10">G10*H10*I10</f>
        <v/>
      </c>
      <c r="K10" s="56" t="n"/>
      <c r="L10" s="47" t="inlineStr">
        <is>
          <t>Shreds crowds. Stopped cold by armor.</t>
        </is>
      </c>
      <c r="M10" s="60" t="inlineStr">
        <is>
          <t>No</t>
        </is>
      </c>
      <c r="N10" s="60" t="inlineStr">
        <is>
          <t>Yes</t>
        </is>
      </c>
      <c r="O10" s="60" t="n">
        <v>35</v>
      </c>
      <c r="P10" s="60" t="n">
        <v>0</v>
      </c>
      <c r="Q10" s="60" t="n"/>
      <c r="R10" s="60" t="n"/>
      <c r="S10" s="60" t="n"/>
    </row>
    <row r="11" ht="13.65" customHeight="1" s="90">
      <c r="A11" s="43" t="inlineStr">
        <is>
          <t>Sustained</t>
        </is>
      </c>
      <c r="B11" s="43" t="inlineStr">
        <is>
          <t>Overdrive</t>
        </is>
      </c>
      <c r="C11" s="56" t="n">
        <v>2</v>
      </c>
      <c r="D11" s="43" t="inlineStr">
        <is>
          <t>Assault rifle</t>
        </is>
      </c>
      <c r="E11" s="56">
        <f t="array" ref="E11">ROUND('Tuning'!$B$21*POWER('Tuning'!$B$22,C11-1),0)</f>
        <v/>
      </c>
      <c r="F11" s="56">
        <f t="array" ref="F11">F10+E11</f>
        <v/>
      </c>
      <c r="G11" s="92">
        <f t="array" ref="G11">ROUND(1.2*POWER('Tuning'!$B$23,C11-1),1)</f>
        <v/>
      </c>
      <c r="H11" s="57" t="n">
        <v>8</v>
      </c>
      <c r="I11" s="60" t="n">
        <v>1</v>
      </c>
      <c r="J11" s="92">
        <f t="array" ref="J11">G11*H11*I11</f>
        <v/>
      </c>
      <c r="K11" s="60" t="n">
        <v>40</v>
      </c>
      <c r="L11" s="61" t="n"/>
      <c r="M11" s="60" t="inlineStr">
        <is>
          <t>No</t>
        </is>
      </c>
      <c r="N11" s="60" t="inlineStr">
        <is>
          <t>Yes</t>
        </is>
      </c>
      <c r="O11" s="60" t="n">
        <v>35</v>
      </c>
      <c r="P11" s="60" t="n">
        <v>0</v>
      </c>
      <c r="Q11" s="60" t="n">
        <v>40</v>
      </c>
      <c r="R11" s="60" t="n">
        <v>10</v>
      </c>
      <c r="S11" s="60" t="n">
        <v>25</v>
      </c>
    </row>
    <row r="12" ht="13.65" customHeight="1" s="90">
      <c r="A12" s="43" t="inlineStr">
        <is>
          <t>Sustained</t>
        </is>
      </c>
      <c r="B12" s="43" t="inlineStr">
        <is>
          <t>Overdrive</t>
        </is>
      </c>
      <c r="C12" s="56" t="n">
        <v>3</v>
      </c>
      <c r="D12" s="43" t="inlineStr">
        <is>
          <t>Heavy AR</t>
        </is>
      </c>
      <c r="E12" s="56">
        <f t="array" ref="E12">ROUND('Tuning'!$B$21*POWER('Tuning'!$B$22,C12-1),0)</f>
        <v/>
      </c>
      <c r="F12" s="56">
        <f t="array" ref="F12">F11+E12</f>
        <v/>
      </c>
      <c r="G12" s="92">
        <f t="array" ref="G12">ROUND(1.2*POWER('Tuning'!$B$23,C12-1),1)</f>
        <v/>
      </c>
      <c r="H12" s="57" t="n">
        <v>8</v>
      </c>
      <c r="I12" s="60" t="n">
        <v>1</v>
      </c>
      <c r="J12" s="92">
        <f t="array" ref="J12">G12*H12*I12</f>
        <v/>
      </c>
      <c r="K12" s="60" t="n">
        <v>35</v>
      </c>
      <c r="L12" s="61" t="n"/>
      <c r="M12" s="60" t="inlineStr">
        <is>
          <t>No</t>
        </is>
      </c>
      <c r="N12" s="60" t="inlineStr">
        <is>
          <t>Yes</t>
        </is>
      </c>
      <c r="O12" s="60" t="n">
        <v>35</v>
      </c>
      <c r="P12" s="60" t="n">
        <v>0</v>
      </c>
      <c r="Q12" s="60" t="n">
        <v>45</v>
      </c>
      <c r="R12" s="60" t="n">
        <v>10</v>
      </c>
      <c r="S12" s="60" t="n">
        <v>28</v>
      </c>
    </row>
    <row r="13" ht="13.65" customHeight="1" s="90">
      <c r="A13" s="43" t="inlineStr">
        <is>
          <t>Sustained</t>
        </is>
      </c>
      <c r="B13" s="43" t="inlineStr">
        <is>
          <t>Overdrive</t>
        </is>
      </c>
      <c r="C13" s="56" t="n">
        <v>4</v>
      </c>
      <c r="D13" s="43" t="inlineStr">
        <is>
          <t>LMG</t>
        </is>
      </c>
      <c r="E13" s="56">
        <f t="array" ref="E13">ROUND('Tuning'!$B$21*POWER('Tuning'!$B$22,C13-1),0)</f>
        <v/>
      </c>
      <c r="F13" s="56">
        <f t="array" ref="F13">F12+E13</f>
        <v/>
      </c>
      <c r="G13" s="92">
        <f t="array" ref="G13">ROUND(1.2*POWER('Tuning'!$B$23,C13-1),1)</f>
        <v/>
      </c>
      <c r="H13" s="57" t="n">
        <v>8</v>
      </c>
      <c r="I13" s="60" t="n">
        <v>1</v>
      </c>
      <c r="J13" s="92">
        <f t="array" ref="J13">G13*H13*I13</f>
        <v/>
      </c>
      <c r="K13" s="60" t="n">
        <v>30</v>
      </c>
      <c r="L13" s="61" t="n"/>
      <c r="M13" s="60" t="inlineStr">
        <is>
          <t>No</t>
        </is>
      </c>
      <c r="N13" s="60" t="inlineStr">
        <is>
          <t>Yes</t>
        </is>
      </c>
      <c r="O13" s="60" t="n">
        <v>35</v>
      </c>
      <c r="P13" s="60" t="n">
        <v>0</v>
      </c>
      <c r="Q13" s="60" t="n">
        <v>55</v>
      </c>
      <c r="R13" s="60" t="n">
        <v>11</v>
      </c>
      <c r="S13" s="60" t="n">
        <v>32</v>
      </c>
    </row>
    <row r="14" ht="13.65" customHeight="1" s="90">
      <c r="A14" s="43" t="inlineStr">
        <is>
          <t>Sustained</t>
        </is>
      </c>
      <c r="B14" s="43" t="inlineStr">
        <is>
          <t>Overdrive</t>
        </is>
      </c>
      <c r="C14" s="56" t="n">
        <v>5</v>
      </c>
      <c r="D14" s="43" t="inlineStr">
        <is>
          <t>Minigun</t>
        </is>
      </c>
      <c r="E14" s="56">
        <f t="array" ref="E14">ROUND('Tuning'!$B$21*POWER('Tuning'!$B$22,C14-1),0)</f>
        <v/>
      </c>
      <c r="F14" s="56">
        <f t="array" ref="F14">F13+E14</f>
        <v/>
      </c>
      <c r="G14" s="92">
        <f t="array" ref="G14">ROUND(1.2*POWER('Tuning'!$B$23,C14-1),1)</f>
        <v/>
      </c>
      <c r="H14" s="57" t="n">
        <v>8</v>
      </c>
      <c r="I14" s="60" t="n">
        <v>1</v>
      </c>
      <c r="J14" s="92">
        <f t="array" ref="J14">G14*H14*I14</f>
        <v/>
      </c>
      <c r="K14" s="60" t="n">
        <v>25</v>
      </c>
      <c r="L14" s="61" t="n"/>
      <c r="M14" s="60" t="inlineStr">
        <is>
          <t>No</t>
        </is>
      </c>
      <c r="N14" s="60" t="inlineStr">
        <is>
          <t>Yes</t>
        </is>
      </c>
      <c r="O14" s="60" t="n">
        <v>35</v>
      </c>
      <c r="P14" s="60" t="n">
        <v>0</v>
      </c>
      <c r="Q14" s="60" t="n">
        <v>70</v>
      </c>
      <c r="R14" s="60" t="n">
        <v>12</v>
      </c>
      <c r="S14" s="60" t="n">
        <v>36</v>
      </c>
    </row>
    <row r="15" ht="13.65" customHeight="1" s="90">
      <c r="A15" s="43" t="inlineStr">
        <is>
          <t>Ordnance</t>
        </is>
      </c>
      <c r="B15" s="59" t="inlineStr">
        <is>
          <t>— locked —</t>
        </is>
      </c>
      <c r="C15" s="56" t="n">
        <v>1</v>
      </c>
      <c r="D15" s="43" t="inlineStr">
        <is>
          <t>Shotgun</t>
        </is>
      </c>
      <c r="E15" s="56">
        <f t="array" ref="E15">ROUND('Tuning'!$B$21*POWER('Tuning'!$B$22,C15-1),0)</f>
        <v/>
      </c>
      <c r="F15" s="56">
        <f t="array" ref="F15">E15</f>
        <v/>
      </c>
      <c r="G15" s="92">
        <f t="array" ref="G15">ROUND(4*POWER('Tuning'!$B$23,C15-1),1)</f>
        <v/>
      </c>
      <c r="H15" s="57" t="n">
        <v>1.3</v>
      </c>
      <c r="I15" s="60" t="n">
        <v>2</v>
      </c>
      <c r="J15" s="92">
        <f t="array" ref="J15">G15*H15*I15</f>
        <v/>
      </c>
      <c r="K15" s="56" t="n"/>
      <c r="L15" s="47" t="inlineStr">
        <is>
          <t>Best clear in the game. Cannot hit air at all.</t>
        </is>
      </c>
      <c r="M15" s="60" t="inlineStr">
        <is>
          <t>Yes</t>
        </is>
      </c>
      <c r="N15" s="60" t="inlineStr">
        <is>
          <t>No</t>
        </is>
      </c>
      <c r="O15" s="60" t="n">
        <v>40</v>
      </c>
      <c r="P15" s="60" t="n">
        <v>5</v>
      </c>
      <c r="Q15" s="60" t="n"/>
      <c r="R15" s="60" t="n"/>
      <c r="S15" s="60" t="n"/>
    </row>
    <row r="16" ht="13.65" customHeight="1" s="90">
      <c r="A16" s="43" t="inlineStr">
        <is>
          <t>Ordnance</t>
        </is>
      </c>
      <c r="B16" s="43" t="inlineStr">
        <is>
          <t>Airburst</t>
        </is>
      </c>
      <c r="C16" s="56" t="n">
        <v>2</v>
      </c>
      <c r="D16" s="43" t="inlineStr">
        <is>
          <t>Grenade launcher</t>
        </is>
      </c>
      <c r="E16" s="56">
        <f t="array" ref="E16">ROUND('Tuning'!$B$21*POWER('Tuning'!$B$22,C16-1),0)</f>
        <v/>
      </c>
      <c r="F16" s="56">
        <f t="array" ref="F16">F15+E16</f>
        <v/>
      </c>
      <c r="G16" s="92">
        <f t="array" ref="G16">ROUND(4*POWER('Tuning'!$B$23,C16-1),1)</f>
        <v/>
      </c>
      <c r="H16" s="57" t="n">
        <v>1.3</v>
      </c>
      <c r="I16" s="60" t="n">
        <v>2</v>
      </c>
      <c r="J16" s="92">
        <f t="array" ref="J16">G16*H16*I16</f>
        <v/>
      </c>
      <c r="K16" s="60" t="n">
        <v>40</v>
      </c>
      <c r="L16" s="61" t="n"/>
      <c r="M16" s="60" t="inlineStr">
        <is>
          <t>Yes</t>
        </is>
      </c>
      <c r="N16" s="60" t="inlineStr">
        <is>
          <t>No</t>
        </is>
      </c>
      <c r="O16" s="60" t="n">
        <v>40</v>
      </c>
      <c r="P16" s="60" t="n">
        <v>5</v>
      </c>
      <c r="Q16" s="60" t="n">
        <v>30</v>
      </c>
      <c r="R16" s="60" t="n">
        <v>2</v>
      </c>
      <c r="S16" s="60" t="n">
        <v>10</v>
      </c>
    </row>
    <row r="17" ht="13.65" customHeight="1" s="90">
      <c r="A17" s="43" t="inlineStr">
        <is>
          <t>Ordnance</t>
        </is>
      </c>
      <c r="B17" s="43" t="inlineStr">
        <is>
          <t>Airburst</t>
        </is>
      </c>
      <c r="C17" s="56" t="n">
        <v>3</v>
      </c>
      <c r="D17" s="43" t="inlineStr">
        <is>
          <t>Twin launcher</t>
        </is>
      </c>
      <c r="E17" s="56">
        <f t="array" ref="E17">ROUND('Tuning'!$B$21*POWER('Tuning'!$B$22,C17-1),0)</f>
        <v/>
      </c>
      <c r="F17" s="56">
        <f t="array" ref="F17">F16+E17</f>
        <v/>
      </c>
      <c r="G17" s="92">
        <f t="array" ref="G17">ROUND(4*POWER('Tuning'!$B$23,C17-1),1)</f>
        <v/>
      </c>
      <c r="H17" s="57" t="n">
        <v>1.3</v>
      </c>
      <c r="I17" s="60" t="n">
        <v>3</v>
      </c>
      <c r="J17" s="92">
        <f t="array" ref="J17">G17*H17*I17</f>
        <v/>
      </c>
      <c r="K17" s="60" t="n">
        <v>35</v>
      </c>
      <c r="L17" s="61" t="n"/>
      <c r="M17" s="60" t="inlineStr">
        <is>
          <t>Yes</t>
        </is>
      </c>
      <c r="N17" s="60" t="inlineStr">
        <is>
          <t>No</t>
        </is>
      </c>
      <c r="O17" s="60" t="n">
        <v>40</v>
      </c>
      <c r="P17" s="60" t="n">
        <v>5</v>
      </c>
      <c r="Q17" s="60" t="n">
        <v>50</v>
      </c>
      <c r="R17" s="60" t="n">
        <v>2</v>
      </c>
      <c r="S17" s="60" t="n">
        <v>11</v>
      </c>
    </row>
    <row r="18" ht="13.65" customHeight="1" s="90">
      <c r="A18" s="43" t="inlineStr">
        <is>
          <t>Ordnance</t>
        </is>
      </c>
      <c r="B18" s="43" t="inlineStr">
        <is>
          <t>Airburst</t>
        </is>
      </c>
      <c r="C18" s="56" t="n">
        <v>4</v>
      </c>
      <c r="D18" s="43" t="inlineStr">
        <is>
          <t>Mortar</t>
        </is>
      </c>
      <c r="E18" s="56">
        <f t="array" ref="E18">ROUND('Tuning'!$B$21*POWER('Tuning'!$B$22,C18-1),0)</f>
        <v/>
      </c>
      <c r="F18" s="56">
        <f t="array" ref="F18">F17+E18</f>
        <v/>
      </c>
      <c r="G18" s="92">
        <f t="array" ref="G18">ROUND(4*POWER('Tuning'!$B$23,C18-1),1)</f>
        <v/>
      </c>
      <c r="H18" s="57" t="n">
        <v>1.3</v>
      </c>
      <c r="I18" s="60" t="n">
        <v>3</v>
      </c>
      <c r="J18" s="92">
        <f t="array" ref="J18">G18*H18*I18</f>
        <v/>
      </c>
      <c r="K18" s="60" t="n">
        <v>30</v>
      </c>
      <c r="L18" s="61" t="n"/>
      <c r="M18" s="60" t="inlineStr">
        <is>
          <t>Yes</t>
        </is>
      </c>
      <c r="N18" s="60" t="inlineStr">
        <is>
          <t>No</t>
        </is>
      </c>
      <c r="O18" s="60" t="n">
        <v>40</v>
      </c>
      <c r="P18" s="60" t="n">
        <v>5</v>
      </c>
      <c r="Q18" s="60" t="n">
        <v>80</v>
      </c>
      <c r="R18" s="60" t="n">
        <v>2.5</v>
      </c>
      <c r="S18" s="60" t="n">
        <v>12</v>
      </c>
    </row>
    <row r="19" ht="13.65" customHeight="1" s="90">
      <c r="A19" s="43" t="inlineStr">
        <is>
          <t>Ordnance</t>
        </is>
      </c>
      <c r="B19" s="43" t="inlineStr">
        <is>
          <t>Airburst</t>
        </is>
      </c>
      <c r="C19" s="56" t="n">
        <v>5</v>
      </c>
      <c r="D19" s="43" t="inlineStr">
        <is>
          <t>Rocket launcher</t>
        </is>
      </c>
      <c r="E19" s="56">
        <f t="array" ref="E19">ROUND('Tuning'!$B$21*POWER('Tuning'!$B$22,C19-1),0)</f>
        <v/>
      </c>
      <c r="F19" s="56">
        <f t="array" ref="F19">F18+E19</f>
        <v/>
      </c>
      <c r="G19" s="92">
        <f t="array" ref="G19">ROUND(4*POWER('Tuning'!$B$23,C19-1),1)</f>
        <v/>
      </c>
      <c r="H19" s="57" t="n">
        <v>1.3</v>
      </c>
      <c r="I19" s="60" t="n">
        <v>3</v>
      </c>
      <c r="J19" s="92">
        <f t="array" ref="J19">G19*H19*I19</f>
        <v/>
      </c>
      <c r="K19" s="60" t="n">
        <v>25</v>
      </c>
      <c r="L19" s="61" t="n"/>
      <c r="M19" s="60" t="inlineStr">
        <is>
          <t>Yes</t>
        </is>
      </c>
      <c r="N19" s="60" t="inlineStr">
        <is>
          <t>No</t>
        </is>
      </c>
      <c r="O19" s="60" t="n">
        <v>40</v>
      </c>
      <c r="P19" s="60" t="n">
        <v>5</v>
      </c>
      <c r="Q19" s="60" t="n">
        <v>130</v>
      </c>
      <c r="R19" s="60" t="n">
        <v>3</v>
      </c>
      <c r="S19" s="60" t="n">
        <v>14</v>
      </c>
    </row>
    <row r="20" ht="13.55" customHeight="1" s="90">
      <c r="A20" s="62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50" t="n"/>
    </row>
    <row r="21" ht="14.6" customHeight="1" s="90">
      <c r="A21" s="11" t="inlineStr">
        <is>
          <t>CROSSOVER RULE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7" t="n"/>
    </row>
    <row r="22" ht="13.55" customHeight="1" s="90">
      <c r="A22" s="63" t="inlineStr">
        <is>
          <t>Max one path to tier 5. Second path caps at tier 2. Third stays locked. Mastery 20 raises that cap to 3 for one weapon.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7" t="n"/>
    </row>
    <row r="23">
      <c r="A23" s="63" t="inlineStr">
        <is>
          <t>Ability columns, by type — Precision/Mark: power = +% damage the marked enemy takes, (s) = mark length. Sustained/Overdrive: power = +% fire rate for towers within the radius, (s) = duration (your own fire rate x 'Overdrive fire rate x' on Tuning). Ordnance/Airburst: power = damage, (s) = stun, radius = blast radius on the track. Tier 1 has no ability.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8.67188" customWidth="1" style="81" min="6" max="16384"/>
  </cols>
  <sheetData>
    <row r="1" ht="18.5" customHeight="1" s="90">
      <c r="A1" s="2" t="inlineStr">
        <is>
          <t>WEAPON MASTERY — permanent, per weapon type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Storm Cores.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Core cost</t>
        </is>
      </c>
      <c r="C4" s="21" t="inlineStr">
        <is>
          <t>Cumulative cores</t>
        </is>
      </c>
      <c r="D4" s="21" t="inlineStr">
        <is>
          <t>Matches to earn</t>
        </is>
      </c>
      <c r="E4" s="21" t="inlineStr">
        <is>
          <t>Unlock at this level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 t="array" ref="D5">ROUND(C5/('Tuning'!$B$25+'Tuning'!$B$26*25),1)</f>
        <v/>
      </c>
      <c r="E5" s="65" t="inlineStr">
        <is>
          <t>-5% on this weapon's in-round upgrade costs</t>
        </is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 t="array" ref="D6">ROUND(C6/('Tuning'!$B$25+'Tuning'!$B$26*25),1)</f>
        <v/>
      </c>
      <c r="E6" s="65" t="inlineStr">
        <is>
          <t>-10% cumulative</t>
        </is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 t="array" ref="D7">ROUND(C7/('Tuning'!$B$25+'Tuning'!$B$26*25),1)</f>
        <v/>
      </c>
      <c r="E7" s="65" t="inlineStr">
        <is>
          <t>-15% cumulative</t>
        </is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 t="array" ref="D8">ROUND(C8/('Tuning'!$B$25+'Tuning'!$B$26*25),1)</f>
        <v/>
      </c>
      <c r="E8" s="65" t="inlineStr">
        <is>
          <t>-20% cumulative (cap on cost reduction)</t>
        </is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 t="array" ref="D9">ROUND(C9/('Tuning'!$B$25+'Tuning'!$B$26*25),1)</f>
        <v/>
      </c>
      <c r="E9" s="68" t="inlineStr">
        <is>
          <t>Ability cooldown -15%</t>
        </is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 t="array" ref="D10">ROUND(C10/('Tuning'!$B$25+'Tuning'!$B$26*25),1)</f>
        <v/>
      </c>
      <c r="E10" s="69" t="n"/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 t="array" ref="D11">ROUND(C11/('Tuning'!$B$25+'Tuning'!$B$26*25),1)</f>
        <v/>
      </c>
      <c r="E11" s="69" t="n"/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 t="array" ref="D12">ROUND(C12/('Tuning'!$B$25+'Tuning'!$B$26*25),1)</f>
        <v/>
      </c>
      <c r="E12" s="69" t="n"/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 t="array" ref="D13">ROUND(C13/('Tuning'!$B$25+'Tuning'!$B$26*25),1)</f>
        <v/>
      </c>
      <c r="E13" s="69" t="n"/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 t="array" ref="D14">ROUND(C14/('Tuning'!$B$25+'Tuning'!$B$26*25),1)</f>
        <v/>
      </c>
      <c r="E14" s="68" t="inlineStr">
        <is>
          <t>Start every match at tier 1, and unlock a second ability variant chosen at match start</t>
        </is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 t="array" ref="D15">ROUND(C15/('Tuning'!$B$25+'Tuning'!$B$26*25),1)</f>
        <v/>
      </c>
      <c r="E15" s="69" t="n"/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 t="array" ref="D16">ROUND(C16/('Tuning'!$B$25+'Tuning'!$B$26*25),1)</f>
        <v/>
      </c>
      <c r="E16" s="69" t="n"/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 t="array" ref="D17">ROUND(C17/('Tuning'!$B$25+'Tuning'!$B$26*25),1)</f>
        <v/>
      </c>
      <c r="E17" s="69" t="n"/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 t="array" ref="D18">ROUND(C18/('Tuning'!$B$25+'Tuning'!$B$26*25),1)</f>
        <v/>
      </c>
      <c r="E18" s="69" t="n"/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 t="array" ref="D19">ROUND(C19/('Tuning'!$B$25+'Tuning'!$B$26*25),1)</f>
        <v/>
      </c>
      <c r="E19" s="68" t="inlineStr">
        <is>
          <t>Ability cooldown -30%, and the ability gains a secondary effect</t>
        </is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 t="array" ref="D20">ROUND(C20/('Tuning'!$B$25+'Tuning'!$B$26*25),1)</f>
        <v/>
      </c>
      <c r="E20" s="69" t="n"/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 t="array" ref="D21">ROUND(C21/('Tuning'!$B$25+'Tuning'!$B$26*25),1)</f>
        <v/>
      </c>
      <c r="E21" s="69" t="n"/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 t="array" ref="D22">ROUND(C22/('Tuning'!$B$25+'Tuning'!$B$26*25),1)</f>
        <v/>
      </c>
      <c r="E22" s="69" t="n"/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 t="array" ref="D23">ROUND(C23/('Tuning'!$B$25+'Tuning'!$B$26*25),1)</f>
        <v/>
      </c>
      <c r="E23" s="69" t="n"/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 t="array" ref="D24">ROUND(C24/('Tuning'!$B$25+'Tuning'!$B$26*25),1)</f>
        <v/>
      </c>
      <c r="E24" s="68" t="inlineStr">
        <is>
          <t>Mastery skin, and the crossover cap rises to tier 3 for this weapon only</t>
        </is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ENEMY LADDER — the splitting chain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Ordered bottom-up so each row's effective HP can reference its children. Do not reorder these rows.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</row>
    <row r="5" ht="13.65" customHeight="1" s="90">
      <c r="A5" s="65" t="inlineStr">
        <is>
          <t>HUSK</t>
        </is>
      </c>
      <c r="B5" s="43" t="inlineStr">
        <is>
          <t>Husk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Baseline. Everything else is measured in these.</t>
        </is>
      </c>
      <c r="L5" s="46" t="inlineStr">
        <is>
          <t>No</t>
        </is>
      </c>
      <c r="M5" s="46" t="inlineStr">
        <is>
          <t>No</t>
        </is>
      </c>
    </row>
    <row r="6" ht="13.65" customHeight="1" s="90">
      <c r="A6" s="65" t="inlineStr">
        <is>
          <t>BRUTE</t>
        </is>
      </c>
      <c r="B6" s="43" t="inlineStr">
        <is>
          <t>Brute Husk</t>
        </is>
      </c>
      <c r="C6" s="27" t="n">
        <v>1</v>
      </c>
      <c r="D6" s="92">
        <f t="array" ref="D6">ROUND(C6*'Tuning'!$B$16,1)</f>
        <v/>
      </c>
      <c r="E6" s="30" t="n">
        <v>1.2</v>
      </c>
      <c r="F6" s="43" t="inlineStr">
        <is>
          <t>HUSK</t>
        </is>
      </c>
      <c r="G6" s="60" t="n">
        <v>2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</row>
    <row r="7" ht="13.65" customHeight="1" s="90">
      <c r="A7" s="65" t="inlineStr">
        <is>
          <t>SHIELD</t>
        </is>
      </c>
      <c r="B7" s="43" t="inlineStr">
        <is>
          <t>Shielded Husk</t>
        </is>
      </c>
      <c r="C7" s="27" t="n">
        <v>2</v>
      </c>
      <c r="D7" s="92">
        <f t="array" ref="D7">ROUND(C7*'Tuning'!$B$16,1)</f>
        <v/>
      </c>
      <c r="E7" s="30" t="n">
        <v>1</v>
      </c>
      <c r="F7" s="43" t="inlineStr">
        <is>
          <t>BRUTE</t>
        </is>
      </c>
      <c r="G7" s="60" t="n">
        <v>2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n"/>
      <c r="L7" s="46" t="inlineStr">
        <is>
          <t>No</t>
        </is>
      </c>
      <c r="M7" s="46" t="inlineStr">
        <is>
          <t>No</t>
        </is>
      </c>
    </row>
    <row r="8" ht="13.65" customHeight="1" s="90">
      <c r="A8" s="65" t="inlineStr">
        <is>
          <t>ARMOR</t>
        </is>
      </c>
      <c r="B8" s="43" t="inlineStr">
        <is>
          <t>Armored Husk</t>
        </is>
      </c>
      <c r="C8" s="27" t="n">
        <v>3</v>
      </c>
      <c r="D8" s="92">
        <f t="array" ref="D8">ROUND(C8*'Tuning'!$B$16,1)</f>
        <v/>
      </c>
      <c r="E8" s="30" t="n">
        <v>0.8</v>
      </c>
      <c r="F8" s="43" t="inlineStr">
        <is>
          <t>SHIELD</t>
        </is>
      </c>
      <c r="G8" s="60" t="n">
        <v>2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Immune to base Scout. Forces a damage-path purchase.</t>
        </is>
      </c>
      <c r="L8" s="46" t="inlineStr">
        <is>
          <t>Yes</t>
        </is>
      </c>
      <c r="M8" s="46" t="inlineStr">
        <is>
          <t>No</t>
        </is>
      </c>
    </row>
    <row r="9" ht="13.65" customHeight="1" s="90">
      <c r="A9" s="65" t="inlineStr">
        <is>
          <t>STORM</t>
        </is>
      </c>
      <c r="B9" s="43" t="inlineStr">
        <is>
          <t>Storm Husk</t>
        </is>
      </c>
      <c r="C9" s="27" t="n">
        <v>4</v>
      </c>
      <c r="D9" s="92">
        <f t="array" ref="D9">ROUND(C9*'Tuning'!$B$16,1)</f>
        <v/>
      </c>
      <c r="E9" s="30" t="n">
        <v>1.4</v>
      </c>
      <c r="F9" s="43" t="inlineStr">
        <is>
          <t>ARMOR</t>
        </is>
      </c>
      <c r="G9" s="60" t="n">
        <v>3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 and dense. Slow becomes mandatory here.</t>
        </is>
      </c>
      <c r="L9" s="46" t="inlineStr">
        <is>
          <t>No</t>
        </is>
      </c>
      <c r="M9" s="46" t="inlineStr">
        <is>
          <t>No</t>
        </is>
      </c>
    </row>
    <row r="10" ht="13.65" customHeight="1" s="90">
      <c r="A10" s="65" t="inlineStr">
        <is>
          <t>LLAMA</t>
        </is>
      </c>
      <c r="B10" s="43" t="inlineStr">
        <is>
          <t>Drifter Llama</t>
        </is>
      </c>
      <c r="C10" s="27" t="n">
        <v>4</v>
      </c>
      <c r="D10" s="92">
        <f t="array" ref="D10">ROUND(C10*'Tuning'!$B$16,1)</f>
        <v/>
      </c>
      <c r="E10" s="30" t="n">
        <v>0.9</v>
      </c>
      <c r="F10" s="43" t="inlineStr">
        <is>
          <t>SHIELD</t>
        </is>
      </c>
      <c r="G10" s="60" t="n">
        <v>2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Grenadier cannot touch it.</t>
        </is>
      </c>
      <c r="L10" s="46" t="inlineStr">
        <is>
          <t>No</t>
        </is>
      </c>
      <c r="M10" s="46" t="inlineStr">
        <is>
          <t>No</t>
        </is>
      </c>
    </row>
    <row r="11" ht="13.65" customHeight="1" s="90">
      <c r="A11" s="65" t="inlineStr">
        <is>
          <t>ZEP</t>
        </is>
      </c>
      <c r="B11" s="43" t="inlineStr">
        <is>
          <t>Loot Zeppelin</t>
        </is>
      </c>
      <c r="C11" s="27" t="n">
        <v>200</v>
      </c>
      <c r="D11" s="92">
        <f t="array" ref="D11">ROUND(C11*'Tuning'!$B$16,1)</f>
        <v/>
      </c>
      <c r="E11" s="30" t="n">
        <v>0.5</v>
      </c>
      <c r="F11" s="43" t="inlineStr">
        <is>
          <t>LLAMA</t>
        </is>
      </c>
      <c r="G11" s="60" t="n">
        <v>4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Yes</t>
        </is>
      </c>
      <c r="K11" s="47" t="inlineStr">
        <is>
          <t>MOAB-class. Bursts into loot on death.</t>
        </is>
      </c>
      <c r="L11" s="46" t="inlineStr">
        <is>
          <t>No</t>
        </is>
      </c>
      <c r="M11" s="46" t="inlineStr">
        <is>
          <t>Yes</t>
        </is>
      </c>
    </row>
    <row r="12" ht="13.65" customHeight="1" s="90">
      <c r="A12" s="65" t="inlineStr">
        <is>
          <t>BARGE</t>
        </is>
      </c>
      <c r="B12" s="43" t="inlineStr">
        <is>
          <t>Storm Barge</t>
        </is>
      </c>
      <c r="C12" s="27" t="n">
        <v>700</v>
      </c>
      <c r="D12" s="92">
        <f t="array" ref="D12">ROUND(C12*'Tuning'!$B$16,1)</f>
        <v/>
      </c>
      <c r="E12" s="30" t="n">
        <v>0.4</v>
      </c>
      <c r="F12" s="43" t="inlineStr">
        <is>
          <t>ZEP</t>
        </is>
      </c>
      <c r="G12" s="60" t="n">
        <v>4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Yes</t>
        </is>
      </c>
      <c r="K12" s="47" t="inlineStr">
        <is>
          <t>Round 40 finale.</t>
        </is>
      </c>
      <c r="L12" s="46" t="inlineStr">
        <is>
          <t>No</t>
        </is>
      </c>
      <c r="M12" s="46" t="inlineStr">
        <is>
          <t>Yes</t>
        </is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Total damage needed to fully clear one enemy including every descendant it splits into. This is the number that matters for balance — a Storm Husk's 4 HP is irrelevant next to the 57 HP of husks it leaves behind.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Husk</t>
        </is>
      </c>
      <c r="C4" s="21" t="inlineStr">
        <is>
          <t>Brute</t>
        </is>
      </c>
      <c r="D4" s="21" t="inlineStr">
        <is>
          <t>Shield</t>
        </is>
      </c>
      <c r="E4" s="21" t="inlineStr">
        <is>
          <t>Armor</t>
        </is>
      </c>
      <c r="F4" s="21" t="inlineStr">
        <is>
          <t>Storm</t>
        </is>
      </c>
      <c r="G4" s="21" t="inlineStr">
        <is>
          <t>Llama</t>
        </is>
      </c>
      <c r="H4" s="21" t="inlineStr">
        <is>
          <t>Zeppelin</t>
        </is>
      </c>
      <c r="I4" s="21" t="inlineStr">
        <is>
          <t>Barge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walk time.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tier up (Husk &gt; Brute &gt; Shielded &gt; Armored &gt; Storm). Air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2026-09-29T04:01:47Z</dcterms:modified>
</cp:coreProperties>
</file>