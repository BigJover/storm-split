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EADME" sheetId="1" r:id="rId5"/>
    <sheet name="Tuning" sheetId="2" r:id="rId6"/>
    <sheet name="Towers" sheetId="3" r:id="rId7"/>
    <sheet name="Tower Upgrades" sheetId="4" r:id="rId8"/>
    <sheet name="Weapons" sheetId="5" r:id="rId9"/>
    <sheet name="Mastery" sheetId="6" r:id="rId10"/>
    <sheet name="Enemies" sheetId="7" r:id="rId11"/>
    <sheet name="Rounds" sheetId="8" r:id="rId12"/>
    <sheet name="Balance Check" sheetId="9" r:id="rId13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<sst xmlns="http://schemas.openxmlformats.org/spreadsheetml/2006/main" uniqueCount="407">
  <si>
    <t>STORM SPLIT — Balance Model</t>
  </si>
  <si>
    <t>Single source of truth for every number in the game. Verse reads constants exported from here.</t>
  </si>
  <si>
    <t>HOW TO USE</t>
  </si>
  <si>
    <t>Blue cells</t>
  </si>
  <si>
    <t>Inputs and levers. These are the ONLY cells you edit. Change one and everything recalculates.</t>
  </si>
  <si>
    <t>Black cells</t>
  </si>
  <si>
    <t>Formulas. Do not overwrite — you will silently break the model.</t>
  </si>
  <si>
    <t>Green cells</t>
  </si>
  <si>
    <t>Links pulling a value from another sheet.</t>
  </si>
  <si>
    <t>Yellow fill</t>
  </si>
  <si>
    <t>Key assumptions worth arguing about before you build anything on them.</t>
  </si>
  <si>
    <t>SHEETS</t>
  </si>
  <si>
    <t>Tuning</t>
  </si>
  <si>
    <t>Master knobs. Start here. Almost every number downstream derives from this sheet.</t>
  </si>
  <si>
    <t>Towers</t>
  </si>
  <si>
    <t>The 5 base towers: purchase cost, damage, fire rate, range, whether they hit air.</t>
  </si>
  <si>
    <t>Tower Upgrades</t>
  </si>
  <si>
    <t>75 rows — 5 towers x 3 paths x 5 tiers. Costs and stat multipliers per tier.</t>
  </si>
  <si>
    <t>Weapons</t>
  </si>
  <si>
    <t>3 weapon types x 5 in-round tiers. The player's own upgrade track.</t>
  </si>
  <si>
    <t>Mastery</t>
  </si>
  <si>
    <t>20 permanent levels per weapon type, bought with Storm Cores.</t>
  </si>
  <si>
    <t>Enemies</t>
  </si>
  <si>
    <t>The splitting ladder. Effective HP is the important derived column — read its note.</t>
  </si>
  <si>
    <t>Rounds</t>
  </si>
  <si>
    <t>All 40 rounds: composition, income, required DPS.</t>
  </si>
  <si>
    <t>Balance Check</t>
  </si>
  <si>
    <t>The validator. Tells you which rounds are unwinnable. Check this after every change.</t>
  </si>
  <si>
    <t>WORKFLOW</t>
  </si>
  <si>
    <t>1</t>
  </si>
  <si>
    <t>Tune a lever on the Tuning sheet.</t>
  </si>
  <si>
    <t>2</t>
  </si>
  <si>
    <t>Open Balance Check. Any round flagged TIGHT is one the player probably cannot afford to clear.</t>
  </si>
  <si>
    <t>3</t>
  </si>
  <si>
    <t>Adjust and repeat. Do not tune individual rounds until the curve is right.</t>
  </si>
  <si>
    <t>4</t>
  </si>
  <si>
    <t>Export the settled constants into the Verse constants file. Never hardcode a number in behavior scripts.</t>
  </si>
  <si>
    <t>WARNING</t>
  </si>
  <si>
    <t>Seeded values</t>
  </si>
  <si>
    <t>Every number here is a defensible starting point, not a tested one. They came from design</t>
  </si>
  <si>
    <t>reasoning, not playtesting. Expect to change most of them once the game is playable.</t>
  </si>
  <si>
    <t>TUNING — master levers</t>
  </si>
  <si>
    <t>Every blue cell here drives the rest of the workbook. Change these, not the downstream sheets.</t>
  </si>
  <si>
    <t>Lever</t>
  </si>
  <si>
    <t>Value</t>
  </si>
  <si>
    <t>Unit</t>
  </si>
  <si>
    <t>What it controls</t>
  </si>
  <si>
    <t>ECONOMY</t>
  </si>
  <si>
    <t>Starting cash</t>
  </si>
  <si>
    <t>cash</t>
  </si>
  <si>
    <t>What players have before round 1.</t>
  </si>
  <si>
    <t>Starting lives</t>
  </si>
  <si>
    <t>lives</t>
  </si>
  <si>
    <t>Low on purpose. 40 makes a leak hurt, which is what makes Chiller worth buying.</t>
  </si>
  <si>
    <t>Cash per effective HP</t>
  </si>
  <si>
    <t>Cash per point of enemy HP destroyed, counting every split layer. Solved to make late rounds tight.</t>
  </si>
  <si>
    <t>Round bonus base</t>
  </si>
  <si>
    <t>Flat end-of-round payment.</t>
  </si>
  <si>
    <t>Round bonus per round</t>
  </si>
  <si>
    <t>Added per round number, so round 30 pays base + 30.</t>
  </si>
  <si>
    <t>TOWERS</t>
  </si>
  <si>
    <t>Tier cost growth</t>
  </si>
  <si>
    <t>x</t>
  </si>
  <si>
    <t>Each upgrade tier costs this multiple of the tower's base cost, compounding.</t>
  </si>
  <si>
    <t>Tier damage growth</t>
  </si>
  <si>
    <t>Baseline damage multiple per tier before path character is applied.</t>
  </si>
  <si>
    <t>Sell refund</t>
  </si>
  <si>
    <t>fraction</t>
  </si>
  <si>
    <t>Fraction of cash spent returned when selling a tower.</t>
  </si>
  <si>
    <t>ENEMIES</t>
  </si>
  <si>
    <t>Global HP scalar</t>
  </si>
  <si>
    <t>Multiplies every enemy's base HP. The fastest single difficulty dial.</t>
  </si>
  <si>
    <t>Round HP ramp</t>
  </si>
  <si>
    <t>Enemy HP compounds by this much per round. THIS is what makes late rounds hard, not enemy count.</t>
  </si>
  <si>
    <t>Max concurrent enemies</t>
  </si>
  <si>
    <t>count</t>
  </si>
  <si>
    <t>Hard ceiling on a round's spawn count. Set by UEFN performance, not by design. Validate in phase 1.</t>
  </si>
  <si>
    <t>Global speed scalar</t>
  </si>
  <si>
    <t>Multiplies every enemy's speed.</t>
  </si>
  <si>
    <t>PLAYER</t>
  </si>
  <si>
    <t>Weapon tier 1 cost</t>
  </si>
  <si>
    <t>Entry price of the player's own upgrade track.</t>
  </si>
  <si>
    <t>Weapon cost growth</t>
  </si>
  <si>
    <t>Compounding multiple per weapon tier.</t>
  </si>
  <si>
    <t>Weapon damage growth</t>
  </si>
  <si>
    <t>Far below tower tier damage growth (1.90x) on purpose. A maxed weapon must land near 50% of a maxed tower's DPS, never above it.</t>
  </si>
  <si>
    <t>PROGRESSION</t>
  </si>
  <si>
    <t>Core payout base</t>
  </si>
  <si>
    <t>cores</t>
  </si>
  <si>
    <t>Storm Cores awarded for finishing a match at all.</t>
  </si>
  <si>
    <t>Core payout per round</t>
  </si>
  <si>
    <t>Cores per round reached. A loss at round 27 still pays.</t>
  </si>
  <si>
    <t>Mastery cost base</t>
  </si>
  <si>
    <t>Cost of mastery level 1.</t>
  </si>
  <si>
    <t>Mastery cost growth</t>
  </si>
  <si>
    <t>Compounding cost per mastery level to 20.</t>
  </si>
  <si>
    <t>VALIDATION</t>
  </si>
  <si>
    <t>Assumed spend on towers</t>
  </si>
  <si>
    <t>Share of cumulative cash a competent player puts into tower DPS.</t>
  </si>
  <si>
    <t>Expected efficiency</t>
  </si>
  <si>
    <t>Share of theoretical DPS actually landing, after targeting and travel-time losses.</t>
  </si>
  <si>
    <t>Rounds per tier</t>
  </si>
  <si>
    <t>rounds</t>
  </si>
  <si>
    <t>How fast the reference build climbs tiers. Drives the rising cost per DPS.</t>
  </si>
  <si>
    <t>ABILITIES</t>
  </si>
  <si>
    <t>Line pierce reach</t>
  </si>
  <si>
    <t>studs</t>
  </si>
  <si>
    <t>How far behind its target a line-piercing shot keeps hitting.</t>
  </si>
  <si>
    <t>Mark duration</t>
  </si>
  <si>
    <t>s</t>
  </si>
  <si>
    <t>How long a Spotter mark lasts on an enemy.</t>
  </si>
  <si>
    <t>Bomblet damage</t>
  </si>
  <si>
    <t>Each cluster bomblet deals this share of the shell's damage.</t>
  </si>
  <si>
    <t>Bomblet spread</t>
  </si>
  <si>
    <t>How far bomblets scatter from the shell.</t>
  </si>
  <si>
    <t>TOWERS — base stats</t>
  </si>
  <si>
    <t>Purchase cost and tier-0 stats. Upgrade scaling lives on the Tower Upgrades sheet.</t>
  </si>
  <si>
    <t>Tower</t>
  </si>
  <si>
    <t>Role</t>
  </si>
  <si>
    <t>Cost</t>
  </si>
  <si>
    <t>Damage</t>
  </si>
  <si>
    <t>Fire rate /s</t>
  </si>
  <si>
    <t>Targets hit</t>
  </si>
  <si>
    <t>Base DPS</t>
  </si>
  <si>
    <t>Range (m)</t>
  </si>
  <si>
    <t>Hits air</t>
  </si>
  <si>
    <t>Income/round</t>
  </si>
  <si>
    <t>Design note</t>
  </si>
  <si>
    <t>Splash radius (m)</t>
  </si>
  <si>
    <t>Scout</t>
  </si>
  <si>
    <t>Cheap single-target DPS</t>
  </si>
  <si>
    <t>Yes</t>
  </si>
  <si>
    <t>Spam early, never stop buying. The DPS baseline everything else is measured against.</t>
  </si>
  <si>
    <t>Sniper</t>
  </si>
  <si>
    <t>Global range, slow</t>
  </si>
  <si>
    <t>Range covers the whole map. Your answer to anything the ground towers cannot reach.</t>
  </si>
  <si>
    <t>Grenadier</t>
  </si>
  <si>
    <t>Area damage, ground only</t>
  </si>
  <si>
    <t>No</t>
  </si>
  <si>
    <t>Targets hit = average enemies caught per blast. Cannot hit air at all, by design.</t>
  </si>
  <si>
    <t>Chiller</t>
  </si>
  <si>
    <t>Support / crowd control</t>
  </si>
  <si>
    <t>Damage is nearly irrelevant. Its value is the slow, which multiplies every tower nearby.</t>
  </si>
  <si>
    <t>Quartermaster</t>
  </si>
  <si>
    <t>Economy, no attack</t>
  </si>
  <si>
    <t>Never shoots. Decides whether round 35 is affordable.</t>
  </si>
  <si>
    <t>Cost per DPS (Scout baseline)</t>
  </si>
  <si>
    <t>Cash needed to buy 1 DPS at tier 0. Balance Check uses this.</t>
  </si>
  <si>
    <t>TOWER UPGRADES — 5 towers x 3 paths x 5 tiers</t>
  </si>
  <si>
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</si>
  <si>
    <t>Path</t>
  </si>
  <si>
    <t>Path focus</t>
  </si>
  <si>
    <t>Tier</t>
  </si>
  <si>
    <t>Upgrade cost</t>
  </si>
  <si>
    <t>Cumulative cost</t>
  </si>
  <si>
    <t>Damage x</t>
  </si>
  <si>
    <t>Rate x</t>
  </si>
  <si>
    <t>Targets x</t>
  </si>
  <si>
    <t>Resulting DPS</t>
  </si>
  <si>
    <t>Cost per DPS</t>
  </si>
  <si>
    <t>Range x</t>
  </si>
  <si>
    <t>Name</t>
  </si>
  <si>
    <t>Pierces armour</t>
  </si>
  <si>
    <t>Armoured x</t>
  </si>
  <si>
    <t>Boss x</t>
  </si>
  <si>
    <t>Shots</t>
  </si>
  <si>
    <t>Line hits</t>
  </si>
  <si>
    <t>Splash x</t>
  </si>
  <si>
    <t>Mark %</t>
  </si>
  <si>
    <t>Stun (s)</t>
  </si>
  <si>
    <t>Stuns bosses</t>
  </si>
  <si>
    <t>Knockback (studs)</t>
  </si>
  <si>
    <t>Burn DPS</t>
  </si>
  <si>
    <t>Burn (s)</t>
  </si>
  <si>
    <t>Bomblets</t>
  </si>
  <si>
    <t>Bomblet generations</t>
  </si>
  <si>
    <t>Aura rate %</t>
  </si>
  <si>
    <t>Aura damage %</t>
  </si>
  <si>
    <t>Aura pierces armour</t>
  </si>
  <si>
    <t>Lookout</t>
  </si>
  <si>
    <t>range</t>
  </si>
  <si>
    <t>Keen Eyes</t>
  </si>
  <si>
    <t>Long Barrel</t>
  </si>
  <si>
    <t>Flare Gun</t>
  </si>
  <si>
    <t>Watch Post</t>
  </si>
  <si>
    <t>Signal Tower</t>
  </si>
  <si>
    <t>Trigger Happy</t>
  </si>
  <si>
    <t>rate</t>
  </si>
  <si>
    <t>Quick Hands</t>
  </si>
  <si>
    <t>Extended Mag</t>
  </si>
  <si>
    <t>Double Tap</t>
  </si>
  <si>
    <t>Bullet Hose</t>
  </si>
  <si>
    <t>Stormgunner</t>
  </si>
  <si>
    <t>Hardliner</t>
  </si>
  <si>
    <t>damage</t>
  </si>
  <si>
    <t>Heavy Slugs</t>
  </si>
  <si>
    <t>Armor Breaker</t>
  </si>
  <si>
    <t>Hollow Points</t>
  </si>
  <si>
    <t>Railshot</t>
  </si>
  <si>
    <t>Tank Buster</t>
  </si>
  <si>
    <t>Deadeye</t>
  </si>
  <si>
    <t>targets</t>
  </si>
  <si>
    <t>Full Metal Jacket</t>
  </si>
  <si>
    <t>Through-and-Through</t>
  </si>
  <si>
    <t>Ricochet</t>
  </si>
  <si>
    <t>Tungsten Core</t>
  </si>
  <si>
    <t>Linebreaker</t>
  </si>
  <si>
    <t>Spotter</t>
  </si>
  <si>
    <t>Steady Breath</t>
  </si>
  <si>
    <t>Bolt Racking</t>
  </si>
  <si>
    <t>Marked Target</t>
  </si>
  <si>
    <t>Tactical Spotter</t>
  </si>
  <si>
    <t>Eye in the Sky</t>
  </si>
  <si>
    <t>Siege</t>
  </si>
  <si>
    <t>Large Calibre</t>
  </si>
  <si>
    <t>Anti-Materiel</t>
  </si>
  <si>
    <t>Concussion Round</t>
  </si>
  <si>
    <t>Siege Gun</t>
  </si>
  <si>
    <t>Skybreaker</t>
  </si>
  <si>
    <t>Blast</t>
  </si>
  <si>
    <t>Bigger Bang</t>
  </si>
  <si>
    <t>Shrapnel</t>
  </si>
  <si>
    <t>Napalm</t>
  </si>
  <si>
    <t>Firestorm</t>
  </si>
  <si>
    <t>Scorched Earth</t>
  </si>
  <si>
    <t>Cluster</t>
  </si>
  <si>
    <t>Cluster Shell</t>
  </si>
  <si>
    <t>Rapid Loader</t>
  </si>
  <si>
    <t>Chain Reaction</t>
  </si>
  <si>
    <t>Carpet Shelling</t>
  </si>
  <si>
    <t>Storm of Steel</t>
  </si>
  <si>
    <t>Concussive</t>
  </si>
  <si>
    <t>Shockwave</t>
  </si>
  <si>
    <t>Armor Crack</t>
  </si>
  <si>
    <t>Stun Grenade</t>
  </si>
  <si>
    <t>Earthshaker</t>
  </si>
  <si>
    <t>Tectonic Slam</t>
  </si>
  <si>
    <t>Field</t>
  </si>
  <si>
    <t>Cold Snap</t>
  </si>
  <si>
    <t>Frostbite</t>
  </si>
  <si>
    <t>Permafrost</t>
  </si>
  <si>
    <t>Glacier Zone</t>
  </si>
  <si>
    <t>Absolute Zero</t>
  </si>
  <si>
    <t>Freeze</t>
  </si>
  <si>
    <t>Flash Freeze</t>
  </si>
  <si>
    <t>Deep Freeze</t>
  </si>
  <si>
    <t>Ice Shards</t>
  </si>
  <si>
    <t>Cryo Pulse</t>
  </si>
  <si>
    <t>Stasis</t>
  </si>
  <si>
    <t>Brittle</t>
  </si>
  <si>
    <t>Shatter</t>
  </si>
  <si>
    <t>Cold Front</t>
  </si>
  <si>
    <t>Frozen Core</t>
  </si>
  <si>
    <t>Winter's Edge</t>
  </si>
  <si>
    <t>Yield</t>
  </si>
  <si>
    <t>economy</t>
  </si>
  <si>
    <t>n/a</t>
  </si>
  <si>
    <t>Supply Crate</t>
  </si>
  <si>
    <t>Bigger Budget</t>
  </si>
  <si>
    <t>Trade Route</t>
  </si>
  <si>
    <t>War Chest</t>
  </si>
  <si>
    <t>Storm Bank</t>
  </si>
  <si>
    <t>Airdrop</t>
  </si>
  <si>
    <t>Air Drop</t>
  </si>
  <si>
    <t>Double Drop</t>
  </si>
  <si>
    <t>Care Package</t>
  </si>
  <si>
    <t>Supply Chain</t>
  </si>
  <si>
    <t>Treasure Barge</t>
  </si>
  <si>
    <t>Logistics</t>
  </si>
  <si>
    <t>Bulk Order</t>
  </si>
  <si>
    <t>Field Engineer</t>
  </si>
  <si>
    <t>Recycler</t>
  </si>
  <si>
    <t>Forward Base</t>
  </si>
  <si>
    <t>Command Center</t>
  </si>
  <si>
    <t>PLAYER WEAPONS — in-round track</t>
  </si>
  <si>
    <t>Resets every match. Bought from the same shared cash as towers. Abilities unlock at tier 2.</t>
  </si>
  <si>
    <t>Weapon type</t>
  </si>
  <si>
    <t>Ability</t>
  </si>
  <si>
    <t>Weapon</t>
  </si>
  <si>
    <t>Cumulative</t>
  </si>
  <si>
    <t>Targets</t>
  </si>
  <si>
    <t>DPS</t>
  </si>
  <si>
    <t>Cooldown (s)</t>
  </si>
  <si>
    <t>Trade-off</t>
  </si>
  <si>
    <t>Precision</t>
  </si>
  <si>
    <t>— locked —</t>
  </si>
  <si>
    <t>Scoped pistol</t>
  </si>
  <si>
    <t>Huge single-target damage. Useless against swarms. Railgun pierces 2 in a lane.</t>
  </si>
  <si>
    <t>Mark</t>
  </si>
  <si>
    <t>Marksman rifle</t>
  </si>
  <si>
    <t>Heavy marksman</t>
  </si>
  <si>
    <t>Anti-materiel rifle</t>
  </si>
  <si>
    <t>Railgun</t>
  </si>
  <si>
    <t>Sustained</t>
  </si>
  <si>
    <t>SMG</t>
  </si>
  <si>
    <t>Shreds crowds. Stopped cold by armor.</t>
  </si>
  <si>
    <t>Overdrive</t>
  </si>
  <si>
    <t>Assault rifle</t>
  </si>
  <si>
    <t>Heavy AR</t>
  </si>
  <si>
    <t>LMG</t>
  </si>
  <si>
    <t>Minigun</t>
  </si>
  <si>
    <t>Ordnance</t>
  </si>
  <si>
    <t>Shotgun</t>
  </si>
  <si>
    <t>Best clear in the game. Cannot hit air at all.</t>
  </si>
  <si>
    <t>Airburst</t>
  </si>
  <si>
    <t>Grenade launcher</t>
  </si>
  <si>
    <t>Twin launcher</t>
  </si>
  <si>
    <t>Mortar</t>
  </si>
  <si>
    <t>Rocket launcher</t>
  </si>
  <si>
    <t>CROSSOVER RULE</t>
  </si>
  <si>
    <t>Max one path to tier 5. Second path caps at tier 2. Third stays locked. Mastery 20 raises that cap to 3 for one weapon.</t>
  </si>
  <si>
    <t>WEAPON MASTERY — permanent, per weapon type</t>
  </si>
  <si>
    <t>Bought with Storm Cores. Head starts and unlocks only — never damage multipliers.</t>
  </si>
  <si>
    <t>Level</t>
  </si>
  <si>
    <t>Core cost</t>
  </si>
  <si>
    <t>Cumulative cores</t>
  </si>
  <si>
    <t>Matches to earn</t>
  </si>
  <si>
    <t>Unlock at this level</t>
  </si>
  <si>
    <t>-5% on this weapon's in-round upgrade costs</t>
  </si>
  <si>
    <t>-10% cumulative</t>
  </si>
  <si>
    <t>-15% cumulative</t>
  </si>
  <si>
    <t>-20% cumulative (cap on cost reduction)</t>
  </si>
  <si>
    <t>Ability cooldown -15%</t>
  </si>
  <si>
    <t>Start every match at tier 1, and unlock a second ability variant chosen at match start</t>
  </si>
  <si>
    <t>Ability cooldown -30%, and the ability gains a secondary effect</t>
  </si>
  <si>
    <t>Mastery skin, and the crossover cap rises to tier 3 for this weapon only</t>
  </si>
  <si>
    <t>'Matches to earn' assumes an average run reaching round 25.</t>
  </si>
  <si>
    <t>ENEMY LADDER — the splitting chain</t>
  </si>
  <si>
    <t>Ordered bottom-up so each row's effective HP can reference its children. Do not reorder these rows.</t>
  </si>
  <si>
    <t>Key</t>
  </si>
  <si>
    <t>Enemy</t>
  </si>
  <si>
    <t>Base HP</t>
  </si>
  <si>
    <t>Scaled HP</t>
  </si>
  <si>
    <t>Speed x</t>
  </si>
  <si>
    <t>Splits into</t>
  </si>
  <si>
    <t>Split count</t>
  </si>
  <si>
    <t>Effective HP</t>
  </si>
  <si>
    <t>Cash value</t>
  </si>
  <si>
    <t>Flying</t>
  </si>
  <si>
    <t>Note</t>
  </si>
  <si>
    <t>Armored</t>
  </si>
  <si>
    <t>Boss</t>
  </si>
  <si>
    <t>HUSK</t>
  </si>
  <si>
    <t>Husk</t>
  </si>
  <si>
    <t>—</t>
  </si>
  <si>
    <t>Baseline. Everything else is measured in these.</t>
  </si>
  <si>
    <t>BRUTE</t>
  </si>
  <si>
    <t>Brute Husk</t>
  </si>
  <si>
    <t>SHIELD</t>
  </si>
  <si>
    <t>Shielded Husk</t>
  </si>
  <si>
    <t>ARMOR</t>
  </si>
  <si>
    <t>Armored Husk</t>
  </si>
  <si>
    <t>Immune to base Scout. Forces a damage-path purchase.</t>
  </si>
  <si>
    <t>STORM</t>
  </si>
  <si>
    <t>Storm Husk</t>
  </si>
  <si>
    <t>Fast and dense. Slow becomes mandatory here.</t>
  </si>
  <si>
    <t>LLAMA</t>
  </si>
  <si>
    <t>Drifter Llama</t>
  </si>
  <si>
    <t>Flying. Grenadier cannot touch it.</t>
  </si>
  <si>
    <t>ZEP</t>
  </si>
  <si>
    <t>Loot Zeppelin</t>
  </si>
  <si>
    <t>MOAB-class. Bursts into loot on death.</t>
  </si>
  <si>
    <t>BARGE</t>
  </si>
  <si>
    <t>Storm Barge</t>
  </si>
  <si>
    <t>Round 40 finale.</t>
  </si>
  <si>
    <t>EFFECTIVE HP</t>
  </si>
  <si>
    <t>Total damage needed to fully clear one enemy including every descendant it splits into. This is the number that matters for balance — a Storm Husk's 4 HP is irrelevant next to the 57 HP of husks it leaves behind.</t>
  </si>
  <si>
    <t>ROUND TABLE — 40 rounds</t>
  </si>
  <si>
    <t>Blue counts are the designer's call, not a formula. Everything to the right of them is derived.</t>
  </si>
  <si>
    <t>Round</t>
  </si>
  <si>
    <t>Brute</t>
  </si>
  <si>
    <t>Shield</t>
  </si>
  <si>
    <t>Armor</t>
  </si>
  <si>
    <t>Storm</t>
  </si>
  <si>
    <t>Llama</t>
  </si>
  <si>
    <t>Zeppelin</t>
  </si>
  <si>
    <t>Barge</t>
  </si>
  <si>
    <t>HP multiplier</t>
  </si>
  <si>
    <t>Spawn gap (s)</t>
  </si>
  <si>
    <t>Total EHP</t>
  </si>
  <si>
    <t>Round length (s)</t>
  </si>
  <si>
    <t>Required DPS</t>
  </si>
  <si>
    <t>Kill income</t>
  </si>
  <si>
    <t>Round bonus</t>
  </si>
  <si>
    <t>Round income</t>
  </si>
  <si>
    <t>Cumulative cash</t>
  </si>
  <si>
    <t>Shaded rows are band transitions, where a new enemy type enters and difficulty spikes. That sawtooth is intentional.</t>
  </si>
  <si>
    <t>Enemy counts plateau at 130 because UEFN, not design, sets the ceiling. Late difficulty comes from the HP multiplier instead — the same reason BTD6 late rounds are a few BADs and not two thousand bloons.</t>
  </si>
  <si>
    <t>Round length assumes spawn gap x enemy count plus 14s of walk time. Rough, but consistent across rounds, which is what matters for comparison.</t>
  </si>
  <si>
    <t>BALANCE CHECK — is each round actually winnable?</t>
  </si>
  <si>
    <t>An economy smoke test, not a difficulty simulator. Open it after every change to Tuning.</t>
  </si>
  <si>
    <t>Ref tier</t>
  </si>
  <si>
    <t>Cash needed</t>
  </si>
  <si>
    <t>Cash in towers</t>
  </si>
  <si>
    <t>Affordability</t>
  </si>
  <si>
    <t>Status</t>
  </si>
  <si>
    <t>EASY</t>
  </si>
  <si>
    <t>OK</t>
  </si>
  <si>
    <t>TIGHT</t>
  </si>
  <si>
    <t>WHAT THIS MEASURES</t>
  </si>
  <si>
    <t>Whether cash income keeps pace with the rising cost of the DPS each round demands. Cost per DPS climbs because tier cost growth (2.30x) outruns tier damage growth (1.90x) — that gap is the real difficulty engine, not enemy count.</t>
  </si>
  <si>
    <t>TIGHT — under 1.0. The player cannot comfortably afford the DPS this round needs. Correct for the last stretch; a run of these in the midgame means the curve is broken.</t>
  </si>
  <si>
    <t>OK — between 1.0 and 2.0. Where most rounds should sit.</t>
  </si>
  <si>
    <t>EASY — over 2.0. Fine for the first ten rounds while players are learning. A block of these at rounds 12-20 is why people quit.</t>
  </si>
  <si>
    <t>WHAT THIS CANNOT SEE</t>
  </si>
  <si>
    <t>Tower placement, range coverage, targeting priority, path synergy, or the Chiller's slow multiplying everything near it. It also assumes one competent player buying efficiently.</t>
  </si>
  <si>
    <t>It catches broken economies. It does not tell you whether the game is fun. Only playtesting does that.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</si>
</sst>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#,##0.0"/>
    <numFmt numFmtId="60" formatCode="#,##0.000"/>
  </numFmts>
  <fonts count="1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4"/>
      <color indexed="8"/>
      <name val="Arial"/>
    </font>
    <font>
      <sz val="10"/>
      <color indexed="11"/>
      <name val="Arial"/>
    </font>
    <font>
      <sz val="10"/>
      <color indexed="8"/>
      <name val="Arial"/>
    </font>
    <font>
      <sz val="11"/>
      <color indexed="8"/>
      <name val="Arial"/>
    </font>
    <font>
      <sz val="10"/>
      <color indexed="9"/>
      <name val="Arial"/>
    </font>
    <font>
      <sz val="10"/>
      <color indexed="15"/>
      <name val="Arial"/>
    </font>
    <font>
      <sz val="9"/>
      <color indexed="11"/>
      <name val="Arial"/>
    </font>
    <font>
      <sz val="9"/>
      <color indexed="17"/>
      <name val="Arial"/>
    </font>
    <font>
      <sz val="9"/>
      <color indexed="18"/>
      <name val="Arial"/>
    </font>
    <font>
      <sz val="10"/>
      <color indexed="19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9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49" fontId="4" fillId="2" borderId="4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1" fontId="5" fillId="2" borderId="4" applyNumberFormat="1" applyFont="1" applyFill="1" applyBorder="1" applyAlignment="1" applyProtection="0">
      <alignment vertical="bottom"/>
    </xf>
    <xf numFmtId="1" fontId="5" fillId="2" borderId="5" applyNumberFormat="1" applyFont="1" applyFill="1" applyBorder="1" applyAlignment="1" applyProtection="0">
      <alignment vertical="bottom"/>
    </xf>
    <xf numFmtId="49" fontId="6" fillId="2" borderId="4" applyNumberFormat="1" applyFont="1" applyFill="1" applyBorder="1" applyAlignment="1" applyProtection="0">
      <alignment vertical="bottom"/>
    </xf>
    <xf numFmtId="49" fontId="5" fillId="2" borderId="4" applyNumberFormat="1" applyFont="1" applyFill="1" applyBorder="1" applyAlignment="1" applyProtection="0">
      <alignment vertical="bottom"/>
    </xf>
    <xf numFmtId="49" fontId="5" fillId="2" borderId="5" applyNumberFormat="1" applyFont="1" applyFill="1" applyBorder="1" applyAlignment="1" applyProtection="0">
      <alignment vertical="bottom"/>
    </xf>
    <xf numFmtId="1" fontId="5" fillId="2" borderId="7" applyNumberFormat="1" applyFont="1" applyFill="1" applyBorder="1" applyAlignment="1" applyProtection="0">
      <alignment vertical="bottom"/>
    </xf>
    <xf numFmtId="49" fontId="5" fillId="2" borderId="8" applyNumberFormat="1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49" fontId="7" fillId="3" borderId="12" applyNumberFormat="1" applyFont="1" applyFill="1" applyBorder="1" applyAlignment="1" applyProtection="0">
      <alignment horizontal="center" vertical="center" wrapText="1"/>
    </xf>
    <xf numFmtId="0" fontId="0" fillId="2" borderId="13" applyNumberFormat="0" applyFont="1" applyFill="1" applyBorder="1" applyAlignment="1" applyProtection="0">
      <alignment vertical="bottom"/>
    </xf>
    <xf numFmtId="49" fontId="6" fillId="4" borderId="14" applyNumberFormat="1" applyFont="1" applyFill="1" applyBorder="1" applyAlignment="1" applyProtection="0">
      <alignment vertical="bottom"/>
    </xf>
    <xf numFmtId="1" fontId="0" fillId="4" borderId="15" applyNumberFormat="1" applyFont="1" applyFill="1" applyBorder="1" applyAlignment="1" applyProtection="0">
      <alignment vertical="bottom"/>
    </xf>
    <xf numFmtId="1" fontId="0" fillId="4" borderId="16" applyNumberFormat="1" applyFont="1" applyFill="1" applyBorder="1" applyAlignment="1" applyProtection="0">
      <alignment vertical="bottom"/>
    </xf>
    <xf numFmtId="49" fontId="5" fillId="2" borderId="17" applyNumberFormat="1" applyFont="1" applyFill="1" applyBorder="1" applyAlignment="1" applyProtection="0">
      <alignment vertical="bottom"/>
    </xf>
    <xf numFmtId="3" fontId="8" fillId="5" borderId="12" applyNumberFormat="1" applyFont="1" applyFill="1" applyBorder="1" applyAlignment="1" applyProtection="0">
      <alignment vertical="bottom"/>
    </xf>
    <xf numFmtId="49" fontId="9" fillId="2" borderId="18" applyNumberFormat="1" applyFont="1" applyFill="1" applyBorder="1" applyAlignment="1" applyProtection="0">
      <alignment vertical="bottom"/>
    </xf>
    <xf numFmtId="49" fontId="10" fillId="2" borderId="5" applyNumberFormat="1" applyFont="1" applyFill="1" applyBorder="1" applyAlignment="1" applyProtection="0">
      <alignment vertical="bottom"/>
    </xf>
    <xf numFmtId="4" fontId="8" fillId="5" borderId="12" applyNumberFormat="1" applyFont="1" applyFill="1" applyBorder="1" applyAlignment="1" applyProtection="0">
      <alignment vertical="bottom"/>
    </xf>
    <xf numFmtId="49" fontId="6" fillId="4" borderId="4" applyNumberFormat="1" applyFont="1" applyFill="1" applyBorder="1" applyAlignment="1" applyProtection="0">
      <alignment vertical="bottom"/>
    </xf>
    <xf numFmtId="1" fontId="0" fillId="4" borderId="5" applyNumberFormat="1" applyFont="1" applyFill="1" applyBorder="1" applyAlignment="1" applyProtection="0">
      <alignment vertical="bottom"/>
    </xf>
    <xf numFmtId="49" fontId="5" fillId="2" borderId="19" applyNumberFormat="1" applyFont="1" applyFill="1" applyBorder="1" applyAlignment="1" applyProtection="0">
      <alignment vertical="bottom"/>
    </xf>
    <xf numFmtId="49" fontId="9" fillId="2" borderId="20" applyNumberFormat="1" applyFont="1" applyFill="1" applyBorder="1" applyAlignment="1" applyProtection="0">
      <alignment vertical="bottom"/>
    </xf>
    <xf numFmtId="49" fontId="10" fillId="2" borderId="8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21" applyNumberFormat="0" applyFont="1" applyFill="1" applyBorder="1" applyAlignment="1" applyProtection="0">
      <alignment vertical="bottom"/>
    </xf>
    <xf numFmtId="0" fontId="0" fillId="2" borderId="22" applyNumberFormat="0" applyFont="1" applyFill="1" applyBorder="1" applyAlignment="1" applyProtection="0">
      <alignment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49" fontId="5" fillId="2" borderId="12" applyNumberFormat="1" applyFont="1" applyFill="1" applyBorder="1" applyAlignment="1" applyProtection="0">
      <alignment vertical="bottom"/>
    </xf>
    <xf numFmtId="59" fontId="8" fillId="5" borderId="12" applyNumberFormat="1" applyFont="1" applyFill="1" applyBorder="1" applyAlignment="1" applyProtection="0">
      <alignment vertical="bottom"/>
    </xf>
    <xf numFmtId="59" fontId="5" fillId="2" borderId="12" applyNumberFormat="1" applyFont="1" applyFill="1" applyBorder="1" applyAlignment="1" applyProtection="0">
      <alignment vertical="bottom"/>
    </xf>
    <xf numFmtId="49" fontId="8" fillId="2" borderId="12" applyNumberFormat="1" applyFont="1" applyFill="1" applyBorder="1" applyAlignment="1" applyProtection="0">
      <alignment vertical="bottom"/>
    </xf>
    <xf numFmtId="49" fontId="10" fillId="2" borderId="12" applyNumberFormat="1" applyFont="1" applyFill="1" applyBorder="1" applyAlignment="1" applyProtection="0">
      <alignment vertical="bottom"/>
    </xf>
    <xf numFmtId="0" fontId="0" fillId="2" borderId="25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0" fontId="0" fillId="2" borderId="26" applyNumberFormat="0" applyFont="1" applyFill="1" applyBorder="1" applyAlignment="1" applyProtection="0">
      <alignment vertical="bottom"/>
    </xf>
    <xf numFmtId="0" fontId="0" fillId="2" borderId="27" applyNumberFormat="0" applyFont="1" applyFill="1" applyBorder="1" applyAlignment="1" applyProtection="0">
      <alignment vertical="bottom"/>
    </xf>
    <xf numFmtId="0" fontId="0" fillId="2" borderId="28" applyNumberFormat="0" applyFont="1" applyFill="1" applyBorder="1" applyAlignment="1" applyProtection="0">
      <alignment vertical="bottom"/>
    </xf>
    <xf numFmtId="49" fontId="10" fillId="2" borderId="20" applyNumberFormat="1" applyFont="1" applyFill="1" applyBorder="1" applyAlignment="1" applyProtection="0">
      <alignment vertical="bottom"/>
    </xf>
    <xf numFmtId="0" fontId="0" fillId="2" borderId="2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3" fontId="5" fillId="2" borderId="12" applyNumberFormat="1" applyFont="1" applyFill="1" applyBorder="1" applyAlignment="1" applyProtection="0">
      <alignment vertical="bottom"/>
    </xf>
    <xf numFmtId="4" fontId="8" fillId="2" borderId="12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11" fillId="2" borderId="12" applyNumberFormat="1" applyFont="1" applyFill="1" applyBorder="1" applyAlignment="1" applyProtection="0">
      <alignment vertical="bottom"/>
    </xf>
    <xf numFmtId="3" fontId="8" fillId="2" borderId="12" applyNumberFormat="1" applyFont="1" applyFill="1" applyBorder="1" applyAlignment="1" applyProtection="0">
      <alignment vertical="bottom"/>
    </xf>
    <xf numFmtId="1" fontId="10" fillId="2" borderId="12" applyNumberFormat="1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49" fontId="10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9" fillId="2" borderId="12" applyNumberFormat="1" applyFont="1" applyFill="1" applyBorder="1" applyAlignment="1" applyProtection="0">
      <alignment vertical="bottom"/>
    </xf>
    <xf numFmtId="3" fontId="5" fillId="4" borderId="12" applyNumberFormat="1" applyFont="1" applyFill="1" applyBorder="1" applyAlignment="1" applyProtection="0">
      <alignment vertical="bottom"/>
    </xf>
    <xf numFmtId="59" fontId="5" fillId="4" borderId="12" applyNumberFormat="1" applyFont="1" applyFill="1" applyBorder="1" applyAlignment="1" applyProtection="0">
      <alignment vertical="bottom"/>
    </xf>
    <xf numFmtId="49" fontId="5" fillId="4" borderId="12" applyNumberFormat="1" applyFont="1" applyFill="1" applyBorder="1" applyAlignment="1" applyProtection="0">
      <alignment vertical="bottom"/>
    </xf>
    <xf numFmtId="1" fontId="9" fillId="2" borderId="12" applyNumberFormat="1" applyFont="1" applyFill="1" applyBorder="1" applyAlignment="1" applyProtection="0">
      <alignment vertical="bottom"/>
    </xf>
    <xf numFmtId="49" fontId="9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60" fontId="5" fillId="2" borderId="12" applyNumberFormat="1" applyFont="1" applyFill="1" applyBorder="1" applyAlignment="1" applyProtection="0">
      <alignment vertical="bottom"/>
    </xf>
    <xf numFmtId="3" fontId="12" fillId="2" borderId="12" applyNumberFormat="1" applyFont="1" applyFill="1" applyBorder="1" applyAlignment="1" applyProtection="0">
      <alignment vertical="bottom"/>
    </xf>
    <xf numFmtId="3" fontId="8" fillId="4" borderId="12" applyNumberFormat="1" applyFont="1" applyFill="1" applyBorder="1" applyAlignment="1" applyProtection="0">
      <alignment vertical="bottom"/>
    </xf>
    <xf numFmtId="60" fontId="5" fillId="4" borderId="12" applyNumberFormat="1" applyFont="1" applyFill="1" applyBorder="1" applyAlignment="1" applyProtection="0">
      <alignment vertical="bottom"/>
    </xf>
    <xf numFmtId="4" fontId="8" fillId="4" borderId="12" applyNumberFormat="1" applyFont="1" applyFill="1" applyBorder="1" applyAlignment="1" applyProtection="0">
      <alignment vertical="bottom"/>
    </xf>
    <xf numFmtId="3" fontId="12" fillId="4" borderId="12" applyNumberFormat="1" applyFont="1" applyFill="1" applyBorder="1" applyAlignment="1" applyProtection="0">
      <alignment vertical="bottom"/>
    </xf>
    <xf numFmtId="49" fontId="9" fillId="2" borderId="4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12" fillId="2" borderId="12" applyNumberFormat="1" applyFont="1" applyFill="1" applyBorder="1" applyAlignment="1" applyProtection="0">
      <alignment vertical="bottom"/>
    </xf>
    <xf numFmtId="4" fontId="5" fillId="2" borderId="12" applyNumberFormat="1" applyFont="1" applyFill="1" applyBorder="1" applyAlignment="1" applyProtection="0">
      <alignment vertical="bottom"/>
    </xf>
    <xf numFmtId="0" fontId="5" fillId="2" borderId="12" applyNumberFormat="0" applyFont="1" applyFill="1" applyBorder="1" applyAlignment="1" applyProtection="0">
      <alignment vertical="bottom"/>
    </xf>
    <xf numFmtId="59" fontId="12" fillId="4" borderId="12" applyNumberFormat="1" applyFont="1" applyFill="1" applyBorder="1" applyAlignment="1" applyProtection="0">
      <alignment vertical="bottom"/>
    </xf>
    <xf numFmtId="4" fontId="5" fillId="4" borderId="12" applyNumberFormat="1" applyFont="1" applyFill="1" applyBorder="1" applyAlignment="1" applyProtection="0">
      <alignment vertical="bottom"/>
    </xf>
    <xf numFmtId="0" fontId="5" fillId="4" borderId="12" applyNumberFormat="0" applyFont="1" applyFill="1" applyBorder="1" applyAlignment="1" applyProtection="0">
      <alignment vertical="bottom"/>
    </xf>
    <xf numFmtId="49" fontId="10" fillId="2" borderId="4" applyNumberFormat="1" applyFont="1" applyFill="1" applyBorder="1" applyAlignment="1" applyProtection="0">
      <alignment vertical="bottom"/>
    </xf>
    <xf numFmtId="1" fontId="10" fillId="2" borderId="4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29"/>
  <sheetViews>
    <sheetView workbookViewId="0" showGridLines="0" defaultGridColor="1"/>
  </sheetViews>
  <sheetFormatPr defaultColWidth="8.66667" defaultRowHeight="15" customHeight="1" outlineLevelRow="0" outlineLevelCol="0"/>
  <cols>
    <col min="1" max="1" width="22" style="1" customWidth="1"/>
    <col min="2" max="2" width="96" style="1" customWidth="1"/>
    <col min="3" max="5" width="8.67188" style="1" customWidth="1"/>
    <col min="6" max="16384" width="8.67188" style="1" customWidth="1"/>
  </cols>
  <sheetData>
    <row r="1" ht="18.5" customHeight="1">
      <c r="A1" t="s" s="2">
        <v>0</v>
      </c>
      <c r="B1" s="3"/>
      <c r="C1" s="3"/>
      <c r="D1" s="3"/>
      <c r="E1" s="4"/>
    </row>
    <row r="2" ht="13.65" customHeight="1">
      <c r="A2" t="s" s="5">
        <v>1</v>
      </c>
      <c r="B2" s="6"/>
      <c r="C2" s="6"/>
      <c r="D2" s="6"/>
      <c r="E2" s="7"/>
    </row>
    <row r="3" ht="13.55" customHeight="1">
      <c r="A3" s="8"/>
      <c r="B3" s="6"/>
      <c r="C3" s="6"/>
      <c r="D3" s="6"/>
      <c r="E3" s="7"/>
    </row>
    <row r="4" ht="13.65" customHeight="1">
      <c r="A4" s="9"/>
      <c r="B4" s="10"/>
      <c r="C4" s="6"/>
      <c r="D4" s="6"/>
      <c r="E4" s="7"/>
    </row>
    <row r="5" ht="14.6" customHeight="1">
      <c r="A5" t="s" s="11">
        <v>2</v>
      </c>
      <c r="B5" s="6"/>
      <c r="C5" s="6"/>
      <c r="D5" s="6"/>
      <c r="E5" s="7"/>
    </row>
    <row r="6" ht="13.65" customHeight="1">
      <c r="A6" t="s" s="12">
        <v>3</v>
      </c>
      <c r="B6" t="s" s="13">
        <v>4</v>
      </c>
      <c r="C6" s="6"/>
      <c r="D6" s="6"/>
      <c r="E6" s="7"/>
    </row>
    <row r="7" ht="13.65" customHeight="1">
      <c r="A7" t="s" s="12">
        <v>5</v>
      </c>
      <c r="B7" t="s" s="13">
        <v>6</v>
      </c>
      <c r="C7" s="6"/>
      <c r="D7" s="6"/>
      <c r="E7" s="7"/>
    </row>
    <row r="8" ht="13.65" customHeight="1">
      <c r="A8" t="s" s="12">
        <v>7</v>
      </c>
      <c r="B8" t="s" s="13">
        <v>8</v>
      </c>
      <c r="C8" s="6"/>
      <c r="D8" s="6"/>
      <c r="E8" s="7"/>
    </row>
    <row r="9" ht="13.65" customHeight="1">
      <c r="A9" t="s" s="12">
        <v>9</v>
      </c>
      <c r="B9" t="s" s="13">
        <v>10</v>
      </c>
      <c r="C9" s="6"/>
      <c r="D9" s="6"/>
      <c r="E9" s="7"/>
    </row>
    <row r="10" ht="13.65" customHeight="1">
      <c r="A10" s="9"/>
      <c r="B10" s="10"/>
      <c r="C10" s="6"/>
      <c r="D10" s="6"/>
      <c r="E10" s="7"/>
    </row>
    <row r="11" ht="14.6" customHeight="1">
      <c r="A11" t="s" s="11">
        <v>11</v>
      </c>
      <c r="B11" s="6"/>
      <c r="C11" s="6"/>
      <c r="D11" s="6"/>
      <c r="E11" s="7"/>
    </row>
    <row r="12" ht="13.65" customHeight="1">
      <c r="A12" t="s" s="12">
        <v>12</v>
      </c>
      <c r="B12" t="s" s="13">
        <v>13</v>
      </c>
      <c r="C12" s="6"/>
      <c r="D12" s="6"/>
      <c r="E12" s="7"/>
    </row>
    <row r="13" ht="13.65" customHeight="1">
      <c r="A13" t="s" s="12">
        <v>14</v>
      </c>
      <c r="B13" t="s" s="13">
        <v>15</v>
      </c>
      <c r="C13" s="6"/>
      <c r="D13" s="6"/>
      <c r="E13" s="7"/>
    </row>
    <row r="14" ht="13.65" customHeight="1">
      <c r="A14" t="s" s="12">
        <v>16</v>
      </c>
      <c r="B14" t="s" s="13">
        <v>17</v>
      </c>
      <c r="C14" s="6"/>
      <c r="D14" s="6"/>
      <c r="E14" s="7"/>
    </row>
    <row r="15" ht="13.65" customHeight="1">
      <c r="A15" t="s" s="12">
        <v>18</v>
      </c>
      <c r="B15" t="s" s="13">
        <v>19</v>
      </c>
      <c r="C15" s="6"/>
      <c r="D15" s="6"/>
      <c r="E15" s="7"/>
    </row>
    <row r="16" ht="13.65" customHeight="1">
      <c r="A16" t="s" s="12">
        <v>20</v>
      </c>
      <c r="B16" t="s" s="13">
        <v>21</v>
      </c>
      <c r="C16" s="6"/>
      <c r="D16" s="6"/>
      <c r="E16" s="7"/>
    </row>
    <row r="17" ht="13.65" customHeight="1">
      <c r="A17" t="s" s="12">
        <v>22</v>
      </c>
      <c r="B17" t="s" s="13">
        <v>23</v>
      </c>
      <c r="C17" s="6"/>
      <c r="D17" s="6"/>
      <c r="E17" s="7"/>
    </row>
    <row r="18" ht="13.65" customHeight="1">
      <c r="A18" t="s" s="12">
        <v>24</v>
      </c>
      <c r="B18" t="s" s="13">
        <v>25</v>
      </c>
      <c r="C18" s="6"/>
      <c r="D18" s="6"/>
      <c r="E18" s="7"/>
    </row>
    <row r="19" ht="13.65" customHeight="1">
      <c r="A19" t="s" s="12">
        <v>26</v>
      </c>
      <c r="B19" t="s" s="13">
        <v>27</v>
      </c>
      <c r="C19" s="6"/>
      <c r="D19" s="6"/>
      <c r="E19" s="7"/>
    </row>
    <row r="20" ht="13.65" customHeight="1">
      <c r="A20" s="9"/>
      <c r="B20" s="10"/>
      <c r="C20" s="6"/>
      <c r="D20" s="6"/>
      <c r="E20" s="7"/>
    </row>
    <row r="21" ht="14.6" customHeight="1">
      <c r="A21" t="s" s="11">
        <v>28</v>
      </c>
      <c r="B21" s="6"/>
      <c r="C21" s="6"/>
      <c r="D21" s="6"/>
      <c r="E21" s="7"/>
    </row>
    <row r="22" ht="13.65" customHeight="1">
      <c r="A22" t="s" s="12">
        <v>29</v>
      </c>
      <c r="B22" t="s" s="13">
        <v>30</v>
      </c>
      <c r="C22" s="6"/>
      <c r="D22" s="6"/>
      <c r="E22" s="7"/>
    </row>
    <row r="23" ht="13.65" customHeight="1">
      <c r="A23" t="s" s="12">
        <v>31</v>
      </c>
      <c r="B23" t="s" s="13">
        <v>32</v>
      </c>
      <c r="C23" s="6"/>
      <c r="D23" s="6"/>
      <c r="E23" s="7"/>
    </row>
    <row r="24" ht="13.65" customHeight="1">
      <c r="A24" t="s" s="12">
        <v>33</v>
      </c>
      <c r="B24" t="s" s="13">
        <v>34</v>
      </c>
      <c r="C24" s="6"/>
      <c r="D24" s="6"/>
      <c r="E24" s="7"/>
    </row>
    <row r="25" ht="13.65" customHeight="1">
      <c r="A25" t="s" s="12">
        <v>35</v>
      </c>
      <c r="B25" t="s" s="13">
        <v>36</v>
      </c>
      <c r="C25" s="6"/>
      <c r="D25" s="6"/>
      <c r="E25" s="7"/>
    </row>
    <row r="26" ht="13.65" customHeight="1">
      <c r="A26" s="9"/>
      <c r="B26" s="10"/>
      <c r="C26" s="6"/>
      <c r="D26" s="6"/>
      <c r="E26" s="7"/>
    </row>
    <row r="27" ht="14.6" customHeight="1">
      <c r="A27" t="s" s="11">
        <v>37</v>
      </c>
      <c r="B27" s="6"/>
      <c r="C27" s="6"/>
      <c r="D27" s="6"/>
      <c r="E27" s="7"/>
    </row>
    <row r="28" ht="13.65" customHeight="1">
      <c r="A28" t="s" s="12">
        <v>38</v>
      </c>
      <c r="B28" t="s" s="13">
        <v>39</v>
      </c>
      <c r="C28" s="6"/>
      <c r="D28" s="6"/>
      <c r="E28" s="7"/>
    </row>
    <row r="29" ht="13.65" customHeight="1">
      <c r="A29" s="14"/>
      <c r="B29" t="s" s="15">
        <v>40</v>
      </c>
      <c r="C29" s="16"/>
      <c r="D29" s="16"/>
      <c r="E29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38"/>
  <sheetViews>
    <sheetView workbookViewId="0" showGridLines="0" defaultGridColor="1"/>
  </sheetViews>
  <sheetFormatPr defaultColWidth="8.66667" defaultRowHeight="15" customHeight="1" outlineLevelRow="0" outlineLevelCol="0"/>
  <cols>
    <col min="1" max="1" width="34" style="18" customWidth="1"/>
    <col min="2" max="3" width="12" style="18" customWidth="1"/>
    <col min="4" max="4" width="74" style="18" customWidth="1"/>
    <col min="5" max="5" width="8.67188" style="18" customWidth="1"/>
    <col min="6" max="16384" width="8.67188" style="18" customWidth="1"/>
  </cols>
  <sheetData>
    <row r="1" ht="18.5" customHeight="1">
      <c r="A1" t="s" s="2">
        <v>41</v>
      </c>
      <c r="B1" s="3"/>
      <c r="C1" s="3"/>
      <c r="D1" s="3"/>
      <c r="E1" s="4"/>
    </row>
    <row r="2" ht="13.65" customHeight="1">
      <c r="A2" t="s" s="5">
        <v>42</v>
      </c>
      <c r="B2" s="6"/>
      <c r="C2" s="6"/>
      <c r="D2" s="6"/>
      <c r="E2" s="7"/>
    </row>
    <row r="3" ht="13.55" customHeight="1">
      <c r="A3" s="19"/>
      <c r="B3" s="20"/>
      <c r="C3" s="20"/>
      <c r="D3" s="20"/>
      <c r="E3" s="7"/>
    </row>
    <row r="4" ht="27.75" customHeight="1">
      <c r="A4" t="s" s="21">
        <v>43</v>
      </c>
      <c r="B4" t="s" s="21">
        <v>44</v>
      </c>
      <c r="C4" t="s" s="21">
        <v>45</v>
      </c>
      <c r="D4" t="s" s="21">
        <v>46</v>
      </c>
      <c r="E4" s="22"/>
    </row>
    <row r="5" ht="14.6" customHeight="1">
      <c r="A5" t="s" s="23">
        <v>47</v>
      </c>
      <c r="B5" s="24"/>
      <c r="C5" s="25"/>
      <c r="D5" s="25"/>
      <c r="E5" s="7"/>
    </row>
    <row r="6" ht="13.65" customHeight="1">
      <c r="A6" t="s" s="26">
        <v>48</v>
      </c>
      <c r="B6" s="27">
        <v>450</v>
      </c>
      <c r="C6" t="s" s="28">
        <v>49</v>
      </c>
      <c r="D6" t="s" s="29">
        <v>50</v>
      </c>
      <c r="E6" s="7"/>
    </row>
    <row r="7" ht="13.65" customHeight="1">
      <c r="A7" t="s" s="26">
        <v>51</v>
      </c>
      <c r="B7" s="27">
        <v>40</v>
      </c>
      <c r="C7" t="s" s="28">
        <v>52</v>
      </c>
      <c r="D7" t="s" s="29">
        <v>53</v>
      </c>
      <c r="E7" s="7"/>
    </row>
    <row r="8" ht="13.65" customHeight="1">
      <c r="A8" t="s" s="26">
        <v>54</v>
      </c>
      <c r="B8" s="30">
        <v>0.43</v>
      </c>
      <c r="C8" t="s" s="28">
        <v>49</v>
      </c>
      <c r="D8" t="s" s="29">
        <v>55</v>
      </c>
      <c r="E8" s="7"/>
    </row>
    <row r="9" ht="13.65" customHeight="1">
      <c r="A9" t="s" s="26">
        <v>56</v>
      </c>
      <c r="B9" s="27">
        <v>60</v>
      </c>
      <c r="C9" t="s" s="28">
        <v>49</v>
      </c>
      <c r="D9" t="s" s="29">
        <v>57</v>
      </c>
      <c r="E9" s="7"/>
    </row>
    <row r="10" ht="13.65" customHeight="1">
      <c r="A10" t="s" s="26">
        <v>58</v>
      </c>
      <c r="B10" s="30">
        <v>1</v>
      </c>
      <c r="C10" t="s" s="28">
        <v>49</v>
      </c>
      <c r="D10" t="s" s="29">
        <v>59</v>
      </c>
      <c r="E10" s="7"/>
    </row>
    <row r="11" ht="14.6" customHeight="1">
      <c r="A11" t="s" s="31">
        <v>60</v>
      </c>
      <c r="B11" s="24"/>
      <c r="C11" s="32"/>
      <c r="D11" s="32"/>
      <c r="E11" s="7"/>
    </row>
    <row r="12" ht="13.65" customHeight="1">
      <c r="A12" t="s" s="26">
        <v>61</v>
      </c>
      <c r="B12" s="30">
        <v>2.3</v>
      </c>
      <c r="C12" t="s" s="28">
        <v>62</v>
      </c>
      <c r="D12" t="s" s="29">
        <v>63</v>
      </c>
      <c r="E12" s="7"/>
    </row>
    <row r="13" ht="13.65" customHeight="1">
      <c r="A13" t="s" s="26">
        <v>64</v>
      </c>
      <c r="B13" s="30">
        <v>1.9</v>
      </c>
      <c r="C13" t="s" s="28">
        <v>62</v>
      </c>
      <c r="D13" t="s" s="29">
        <v>65</v>
      </c>
      <c r="E13" s="7"/>
    </row>
    <row r="14" ht="13.65" customHeight="1">
      <c r="A14" t="s" s="26">
        <v>66</v>
      </c>
      <c r="B14" s="30">
        <v>0.7</v>
      </c>
      <c r="C14" t="s" s="28">
        <v>67</v>
      </c>
      <c r="D14" t="s" s="29">
        <v>68</v>
      </c>
      <c r="E14" s="7"/>
    </row>
    <row r="15" ht="14.6" customHeight="1">
      <c r="A15" t="s" s="31">
        <v>69</v>
      </c>
      <c r="B15" s="24"/>
      <c r="C15" s="32"/>
      <c r="D15" s="32"/>
      <c r="E15" s="7"/>
    </row>
    <row r="16" ht="13.65" customHeight="1">
      <c r="A16" t="s" s="26">
        <v>70</v>
      </c>
      <c r="B16" s="30">
        <v>1</v>
      </c>
      <c r="C16" t="s" s="28">
        <v>62</v>
      </c>
      <c r="D16" t="s" s="29">
        <v>71</v>
      </c>
      <c r="E16" s="7"/>
    </row>
    <row r="17" ht="13.65" customHeight="1">
      <c r="A17" t="s" s="26">
        <v>72</v>
      </c>
      <c r="B17" s="30">
        <v>1.052</v>
      </c>
      <c r="C17" t="s" s="28">
        <v>62</v>
      </c>
      <c r="D17" t="s" s="29">
        <v>73</v>
      </c>
      <c r="E17" s="7"/>
    </row>
    <row r="18" ht="13.65" customHeight="1">
      <c r="A18" t="s" s="26">
        <v>74</v>
      </c>
      <c r="B18" s="27">
        <v>130</v>
      </c>
      <c r="C18" t="s" s="28">
        <v>75</v>
      </c>
      <c r="D18" t="s" s="29">
        <v>76</v>
      </c>
      <c r="E18" s="7"/>
    </row>
    <row r="19" ht="13.65" customHeight="1">
      <c r="A19" t="s" s="26">
        <v>77</v>
      </c>
      <c r="B19" s="30">
        <v>1</v>
      </c>
      <c r="C19" t="s" s="28">
        <v>62</v>
      </c>
      <c r="D19" t="s" s="29">
        <v>78</v>
      </c>
      <c r="E19" s="7"/>
    </row>
    <row r="20" ht="14.6" customHeight="1">
      <c r="A20" t="s" s="31">
        <v>79</v>
      </c>
      <c r="B20" s="24"/>
      <c r="C20" s="32"/>
      <c r="D20" s="32"/>
      <c r="E20" s="7"/>
    </row>
    <row r="21" ht="13.65" customHeight="1">
      <c r="A21" t="s" s="26">
        <v>80</v>
      </c>
      <c r="B21" s="27">
        <v>300</v>
      </c>
      <c r="C21" t="s" s="28">
        <v>49</v>
      </c>
      <c r="D21" t="s" s="29">
        <v>81</v>
      </c>
      <c r="E21" s="7"/>
    </row>
    <row r="22" ht="13.65" customHeight="1">
      <c r="A22" t="s" s="26">
        <v>82</v>
      </c>
      <c r="B22" s="30">
        <v>2.35</v>
      </c>
      <c r="C22" t="s" s="28">
        <v>62</v>
      </c>
      <c r="D22" t="s" s="29">
        <v>83</v>
      </c>
      <c r="E22" s="7"/>
    </row>
    <row r="23" ht="13.65" customHeight="1">
      <c r="A23" t="s" s="26">
        <v>84</v>
      </c>
      <c r="B23" s="30">
        <v>1.35</v>
      </c>
      <c r="C23" t="s" s="28">
        <v>62</v>
      </c>
      <c r="D23" t="s" s="29">
        <v>85</v>
      </c>
      <c r="E23" s="7"/>
    </row>
    <row r="24" ht="14.6" customHeight="1">
      <c r="A24" t="s" s="31">
        <v>86</v>
      </c>
      <c r="B24" s="24"/>
      <c r="C24" s="32"/>
      <c r="D24" s="32"/>
      <c r="E24" s="7"/>
    </row>
    <row r="25" ht="13.65" customHeight="1">
      <c r="A25" t="s" s="26">
        <v>87</v>
      </c>
      <c r="B25" s="27">
        <v>5</v>
      </c>
      <c r="C25" t="s" s="28">
        <v>88</v>
      </c>
      <c r="D25" t="s" s="29">
        <v>89</v>
      </c>
      <c r="E25" s="7"/>
    </row>
    <row r="26" ht="13.65" customHeight="1">
      <c r="A26" t="s" s="26">
        <v>90</v>
      </c>
      <c r="B26" s="30">
        <v>1.5</v>
      </c>
      <c r="C26" t="s" s="28">
        <v>88</v>
      </c>
      <c r="D26" t="s" s="29">
        <v>91</v>
      </c>
      <c r="E26" s="7"/>
    </row>
    <row r="27" ht="13.65" customHeight="1">
      <c r="A27" t="s" s="26">
        <v>92</v>
      </c>
      <c r="B27" s="27">
        <v>25</v>
      </c>
      <c r="C27" t="s" s="28">
        <v>88</v>
      </c>
      <c r="D27" t="s" s="29">
        <v>93</v>
      </c>
      <c r="E27" s="7"/>
    </row>
    <row r="28" ht="13.65" customHeight="1">
      <c r="A28" t="s" s="26">
        <v>94</v>
      </c>
      <c r="B28" s="30">
        <v>1.18</v>
      </c>
      <c r="C28" t="s" s="28">
        <v>62</v>
      </c>
      <c r="D28" t="s" s="29">
        <v>95</v>
      </c>
      <c r="E28" s="7"/>
    </row>
    <row r="29" ht="14.6" customHeight="1">
      <c r="A29" t="s" s="31">
        <v>96</v>
      </c>
      <c r="B29" s="24"/>
      <c r="C29" s="32"/>
      <c r="D29" s="32"/>
      <c r="E29" s="7"/>
    </row>
    <row r="30" ht="13.65" customHeight="1">
      <c r="A30" t="s" s="26">
        <v>97</v>
      </c>
      <c r="B30" s="30">
        <v>0.75</v>
      </c>
      <c r="C30" t="s" s="28">
        <v>67</v>
      </c>
      <c r="D30" t="s" s="29">
        <v>98</v>
      </c>
      <c r="E30" s="7"/>
    </row>
    <row r="31" ht="13.65" customHeight="1">
      <c r="A31" t="s" s="26">
        <v>99</v>
      </c>
      <c r="B31" s="30">
        <v>0.6</v>
      </c>
      <c r="C31" t="s" s="28">
        <v>67</v>
      </c>
      <c r="D31" t="s" s="29">
        <v>100</v>
      </c>
      <c r="E31" s="7"/>
    </row>
    <row r="32" ht="13.65" customHeight="1">
      <c r="A32" t="s" s="33">
        <v>101</v>
      </c>
      <c r="B32" s="27">
        <v>8</v>
      </c>
      <c r="C32" t="s" s="34">
        <v>102</v>
      </c>
      <c r="D32" t="s" s="35">
        <v>103</v>
      </c>
      <c r="E32" s="17"/>
    </row>
    <row r="33" ht="13.55" customHeight="1">
      <c r="A33" s="36"/>
      <c r="B33" s="37"/>
      <c r="C33" s="3"/>
      <c r="D33" s="3"/>
      <c r="E33" s="4"/>
    </row>
    <row r="34" ht="14.6" customHeight="1">
      <c r="A34" t="s" s="31">
        <v>104</v>
      </c>
      <c r="B34" s="24"/>
      <c r="C34" s="32"/>
      <c r="D34" s="32"/>
      <c r="E34" s="7"/>
    </row>
    <row r="35" ht="13.65" customHeight="1">
      <c r="A35" t="s" s="26">
        <v>105</v>
      </c>
      <c r="B35" s="30">
        <v>30</v>
      </c>
      <c r="C35" t="s" s="28">
        <v>106</v>
      </c>
      <c r="D35" t="s" s="29">
        <v>107</v>
      </c>
      <c r="E35" s="7"/>
    </row>
    <row r="36" ht="13.65" customHeight="1">
      <c r="A36" t="s" s="26">
        <v>108</v>
      </c>
      <c r="B36" s="30">
        <v>3</v>
      </c>
      <c r="C36" t="s" s="28">
        <v>109</v>
      </c>
      <c r="D36" t="s" s="29">
        <v>110</v>
      </c>
      <c r="E36" s="7"/>
    </row>
    <row r="37" ht="13.65" customHeight="1">
      <c r="A37" t="s" s="26">
        <v>111</v>
      </c>
      <c r="B37" s="30">
        <v>0.5</v>
      </c>
      <c r="C37" t="s" s="28">
        <v>67</v>
      </c>
      <c r="D37" t="s" s="29">
        <v>112</v>
      </c>
      <c r="E37" s="7"/>
    </row>
    <row r="38" ht="13.65" customHeight="1">
      <c r="A38" t="s" s="33">
        <v>113</v>
      </c>
      <c r="B38" s="30">
        <v>5</v>
      </c>
      <c r="C38" t="s" s="34">
        <v>106</v>
      </c>
      <c r="D38" t="s" s="35">
        <v>114</v>
      </c>
      <c r="E38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L11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38" customWidth="1"/>
    <col min="2" max="2" width="24" style="38" customWidth="1"/>
    <col min="3" max="3" width="9" style="38" customWidth="1"/>
    <col min="4" max="4" width="10" style="38" customWidth="1"/>
    <col min="5" max="5" width="12" style="38" customWidth="1"/>
    <col min="6" max="6" width="11" style="38" customWidth="1"/>
    <col min="7" max="7" width="10" style="38" customWidth="1"/>
    <col min="8" max="8" width="11" style="38" customWidth="1"/>
    <col min="9" max="9" width="9" style="38" customWidth="1"/>
    <col min="10" max="10" width="13" style="38" customWidth="1"/>
    <col min="11" max="11" width="54" style="38" customWidth="1"/>
    <col min="12" max="12" width="8.67188" style="38" customWidth="1"/>
    <col min="13" max="16384" width="8.67188" style="38" customWidth="1"/>
  </cols>
  <sheetData>
    <row r="1" ht="18.5" customHeight="1">
      <c r="A1" t="s" s="2">
        <v>115</v>
      </c>
      <c r="B1" s="3"/>
      <c r="C1" s="3"/>
      <c r="D1" s="3"/>
      <c r="E1" s="3"/>
      <c r="F1" s="3"/>
      <c r="G1" s="3"/>
      <c r="H1" s="3"/>
      <c r="I1" s="3"/>
      <c r="J1" s="3"/>
      <c r="K1" s="4"/>
      <c r="L1" s="39"/>
    </row>
    <row r="2" ht="13.65" customHeight="1">
      <c r="A2" t="s" s="5">
        <v>116</v>
      </c>
      <c r="B2" s="6"/>
      <c r="C2" s="6"/>
      <c r="D2" s="6"/>
      <c r="E2" s="6"/>
      <c r="F2" s="6"/>
      <c r="G2" s="6"/>
      <c r="H2" s="6"/>
      <c r="I2" s="6"/>
      <c r="J2" s="6"/>
      <c r="K2" s="7"/>
      <c r="L2" s="40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41"/>
      <c r="L3" s="42"/>
    </row>
    <row r="4" ht="27.75" customHeight="1">
      <c r="A4" t="s" s="21">
        <v>117</v>
      </c>
      <c r="B4" t="s" s="21">
        <v>118</v>
      </c>
      <c r="C4" t="s" s="21">
        <v>119</v>
      </c>
      <c r="D4" t="s" s="21">
        <v>120</v>
      </c>
      <c r="E4" t="s" s="21">
        <v>121</v>
      </c>
      <c r="F4" t="s" s="21">
        <v>122</v>
      </c>
      <c r="G4" t="s" s="21">
        <v>123</v>
      </c>
      <c r="H4" t="s" s="21">
        <v>124</v>
      </c>
      <c r="I4" t="s" s="21">
        <v>125</v>
      </c>
      <c r="J4" t="s" s="21">
        <v>126</v>
      </c>
      <c r="K4" t="s" s="21">
        <v>127</v>
      </c>
      <c r="L4" t="s" s="21">
        <v>128</v>
      </c>
    </row>
    <row r="5" ht="13.65" customHeight="1">
      <c r="A5" t="s" s="43">
        <v>129</v>
      </c>
      <c r="B5" t="s" s="43">
        <v>130</v>
      </c>
      <c r="C5" s="27">
        <v>200</v>
      </c>
      <c r="D5" s="44">
        <v>1</v>
      </c>
      <c r="E5" s="30">
        <v>3</v>
      </c>
      <c r="F5" s="27">
        <v>1</v>
      </c>
      <c r="G5" s="45" cm="1">
        <f t="array" ref="G5">D5*E5*F5</f>
        <v>3</v>
      </c>
      <c r="H5" s="27">
        <v>20</v>
      </c>
      <c r="I5" t="s" s="46">
        <v>131</v>
      </c>
      <c r="J5" s="27">
        <v>0</v>
      </c>
      <c r="K5" t="s" s="47">
        <v>132</v>
      </c>
      <c r="L5" s="27">
        <v>0</v>
      </c>
    </row>
    <row r="6" ht="13.65" customHeight="1">
      <c r="A6" t="s" s="43">
        <v>133</v>
      </c>
      <c r="B6" t="s" s="43">
        <v>134</v>
      </c>
      <c r="C6" s="27">
        <v>350</v>
      </c>
      <c r="D6" s="44">
        <v>9</v>
      </c>
      <c r="E6" s="30">
        <v>0.45</v>
      </c>
      <c r="F6" s="27">
        <v>1</v>
      </c>
      <c r="G6" s="45" cm="1">
        <f t="array" ref="G6">D6*E6*F6</f>
        <v>4.05</v>
      </c>
      <c r="H6" s="27">
        <v>999</v>
      </c>
      <c r="I6" t="s" s="46">
        <v>131</v>
      </c>
      <c r="J6" s="27">
        <v>0</v>
      </c>
      <c r="K6" t="s" s="47">
        <v>135</v>
      </c>
      <c r="L6" s="27">
        <v>0</v>
      </c>
    </row>
    <row r="7" ht="13.65" customHeight="1">
      <c r="A7" t="s" s="43">
        <v>136</v>
      </c>
      <c r="B7" t="s" s="43">
        <v>137</v>
      </c>
      <c r="C7" s="27">
        <v>550</v>
      </c>
      <c r="D7" s="44">
        <v>5</v>
      </c>
      <c r="E7" s="30">
        <v>1</v>
      </c>
      <c r="F7" s="27">
        <v>3</v>
      </c>
      <c r="G7" s="45" cm="1">
        <f t="array" ref="G7">D7*E7*F7</f>
        <v>15</v>
      </c>
      <c r="H7" s="27">
        <v>18</v>
      </c>
      <c r="I7" t="s" s="46">
        <v>138</v>
      </c>
      <c r="J7" s="27">
        <v>0</v>
      </c>
      <c r="K7" t="s" s="47">
        <v>139</v>
      </c>
      <c r="L7" s="27">
        <v>6</v>
      </c>
    </row>
    <row r="8" ht="13.65" customHeight="1">
      <c r="A8" t="s" s="43">
        <v>140</v>
      </c>
      <c r="B8" t="s" s="43">
        <v>141</v>
      </c>
      <c r="C8" s="27">
        <v>400</v>
      </c>
      <c r="D8" s="44">
        <v>0.5</v>
      </c>
      <c r="E8" s="30">
        <v>1</v>
      </c>
      <c r="F8" s="27">
        <v>4</v>
      </c>
      <c r="G8" s="45" cm="1">
        <f t="array" ref="G8">D8*E8*F8</f>
        <v>2</v>
      </c>
      <c r="H8" s="27">
        <v>12</v>
      </c>
      <c r="I8" t="s" s="46">
        <v>131</v>
      </c>
      <c r="J8" s="27">
        <v>0</v>
      </c>
      <c r="K8" t="s" s="47">
        <v>142</v>
      </c>
      <c r="L8" s="27">
        <v>6</v>
      </c>
    </row>
    <row r="9" ht="13.65" customHeight="1">
      <c r="A9" t="s" s="43">
        <v>143</v>
      </c>
      <c r="B9" t="s" s="43">
        <v>144</v>
      </c>
      <c r="C9" s="27">
        <v>1000</v>
      </c>
      <c r="D9" s="44">
        <v>0</v>
      </c>
      <c r="E9" s="30">
        <v>0</v>
      </c>
      <c r="F9" s="27">
        <v>0</v>
      </c>
      <c r="G9" s="45" cm="1">
        <f t="array" ref="G9">D9*E9*F9</f>
        <v>0</v>
      </c>
      <c r="H9" s="27">
        <v>0</v>
      </c>
      <c r="I9" t="s" s="46">
        <v>138</v>
      </c>
      <c r="J9" s="27">
        <v>150</v>
      </c>
      <c r="K9" t="s" s="47">
        <v>145</v>
      </c>
      <c r="L9" s="27">
        <v>0</v>
      </c>
    </row>
    <row r="10" ht="13.55" customHeight="1">
      <c r="A10" s="48"/>
      <c r="B10" s="49"/>
      <c r="C10" s="37"/>
      <c r="D10" s="49"/>
      <c r="E10" s="49"/>
      <c r="F10" s="49"/>
      <c r="G10" s="49"/>
      <c r="H10" s="49"/>
      <c r="I10" s="49"/>
      <c r="J10" s="49"/>
      <c r="K10" s="50"/>
      <c r="L10" s="51"/>
    </row>
    <row r="11" ht="13.65" customHeight="1">
      <c r="A11" t="s" s="43">
        <v>146</v>
      </c>
      <c r="B11" s="52"/>
      <c r="C11" s="45" cm="1">
        <f t="array" ref="C11">C5/G5</f>
        <v>66.6666666666667</v>
      </c>
      <c r="D11" t="s" s="53">
        <v>147</v>
      </c>
      <c r="E11" s="16"/>
      <c r="F11" s="16"/>
      <c r="G11" s="16"/>
      <c r="H11" s="16"/>
      <c r="I11" s="16"/>
      <c r="J11" s="16"/>
      <c r="K11" s="17"/>
      <c r="L11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AD79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55" customWidth="1"/>
    <col min="2" max="2" width="14" style="55" customWidth="1"/>
    <col min="3" max="3" width="16" style="55" customWidth="1"/>
    <col min="4" max="4" width="7" style="55" customWidth="1"/>
    <col min="5" max="5" width="13" style="55" customWidth="1"/>
    <col min="6" max="6" width="15" style="55" customWidth="1"/>
    <col min="7" max="7" width="10" style="55" customWidth="1"/>
    <col min="8" max="8" width="9" style="55" customWidth="1"/>
    <col min="9" max="9" width="10" style="55" customWidth="1"/>
    <col min="10" max="10" width="13" style="55" customWidth="1"/>
    <col min="11" max="11" width="12" style="55" customWidth="1"/>
    <col min="12" max="12" width="10" style="55" customWidth="1"/>
    <col min="13" max="13" width="22" style="55" customWidth="1"/>
    <col min="14" max="30" width="12" style="55" customWidth="1"/>
    <col min="31" max="16384" width="8.67188" style="55" customWidth="1"/>
  </cols>
  <sheetData>
    <row r="1" ht="18.5" customHeight="1">
      <c r="A1" t="s" s="2">
        <v>148</v>
      </c>
      <c r="B1" s="3"/>
      <c r="C1" s="3"/>
      <c r="D1" s="3"/>
      <c r="E1" s="3"/>
      <c r="F1" s="3"/>
      <c r="G1" s="3"/>
      <c r="H1" s="3"/>
      <c r="I1" s="3"/>
      <c r="J1" s="3"/>
      <c r="K1" s="4"/>
      <c r="L1" s="39"/>
      <c r="M1" s="39"/>
      <c r="N1" s="36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4"/>
    </row>
    <row r="2" ht="13.65" customHeight="1">
      <c r="A2" t="s" s="5">
        <v>149</v>
      </c>
      <c r="B2" s="6"/>
      <c r="C2" s="6"/>
      <c r="D2" s="6"/>
      <c r="E2" s="6"/>
      <c r="F2" s="6"/>
      <c r="G2" s="6"/>
      <c r="H2" s="6"/>
      <c r="I2" s="6"/>
      <c r="J2" s="6"/>
      <c r="K2" s="7"/>
      <c r="L2" s="40"/>
      <c r="M2" s="40"/>
      <c r="N2" s="8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41"/>
      <c r="L3" s="42"/>
      <c r="M3" s="42"/>
      <c r="N3" s="19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41"/>
    </row>
    <row r="4" ht="27.75" customHeight="1">
      <c r="A4" t="s" s="21">
        <v>117</v>
      </c>
      <c r="B4" t="s" s="21">
        <v>150</v>
      </c>
      <c r="C4" t="s" s="21">
        <v>151</v>
      </c>
      <c r="D4" t="s" s="21">
        <v>152</v>
      </c>
      <c r="E4" t="s" s="21">
        <v>153</v>
      </c>
      <c r="F4" t="s" s="21">
        <v>154</v>
      </c>
      <c r="G4" t="s" s="21">
        <v>155</v>
      </c>
      <c r="H4" t="s" s="21">
        <v>156</v>
      </c>
      <c r="I4" t="s" s="21">
        <v>157</v>
      </c>
      <c r="J4" t="s" s="21">
        <v>158</v>
      </c>
      <c r="K4" t="s" s="21">
        <v>159</v>
      </c>
      <c r="L4" t="s" s="21">
        <v>160</v>
      </c>
      <c r="M4" t="s" s="21">
        <v>161</v>
      </c>
      <c r="N4" t="s" s="21">
        <v>162</v>
      </c>
      <c r="O4" t="s" s="21">
        <v>163</v>
      </c>
      <c r="P4" t="s" s="21">
        <v>164</v>
      </c>
      <c r="Q4" t="s" s="21">
        <v>165</v>
      </c>
      <c r="R4" t="s" s="21">
        <v>166</v>
      </c>
      <c r="S4" t="s" s="21">
        <v>167</v>
      </c>
      <c r="T4" t="s" s="21">
        <v>168</v>
      </c>
      <c r="U4" t="s" s="21">
        <v>169</v>
      </c>
      <c r="V4" t="s" s="21">
        <v>170</v>
      </c>
      <c r="W4" t="s" s="21">
        <v>171</v>
      </c>
      <c r="X4" t="s" s="21">
        <v>172</v>
      </c>
      <c r="Y4" t="s" s="21">
        <v>173</v>
      </c>
      <c r="Z4" t="s" s="21">
        <v>174</v>
      </c>
      <c r="AA4" t="s" s="21">
        <v>175</v>
      </c>
      <c r="AB4" t="s" s="21">
        <v>176</v>
      </c>
      <c r="AC4" t="s" s="21">
        <v>177</v>
      </c>
      <c r="AD4" t="s" s="21">
        <v>178</v>
      </c>
    </row>
    <row r="5" ht="13.65" customHeight="1">
      <c r="A5" t="s" s="43">
        <v>129</v>
      </c>
      <c r="B5" t="s" s="43">
        <v>179</v>
      </c>
      <c r="C5" t="s" s="43">
        <v>180</v>
      </c>
      <c r="D5" s="56">
        <v>1</v>
      </c>
      <c r="E5" s="56" cm="1">
        <f t="array" ref="E5">ROUND('Towers'!$C$5*POWER('Tuning'!$B$12,D5),0)</f>
        <v>460</v>
      </c>
      <c r="F5" s="56" cm="1">
        <f t="array" ref="F5">'Towers'!$C$5+E5</f>
        <v>660</v>
      </c>
      <c r="G5" s="57">
        <v>1.3</v>
      </c>
      <c r="H5" s="57">
        <v>1.15</v>
      </c>
      <c r="I5" s="57">
        <v>1</v>
      </c>
      <c r="J5" s="45" cm="1">
        <f t="array" ref="J5">'Towers'!$G$5*G5*H5*I5</f>
        <v>4.485</v>
      </c>
      <c r="K5" s="45" cm="1">
        <f t="array" ref="K5">IF(J5=0,0,F5/J5)</f>
        <v>147.157190635452</v>
      </c>
      <c r="L5" s="57">
        <v>1.15</v>
      </c>
      <c r="M5" t="s" s="43">
        <v>181</v>
      </c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</row>
    <row r="6" ht="13.65" customHeight="1">
      <c r="A6" t="s" s="43">
        <v>129</v>
      </c>
      <c r="B6" t="s" s="43">
        <v>179</v>
      </c>
      <c r="C6" t="s" s="43">
        <v>180</v>
      </c>
      <c r="D6" s="56">
        <v>2</v>
      </c>
      <c r="E6" s="56" cm="1">
        <f t="array" ref="E6">ROUND('Towers'!$C$5*POWER('Tuning'!$B$12,D6),0)</f>
        <v>1058</v>
      </c>
      <c r="F6" s="56" cm="1">
        <f t="array" ref="F6">F5+E6</f>
        <v>1718</v>
      </c>
      <c r="G6" s="57">
        <v>1.69</v>
      </c>
      <c r="H6" s="57">
        <v>1.32</v>
      </c>
      <c r="I6" s="57">
        <v>1</v>
      </c>
      <c r="J6" s="45" cm="1">
        <f t="array" ref="J6">'Towers'!$G$5*G6*H6*I6</f>
        <v>6.6924</v>
      </c>
      <c r="K6" s="45" cm="1">
        <f t="array" ref="K6">IF(J6=0,0,F6/J6)</f>
        <v>256.709102862949</v>
      </c>
      <c r="L6" s="57">
        <v>1.3</v>
      </c>
      <c r="M6" t="s" s="43">
        <v>182</v>
      </c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</row>
    <row r="7" ht="13.65" customHeight="1">
      <c r="A7" t="s" s="43">
        <v>129</v>
      </c>
      <c r="B7" t="s" s="43">
        <v>179</v>
      </c>
      <c r="C7" t="s" s="43">
        <v>180</v>
      </c>
      <c r="D7" s="56">
        <v>3</v>
      </c>
      <c r="E7" s="56" cm="1">
        <f t="array" ref="E7">ROUND('Towers'!$C$5*POWER('Tuning'!$B$12,D7),0)</f>
        <v>2433</v>
      </c>
      <c r="F7" s="56" cm="1">
        <f t="array" ref="F7">F6+E7</f>
        <v>4151</v>
      </c>
      <c r="G7" s="57">
        <v>2.2</v>
      </c>
      <c r="H7" s="57">
        <v>1.52</v>
      </c>
      <c r="I7" s="57">
        <v>1</v>
      </c>
      <c r="J7" s="45" cm="1">
        <f t="array" ref="J7">'Towers'!$G$5*G7*H7*I7</f>
        <v>10.032</v>
      </c>
      <c r="K7" s="45" cm="1">
        <f t="array" ref="K7">IF(J7=0,0,F7/J7)</f>
        <v>413.775917065391</v>
      </c>
      <c r="L7" s="57">
        <v>1.5</v>
      </c>
      <c r="M7" t="s" s="43">
        <v>183</v>
      </c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>
        <v>10</v>
      </c>
      <c r="AC7" s="57"/>
      <c r="AD7" s="57"/>
    </row>
    <row r="8" ht="13.65" customHeight="1">
      <c r="A8" t="s" s="43">
        <v>129</v>
      </c>
      <c r="B8" t="s" s="43">
        <v>179</v>
      </c>
      <c r="C8" t="s" s="43">
        <v>180</v>
      </c>
      <c r="D8" s="56">
        <v>4</v>
      </c>
      <c r="E8" s="56" cm="1">
        <f t="array" ref="E8">ROUND('Towers'!$C$5*POWER('Tuning'!$B$12,D8),0)</f>
        <v>5597</v>
      </c>
      <c r="F8" s="56" cm="1">
        <f t="array" ref="F8">F7+E8</f>
        <v>9748</v>
      </c>
      <c r="G8" s="57">
        <v>2.86</v>
      </c>
      <c r="H8" s="57">
        <v>1.75</v>
      </c>
      <c r="I8" s="57">
        <v>1</v>
      </c>
      <c r="J8" s="45" cm="1">
        <f t="array" ref="J8">'Towers'!$G$5*G8*H8*I8</f>
        <v>15.015</v>
      </c>
      <c r="K8" s="45" cm="1">
        <f t="array" ref="K8">IF(J8=0,0,F8/J8)</f>
        <v>649.217449217449</v>
      </c>
      <c r="L8" s="57">
        <v>1.75</v>
      </c>
      <c r="M8" t="s" s="43">
        <v>184</v>
      </c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>
        <v>10</v>
      </c>
      <c r="AC8" s="57"/>
      <c r="AD8" s="57"/>
    </row>
    <row r="9" ht="13.65" customHeight="1">
      <c r="A9" t="s" s="43">
        <v>129</v>
      </c>
      <c r="B9" t="s" s="43">
        <v>179</v>
      </c>
      <c r="C9" t="s" s="43">
        <v>180</v>
      </c>
      <c r="D9" s="56">
        <v>5</v>
      </c>
      <c r="E9" s="56" cm="1">
        <f t="array" ref="E9">ROUND('Towers'!$C$5*POWER('Tuning'!$B$12,D9),0)</f>
        <v>12873</v>
      </c>
      <c r="F9" s="56" cm="1">
        <f t="array" ref="F9">F8+E9</f>
        <v>22621</v>
      </c>
      <c r="G9" s="57">
        <v>3.71</v>
      </c>
      <c r="H9" s="57">
        <v>2.01</v>
      </c>
      <c r="I9" s="57">
        <v>1</v>
      </c>
      <c r="J9" s="45" cm="1">
        <f t="array" ref="J9">'Towers'!$G$5*G9*H9*I9</f>
        <v>22.3713</v>
      </c>
      <c r="K9" s="45" cm="1">
        <f t="array" ref="K9">IF(J9=0,0,F9/J9)</f>
        <v>1011.161622257090</v>
      </c>
      <c r="L9" s="57">
        <v>2</v>
      </c>
      <c r="M9" t="s" s="43">
        <v>185</v>
      </c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>
        <v>10</v>
      </c>
      <c r="AC9" s="57">
        <v>20</v>
      </c>
      <c r="AD9" t="s" s="46">
        <v>131</v>
      </c>
    </row>
    <row r="10" ht="13.65" customHeight="1">
      <c r="A10" t="s" s="43">
        <v>129</v>
      </c>
      <c r="B10" t="s" s="43">
        <v>186</v>
      </c>
      <c r="C10" t="s" s="43">
        <v>187</v>
      </c>
      <c r="D10" s="56">
        <v>1</v>
      </c>
      <c r="E10" s="56" cm="1">
        <f t="array" ref="E10">ROUND('Towers'!$C$5*POWER('Tuning'!$B$12,D10),0)</f>
        <v>460</v>
      </c>
      <c r="F10" s="56" cm="1">
        <f t="array" ref="F10">'Towers'!$C$5+E10</f>
        <v>660</v>
      </c>
      <c r="G10" s="57">
        <v>1.35</v>
      </c>
      <c r="H10" s="57">
        <v>1.42</v>
      </c>
      <c r="I10" s="57">
        <v>1</v>
      </c>
      <c r="J10" s="45" cm="1">
        <f t="array" ref="J10">'Towers'!$G$5*G10*H10*I10</f>
        <v>5.751</v>
      </c>
      <c r="K10" s="45" cm="1">
        <f t="array" ref="K10">IF(J10=0,0,F10/J10)</f>
        <v>114.762649973918</v>
      </c>
      <c r="L10" s="57">
        <v>1</v>
      </c>
      <c r="M10" t="s" s="43">
        <v>188</v>
      </c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</row>
    <row r="11" ht="13.65" customHeight="1">
      <c r="A11" t="s" s="43">
        <v>129</v>
      </c>
      <c r="B11" t="s" s="43">
        <v>186</v>
      </c>
      <c r="C11" t="s" s="43">
        <v>187</v>
      </c>
      <c r="D11" s="56">
        <v>2</v>
      </c>
      <c r="E11" s="56" cm="1">
        <f t="array" ref="E11">ROUND('Towers'!$C$5*POWER('Tuning'!$B$12,D11),0)</f>
        <v>1058</v>
      </c>
      <c r="F11" s="56" cm="1">
        <f t="array" ref="F11">F10+E11</f>
        <v>1718</v>
      </c>
      <c r="G11" s="57">
        <v>1.82</v>
      </c>
      <c r="H11" s="57">
        <v>2.02</v>
      </c>
      <c r="I11" s="57">
        <v>1</v>
      </c>
      <c r="J11" s="45" cm="1">
        <f t="array" ref="J11">'Towers'!$G$5*G11*H11*I11</f>
        <v>11.0292</v>
      </c>
      <c r="K11" s="45" cm="1">
        <f t="array" ref="K11">IF(J11=0,0,F11/J11)</f>
        <v>155.768324085156</v>
      </c>
      <c r="L11" s="57">
        <v>1</v>
      </c>
      <c r="M11" t="s" s="43">
        <v>189</v>
      </c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</row>
    <row r="12" ht="13.65" customHeight="1">
      <c r="A12" t="s" s="43">
        <v>129</v>
      </c>
      <c r="B12" t="s" s="43">
        <v>186</v>
      </c>
      <c r="C12" t="s" s="43">
        <v>187</v>
      </c>
      <c r="D12" s="56">
        <v>3</v>
      </c>
      <c r="E12" s="56" cm="1">
        <f t="array" ref="E12">ROUND('Towers'!$C$5*POWER('Tuning'!$B$12,D12),0)</f>
        <v>2433</v>
      </c>
      <c r="F12" s="56" cm="1">
        <f t="array" ref="F12">F11+E12</f>
        <v>4151</v>
      </c>
      <c r="G12" s="57">
        <v>2.46</v>
      </c>
      <c r="H12" s="57">
        <v>2.86</v>
      </c>
      <c r="I12" s="57">
        <v>1</v>
      </c>
      <c r="J12" s="45" cm="1">
        <f t="array" ref="J12">'Towers'!$G$5*G12*H12*I12</f>
        <v>21.1068</v>
      </c>
      <c r="K12" s="45" cm="1">
        <f t="array" ref="K12">IF(J12=0,0,F12/J12)</f>
        <v>196.666477154282</v>
      </c>
      <c r="L12" s="57">
        <v>1</v>
      </c>
      <c r="M12" t="s" s="43">
        <v>190</v>
      </c>
      <c r="N12" s="57"/>
      <c r="O12" s="57"/>
      <c r="P12" s="57"/>
      <c r="Q12" s="57">
        <v>2</v>
      </c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</row>
    <row r="13" ht="13.65" customHeight="1">
      <c r="A13" t="s" s="43">
        <v>129</v>
      </c>
      <c r="B13" t="s" s="43">
        <v>186</v>
      </c>
      <c r="C13" t="s" s="43">
        <v>187</v>
      </c>
      <c r="D13" s="56">
        <v>4</v>
      </c>
      <c r="E13" s="56" cm="1">
        <f t="array" ref="E13">ROUND('Towers'!$C$5*POWER('Tuning'!$B$12,D13),0)</f>
        <v>5597</v>
      </c>
      <c r="F13" s="56" cm="1">
        <f t="array" ref="F13">F12+E13</f>
        <v>9748</v>
      </c>
      <c r="G13" s="57">
        <v>3.32</v>
      </c>
      <c r="H13" s="57">
        <v>4.07</v>
      </c>
      <c r="I13" s="57">
        <v>1</v>
      </c>
      <c r="J13" s="45" cm="1">
        <f t="array" ref="J13">'Towers'!$G$5*G13*H13*I13</f>
        <v>40.5372</v>
      </c>
      <c r="K13" s="45" cm="1">
        <f t="array" ref="K13">IF(J13=0,0,F13/J13)</f>
        <v>240.470481434337</v>
      </c>
      <c r="L13" s="57">
        <v>1</v>
      </c>
      <c r="M13" t="s" s="43">
        <v>191</v>
      </c>
      <c r="N13" s="57"/>
      <c r="O13" s="57"/>
      <c r="P13" s="57"/>
      <c r="Q13" s="57">
        <v>2</v>
      </c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</row>
    <row r="14" ht="13.65" customHeight="1">
      <c r="A14" t="s" s="43">
        <v>129</v>
      </c>
      <c r="B14" t="s" s="43">
        <v>186</v>
      </c>
      <c r="C14" t="s" s="43">
        <v>187</v>
      </c>
      <c r="D14" s="56">
        <v>5</v>
      </c>
      <c r="E14" s="56" cm="1">
        <f t="array" ref="E14">ROUND('Towers'!$C$5*POWER('Tuning'!$B$12,D14),0)</f>
        <v>12873</v>
      </c>
      <c r="F14" s="56" cm="1">
        <f t="array" ref="F14">F13+E14</f>
        <v>22621</v>
      </c>
      <c r="G14" s="57">
        <v>4.48</v>
      </c>
      <c r="H14" s="57">
        <v>5.77</v>
      </c>
      <c r="I14" s="57">
        <v>1</v>
      </c>
      <c r="J14" s="45" cm="1">
        <f t="array" ref="J14">'Towers'!$G$5*G14*H14*I14</f>
        <v>77.5488</v>
      </c>
      <c r="K14" s="45" cm="1">
        <f t="array" ref="K14">IF(J14=0,0,F14/J14)</f>
        <v>291.700193942395</v>
      </c>
      <c r="L14" s="57">
        <v>1</v>
      </c>
      <c r="M14" t="s" s="43">
        <v>192</v>
      </c>
      <c r="N14" s="57"/>
      <c r="O14" s="57"/>
      <c r="P14" s="57"/>
      <c r="Q14" s="57">
        <v>3</v>
      </c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</row>
    <row r="15" ht="13.65" customHeight="1">
      <c r="A15" t="s" s="43">
        <v>129</v>
      </c>
      <c r="B15" t="s" s="43">
        <v>193</v>
      </c>
      <c r="C15" t="s" s="43">
        <v>194</v>
      </c>
      <c r="D15" s="56">
        <v>1</v>
      </c>
      <c r="E15" s="56" cm="1">
        <f t="array" ref="E15">ROUND('Towers'!$C$5*POWER('Tuning'!$B$12,D15),0)</f>
        <v>460</v>
      </c>
      <c r="F15" s="56" cm="1">
        <f t="array" ref="F15">'Towers'!$C$5+E15</f>
        <v>660</v>
      </c>
      <c r="G15" s="57">
        <v>1.9</v>
      </c>
      <c r="H15" s="57">
        <v>1</v>
      </c>
      <c r="I15" s="57">
        <v>1</v>
      </c>
      <c r="J15" s="45" cm="1">
        <f t="array" ref="J15">'Towers'!$G$5*G15*H15*I15</f>
        <v>5.7</v>
      </c>
      <c r="K15" s="45" cm="1">
        <f t="array" ref="K15">IF(J15=0,0,F15/J15)</f>
        <v>115.789473684211</v>
      </c>
      <c r="L15" s="57">
        <v>1</v>
      </c>
      <c r="M15" t="s" s="43">
        <v>195</v>
      </c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</row>
    <row r="16" ht="13.65" customHeight="1">
      <c r="A16" t="s" s="43">
        <v>129</v>
      </c>
      <c r="B16" t="s" s="43">
        <v>193</v>
      </c>
      <c r="C16" t="s" s="43">
        <v>194</v>
      </c>
      <c r="D16" s="56">
        <v>2</v>
      </c>
      <c r="E16" s="56" cm="1">
        <f t="array" ref="E16">ROUND('Towers'!$C$5*POWER('Tuning'!$B$12,D16),0)</f>
        <v>1058</v>
      </c>
      <c r="F16" s="56" cm="1">
        <f t="array" ref="F16">F15+E16</f>
        <v>1718</v>
      </c>
      <c r="G16" s="57">
        <v>3.61</v>
      </c>
      <c r="H16" s="57">
        <v>1</v>
      </c>
      <c r="I16" s="57">
        <v>1</v>
      </c>
      <c r="J16" s="45" cm="1">
        <f t="array" ref="J16">'Towers'!$G$5*G16*H16*I16</f>
        <v>10.83</v>
      </c>
      <c r="K16" s="45" cm="1">
        <f t="array" ref="K16">IF(J16=0,0,F16/J16)</f>
        <v>158.633425669437</v>
      </c>
      <c r="L16" s="57">
        <v>1</v>
      </c>
      <c r="M16" t="s" s="43">
        <v>196</v>
      </c>
      <c r="N16" t="s" s="46">
        <v>131</v>
      </c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</row>
    <row r="17" ht="13.65" customHeight="1">
      <c r="A17" t="s" s="43">
        <v>129</v>
      </c>
      <c r="B17" t="s" s="43">
        <v>193</v>
      </c>
      <c r="C17" t="s" s="43">
        <v>194</v>
      </c>
      <c r="D17" s="56">
        <v>3</v>
      </c>
      <c r="E17" s="56" cm="1">
        <f t="array" ref="E17">ROUND('Towers'!$C$5*POWER('Tuning'!$B$12,D17),0)</f>
        <v>2433</v>
      </c>
      <c r="F17" s="56" cm="1">
        <f t="array" ref="F17">F16+E17</f>
        <v>4151</v>
      </c>
      <c r="G17" s="57">
        <v>6.86</v>
      </c>
      <c r="H17" s="57">
        <v>1</v>
      </c>
      <c r="I17" s="57">
        <v>1</v>
      </c>
      <c r="J17" s="45" cm="1">
        <f t="array" ref="J17">'Towers'!$G$5*G17*H17*I17</f>
        <v>20.58</v>
      </c>
      <c r="K17" s="45" cm="1">
        <f t="array" ref="K17">IF(J17=0,0,F17/J17)</f>
        <v>201.700680272109</v>
      </c>
      <c r="L17" s="57">
        <v>1</v>
      </c>
      <c r="M17" t="s" s="43">
        <v>197</v>
      </c>
      <c r="N17" t="s" s="46">
        <v>131</v>
      </c>
      <c r="O17" s="57">
        <v>2</v>
      </c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</row>
    <row r="18" ht="13.65" customHeight="1">
      <c r="A18" t="s" s="43">
        <v>129</v>
      </c>
      <c r="B18" t="s" s="43">
        <v>193</v>
      </c>
      <c r="C18" t="s" s="43">
        <v>194</v>
      </c>
      <c r="D18" s="56">
        <v>4</v>
      </c>
      <c r="E18" s="56" cm="1">
        <f t="array" ref="E18">ROUND('Towers'!$C$5*POWER('Tuning'!$B$12,D18),0)</f>
        <v>5597</v>
      </c>
      <c r="F18" s="56" cm="1">
        <f t="array" ref="F18">F17+E18</f>
        <v>9748</v>
      </c>
      <c r="G18" s="57">
        <v>13.03</v>
      </c>
      <c r="H18" s="57">
        <v>1</v>
      </c>
      <c r="I18" s="57">
        <v>1</v>
      </c>
      <c r="J18" s="45" cm="1">
        <f t="array" ref="J18">'Towers'!$G$5*G18*H18*I18</f>
        <v>39.09</v>
      </c>
      <c r="K18" s="45" cm="1">
        <f t="array" ref="K18">IF(J18=0,0,F18/J18)</f>
        <v>249.373241238168</v>
      </c>
      <c r="L18" s="57">
        <v>1</v>
      </c>
      <c r="M18" t="s" s="43">
        <v>198</v>
      </c>
      <c r="N18" t="s" s="46">
        <v>131</v>
      </c>
      <c r="O18" s="57">
        <v>2</v>
      </c>
      <c r="P18" s="57"/>
      <c r="Q18" s="57"/>
      <c r="R18" s="57">
        <v>3</v>
      </c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</row>
    <row r="19" ht="13.65" customHeight="1">
      <c r="A19" t="s" s="43">
        <v>129</v>
      </c>
      <c r="B19" t="s" s="43">
        <v>193</v>
      </c>
      <c r="C19" t="s" s="43">
        <v>194</v>
      </c>
      <c r="D19" s="56">
        <v>5</v>
      </c>
      <c r="E19" s="56" cm="1">
        <f t="array" ref="E19">ROUND('Towers'!$C$5*POWER('Tuning'!$B$12,D19),0)</f>
        <v>12873</v>
      </c>
      <c r="F19" s="56" cm="1">
        <f t="array" ref="F19">F18+E19</f>
        <v>22621</v>
      </c>
      <c r="G19" s="57">
        <v>24.76</v>
      </c>
      <c r="H19" s="57">
        <v>1</v>
      </c>
      <c r="I19" s="57">
        <v>1</v>
      </c>
      <c r="J19" s="45" cm="1">
        <f t="array" ref="J19">'Towers'!$G$5*G19*H19*I19</f>
        <v>74.28</v>
      </c>
      <c r="K19" s="45" cm="1">
        <f t="array" ref="K19">IF(J19=0,0,F19/J19)</f>
        <v>304.536887452881</v>
      </c>
      <c r="L19" s="57">
        <v>1</v>
      </c>
      <c r="M19" t="s" s="43">
        <v>199</v>
      </c>
      <c r="N19" t="s" s="46">
        <v>131</v>
      </c>
      <c r="O19" s="57">
        <v>4</v>
      </c>
      <c r="P19" s="57">
        <v>4</v>
      </c>
      <c r="Q19" s="57"/>
      <c r="R19" s="57">
        <v>3</v>
      </c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</row>
    <row r="20" ht="13.65" customHeight="1">
      <c r="A20" t="s" s="43">
        <v>133</v>
      </c>
      <c r="B20" t="s" s="43">
        <v>200</v>
      </c>
      <c r="C20" t="s" s="43">
        <v>201</v>
      </c>
      <c r="D20" s="56">
        <v>1</v>
      </c>
      <c r="E20" s="56" cm="1">
        <f t="array" ref="E20">ROUND('Towers'!$C$6*POWER('Tuning'!$B$12,D20),0)</f>
        <v>805</v>
      </c>
      <c r="F20" s="56" cm="1">
        <f t="array" ref="F20">'Towers'!$C$6+E20</f>
        <v>1155</v>
      </c>
      <c r="G20" s="57">
        <v>1.45</v>
      </c>
      <c r="H20" s="57">
        <v>1</v>
      </c>
      <c r="I20" s="57">
        <v>1.32</v>
      </c>
      <c r="J20" s="45" cm="1">
        <f t="array" ref="J20">'Towers'!$G$6*G20*H20*I20</f>
        <v>7.7517</v>
      </c>
      <c r="K20" s="45" cm="1">
        <f t="array" ref="K20">IF(J20=0,0,F20/J20)</f>
        <v>148.999574286931</v>
      </c>
      <c r="L20" s="57">
        <v>1</v>
      </c>
      <c r="M20" t="s" s="43">
        <v>202</v>
      </c>
      <c r="N20" s="57"/>
      <c r="O20" s="57"/>
      <c r="P20" s="57"/>
      <c r="Q20" s="57"/>
      <c r="R20" s="57">
        <v>2</v>
      </c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</row>
    <row r="21" ht="13.65" customHeight="1">
      <c r="A21" t="s" s="43">
        <v>133</v>
      </c>
      <c r="B21" t="s" s="43">
        <v>200</v>
      </c>
      <c r="C21" t="s" s="43">
        <v>201</v>
      </c>
      <c r="D21" s="56">
        <v>2</v>
      </c>
      <c r="E21" s="56" cm="1">
        <f t="array" ref="E21">ROUND('Towers'!$C$6*POWER('Tuning'!$B$12,D21),0)</f>
        <v>1852</v>
      </c>
      <c r="F21" s="56" cm="1">
        <f t="array" ref="F21">F20+E21</f>
        <v>3007</v>
      </c>
      <c r="G21" s="57">
        <v>2.1</v>
      </c>
      <c r="H21" s="57">
        <v>1</v>
      </c>
      <c r="I21" s="57">
        <v>1.74</v>
      </c>
      <c r="J21" s="45" cm="1">
        <f t="array" ref="J21">'Towers'!$G$6*G21*H21*I21</f>
        <v>14.7987</v>
      </c>
      <c r="K21" s="45" cm="1">
        <f t="array" ref="K21">IF(J21=0,0,F21/J21)</f>
        <v>203.193523755465</v>
      </c>
      <c r="L21" s="57">
        <v>1</v>
      </c>
      <c r="M21" t="s" s="43">
        <v>203</v>
      </c>
      <c r="N21" t="s" s="46">
        <v>131</v>
      </c>
      <c r="O21" s="57"/>
      <c r="P21" s="57"/>
      <c r="Q21" s="57"/>
      <c r="R21" s="57">
        <v>3</v>
      </c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</row>
    <row r="22" ht="13.65" customHeight="1">
      <c r="A22" t="s" s="43">
        <v>133</v>
      </c>
      <c r="B22" t="s" s="43">
        <v>200</v>
      </c>
      <c r="C22" t="s" s="43">
        <v>201</v>
      </c>
      <c r="D22" s="56">
        <v>3</v>
      </c>
      <c r="E22" s="56" cm="1">
        <f t="array" ref="E22">ROUND('Towers'!$C$6*POWER('Tuning'!$B$12,D22),0)</f>
        <v>4258</v>
      </c>
      <c r="F22" s="56" cm="1">
        <f t="array" ref="F22">F21+E22</f>
        <v>7265</v>
      </c>
      <c r="G22" s="57">
        <v>3.05</v>
      </c>
      <c r="H22" s="57">
        <v>1</v>
      </c>
      <c r="I22" s="57">
        <v>2.3</v>
      </c>
      <c r="J22" s="45" cm="1">
        <f t="array" ref="J22">'Towers'!$G$6*G22*H22*I22</f>
        <v>28.41075</v>
      </c>
      <c r="K22" s="45" cm="1">
        <f t="array" ref="K22">IF(J22=0,0,F22/J22)</f>
        <v>255.713066356925</v>
      </c>
      <c r="L22" s="57">
        <v>1</v>
      </c>
      <c r="M22" t="s" s="43">
        <v>204</v>
      </c>
      <c r="N22" t="s" s="46">
        <v>131</v>
      </c>
      <c r="O22" s="57"/>
      <c r="P22" s="57"/>
      <c r="Q22" s="57"/>
      <c r="R22" s="57">
        <v>4</v>
      </c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</row>
    <row r="23" ht="13.65" customHeight="1">
      <c r="A23" t="s" s="43">
        <v>133</v>
      </c>
      <c r="B23" t="s" s="43">
        <v>200</v>
      </c>
      <c r="C23" t="s" s="43">
        <v>201</v>
      </c>
      <c r="D23" s="56">
        <v>4</v>
      </c>
      <c r="E23" s="56" cm="1">
        <f t="array" ref="E23">ROUND('Towers'!$C$6*POWER('Tuning'!$B$12,D23),0)</f>
        <v>9794</v>
      </c>
      <c r="F23" s="56" cm="1">
        <f t="array" ref="F23">F22+E23</f>
        <v>17059</v>
      </c>
      <c r="G23" s="57">
        <v>4.42</v>
      </c>
      <c r="H23" s="57">
        <v>1</v>
      </c>
      <c r="I23" s="57">
        <v>3.04</v>
      </c>
      <c r="J23" s="45" cm="1">
        <f t="array" ref="J23">'Towers'!$G$6*G23*H23*I23</f>
        <v>54.41904</v>
      </c>
      <c r="K23" s="45" cm="1">
        <f t="array" ref="K23">IF(J23=0,0,F23/J23)</f>
        <v>313.474842628609</v>
      </c>
      <c r="L23" s="57">
        <v>1</v>
      </c>
      <c r="M23" t="s" s="43">
        <v>205</v>
      </c>
      <c r="N23" t="s" s="46">
        <v>131</v>
      </c>
      <c r="O23" s="57"/>
      <c r="P23" s="57"/>
      <c r="Q23" s="57"/>
      <c r="R23" s="57">
        <v>6</v>
      </c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</row>
    <row r="24" ht="13.65" customHeight="1">
      <c r="A24" t="s" s="43">
        <v>133</v>
      </c>
      <c r="B24" t="s" s="43">
        <v>200</v>
      </c>
      <c r="C24" t="s" s="43">
        <v>201</v>
      </c>
      <c r="D24" s="56">
        <v>5</v>
      </c>
      <c r="E24" s="56" cm="1">
        <f t="array" ref="E24">ROUND('Towers'!$C$6*POWER('Tuning'!$B$12,D24),0)</f>
        <v>22527</v>
      </c>
      <c r="F24" s="56" cm="1">
        <f t="array" ref="F24">F23+E24</f>
        <v>39586</v>
      </c>
      <c r="G24" s="57">
        <v>6.41</v>
      </c>
      <c r="H24" s="57">
        <v>1</v>
      </c>
      <c r="I24" s="57">
        <v>4.01</v>
      </c>
      <c r="J24" s="45" cm="1">
        <f t="array" ref="J24">'Towers'!$G$6*G24*H24*I24</f>
        <v>104.101605</v>
      </c>
      <c r="K24" s="45" cm="1">
        <f t="array" ref="K24">IF(J24=0,0,F24/J24)</f>
        <v>380.263109295961</v>
      </c>
      <c r="L24" s="57">
        <v>1</v>
      </c>
      <c r="M24" t="s" s="43">
        <v>206</v>
      </c>
      <c r="N24" t="s" s="46">
        <v>131</v>
      </c>
      <c r="O24" s="57"/>
      <c r="P24" s="57"/>
      <c r="Q24" s="57"/>
      <c r="R24" s="57">
        <v>10</v>
      </c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</row>
    <row r="25" ht="13.65" customHeight="1">
      <c r="A25" t="s" s="43">
        <v>133</v>
      </c>
      <c r="B25" t="s" s="43">
        <v>207</v>
      </c>
      <c r="C25" t="s" s="43">
        <v>187</v>
      </c>
      <c r="D25" s="56">
        <v>1</v>
      </c>
      <c r="E25" s="56" cm="1">
        <f t="array" ref="E25">ROUND('Towers'!$C$6*POWER('Tuning'!$B$12,D25),0)</f>
        <v>805</v>
      </c>
      <c r="F25" s="56" cm="1">
        <f t="array" ref="F25">'Towers'!$C$6+E25</f>
        <v>1155</v>
      </c>
      <c r="G25" s="57">
        <v>1.35</v>
      </c>
      <c r="H25" s="57">
        <v>1.42</v>
      </c>
      <c r="I25" s="57">
        <v>1</v>
      </c>
      <c r="J25" s="45" cm="1">
        <f t="array" ref="J25">'Towers'!$G$6*G25*H25*I25</f>
        <v>7.76385</v>
      </c>
      <c r="K25" s="45" cm="1">
        <f t="array" ref="K25">IF(J25=0,0,F25/J25)</f>
        <v>148.766398114338</v>
      </c>
      <c r="L25" s="57">
        <v>1</v>
      </c>
      <c r="M25" t="s" s="43">
        <v>208</v>
      </c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</row>
    <row r="26" ht="13.65" customHeight="1">
      <c r="A26" t="s" s="43">
        <v>133</v>
      </c>
      <c r="B26" t="s" s="43">
        <v>207</v>
      </c>
      <c r="C26" t="s" s="43">
        <v>187</v>
      </c>
      <c r="D26" s="56">
        <v>2</v>
      </c>
      <c r="E26" s="56" cm="1">
        <f t="array" ref="E26">ROUND('Towers'!$C$6*POWER('Tuning'!$B$12,D26),0)</f>
        <v>1852</v>
      </c>
      <c r="F26" s="56" cm="1">
        <f t="array" ref="F26">F25+E26</f>
        <v>3007</v>
      </c>
      <c r="G26" s="57">
        <v>1.82</v>
      </c>
      <c r="H26" s="57">
        <v>2.02</v>
      </c>
      <c r="I26" s="57">
        <v>1</v>
      </c>
      <c r="J26" s="45" cm="1">
        <f t="array" ref="J26">'Towers'!$G$6*G26*H26*I26</f>
        <v>14.88942</v>
      </c>
      <c r="K26" s="45" cm="1">
        <f t="array" ref="K26">IF(J26=0,0,F26/J26)</f>
        <v>201.955482483535</v>
      </c>
      <c r="L26" s="57">
        <v>1</v>
      </c>
      <c r="M26" t="s" s="43">
        <v>209</v>
      </c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</row>
    <row r="27" ht="13.65" customHeight="1">
      <c r="A27" t="s" s="43">
        <v>133</v>
      </c>
      <c r="B27" t="s" s="43">
        <v>207</v>
      </c>
      <c r="C27" t="s" s="43">
        <v>187</v>
      </c>
      <c r="D27" s="56">
        <v>3</v>
      </c>
      <c r="E27" s="56" cm="1">
        <f t="array" ref="E27">ROUND('Towers'!$C$6*POWER('Tuning'!$B$12,D27),0)</f>
        <v>4258</v>
      </c>
      <c r="F27" s="56" cm="1">
        <f t="array" ref="F27">F26+E27</f>
        <v>7265</v>
      </c>
      <c r="G27" s="57">
        <v>2.46</v>
      </c>
      <c r="H27" s="57">
        <v>2.86</v>
      </c>
      <c r="I27" s="57">
        <v>1</v>
      </c>
      <c r="J27" s="45" cm="1">
        <f t="array" ref="J27">'Towers'!$G$6*G27*H27*I27</f>
        <v>28.49418</v>
      </c>
      <c r="K27" s="45" cm="1">
        <f t="array" ref="K27">IF(J27=0,0,F27/J27)</f>
        <v>254.964347105269</v>
      </c>
      <c r="L27" s="57">
        <v>1</v>
      </c>
      <c r="M27" t="s" s="43">
        <v>210</v>
      </c>
      <c r="N27" s="57"/>
      <c r="O27" s="57"/>
      <c r="P27" s="57"/>
      <c r="Q27" s="57"/>
      <c r="R27" s="57"/>
      <c r="S27" s="57"/>
      <c r="T27" s="57">
        <v>25</v>
      </c>
      <c r="U27" s="57"/>
      <c r="V27" s="57"/>
      <c r="W27" s="57"/>
      <c r="X27" s="57"/>
      <c r="Y27" s="57"/>
      <c r="Z27" s="57"/>
      <c r="AA27" s="57"/>
      <c r="AB27" s="57"/>
      <c r="AC27" s="57"/>
      <c r="AD27" s="57"/>
    </row>
    <row r="28" ht="13.65" customHeight="1">
      <c r="A28" t="s" s="43">
        <v>133</v>
      </c>
      <c r="B28" t="s" s="43">
        <v>207</v>
      </c>
      <c r="C28" t="s" s="43">
        <v>187</v>
      </c>
      <c r="D28" s="56">
        <v>4</v>
      </c>
      <c r="E28" s="56" cm="1">
        <f t="array" ref="E28">ROUND('Towers'!$C$6*POWER('Tuning'!$B$12,D28),0)</f>
        <v>9794</v>
      </c>
      <c r="F28" s="56" cm="1">
        <f t="array" ref="F28">F27+E28</f>
        <v>17059</v>
      </c>
      <c r="G28" s="57">
        <v>3.32</v>
      </c>
      <c r="H28" s="57">
        <v>4.07</v>
      </c>
      <c r="I28" s="57">
        <v>1</v>
      </c>
      <c r="J28" s="45" cm="1">
        <f t="array" ref="J28">'Towers'!$G$6*G28*H28*I28</f>
        <v>54.72522</v>
      </c>
      <c r="K28" s="45" cm="1">
        <f t="array" ref="K28">IF(J28=0,0,F28/J28)</f>
        <v>311.720994451918</v>
      </c>
      <c r="L28" s="57">
        <v>1</v>
      </c>
      <c r="M28" t="s" s="43">
        <v>211</v>
      </c>
      <c r="N28" s="57"/>
      <c r="O28" s="57"/>
      <c r="P28" s="57"/>
      <c r="Q28" s="57"/>
      <c r="R28" s="57"/>
      <c r="S28" s="57"/>
      <c r="T28" s="57">
        <v>35</v>
      </c>
      <c r="U28" s="57"/>
      <c r="V28" s="57"/>
      <c r="W28" s="57"/>
      <c r="X28" s="57"/>
      <c r="Y28" s="57"/>
      <c r="Z28" s="57"/>
      <c r="AA28" s="57"/>
      <c r="AB28" s="57"/>
      <c r="AC28" s="57"/>
      <c r="AD28" s="57"/>
    </row>
    <row r="29" ht="13.65" customHeight="1">
      <c r="A29" t="s" s="43">
        <v>133</v>
      </c>
      <c r="B29" t="s" s="43">
        <v>207</v>
      </c>
      <c r="C29" t="s" s="43">
        <v>187</v>
      </c>
      <c r="D29" s="56">
        <v>5</v>
      </c>
      <c r="E29" s="56" cm="1">
        <f t="array" ref="E29">ROUND('Towers'!$C$6*POWER('Tuning'!$B$12,D29),0)</f>
        <v>22527</v>
      </c>
      <c r="F29" s="56" cm="1">
        <f t="array" ref="F29">F28+E29</f>
        <v>39586</v>
      </c>
      <c r="G29" s="57">
        <v>4.48</v>
      </c>
      <c r="H29" s="57">
        <v>5.77</v>
      </c>
      <c r="I29" s="57">
        <v>1</v>
      </c>
      <c r="J29" s="45" cm="1">
        <f t="array" ref="J29">'Towers'!$G$6*G29*H29*I29</f>
        <v>104.69088</v>
      </c>
      <c r="K29" s="45" cm="1">
        <f t="array" ref="K29">IF(J29=0,0,F29/J29)</f>
        <v>378.122717088633</v>
      </c>
      <c r="L29" s="57">
        <v>1</v>
      </c>
      <c r="M29" t="s" s="43">
        <v>212</v>
      </c>
      <c r="N29" s="57"/>
      <c r="O29" s="57"/>
      <c r="P29" s="57"/>
      <c r="Q29" s="57"/>
      <c r="R29" s="57"/>
      <c r="S29" s="57"/>
      <c r="T29" s="57">
        <v>60</v>
      </c>
      <c r="U29" s="57"/>
      <c r="V29" s="57"/>
      <c r="W29" s="57"/>
      <c r="X29" s="57"/>
      <c r="Y29" s="57"/>
      <c r="Z29" s="57"/>
      <c r="AA29" s="57"/>
      <c r="AB29" s="57">
        <v>15</v>
      </c>
      <c r="AC29" s="57"/>
      <c r="AD29" s="57"/>
    </row>
    <row r="30" ht="13.65" customHeight="1">
      <c r="A30" t="s" s="43">
        <v>133</v>
      </c>
      <c r="B30" t="s" s="43">
        <v>213</v>
      </c>
      <c r="C30" t="s" s="43">
        <v>194</v>
      </c>
      <c r="D30" s="56">
        <v>1</v>
      </c>
      <c r="E30" s="56" cm="1">
        <f t="array" ref="E30">ROUND('Towers'!$C$6*POWER('Tuning'!$B$12,D30),0)</f>
        <v>805</v>
      </c>
      <c r="F30" s="56" cm="1">
        <f t="array" ref="F30">'Towers'!$C$6+E30</f>
        <v>1155</v>
      </c>
      <c r="G30" s="57">
        <v>1.9</v>
      </c>
      <c r="H30" s="57">
        <v>1</v>
      </c>
      <c r="I30" s="57">
        <v>1</v>
      </c>
      <c r="J30" s="45" cm="1">
        <f t="array" ref="J30">'Towers'!$G$6*G30*H30*I30</f>
        <v>7.695</v>
      </c>
      <c r="K30" s="45" cm="1">
        <f t="array" ref="K30">IF(J30=0,0,F30/J30)</f>
        <v>150.097465886940</v>
      </c>
      <c r="L30" s="57">
        <v>1</v>
      </c>
      <c r="M30" t="s" s="43">
        <v>214</v>
      </c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</row>
    <row r="31" ht="13.65" customHeight="1">
      <c r="A31" t="s" s="43">
        <v>133</v>
      </c>
      <c r="B31" t="s" s="43">
        <v>213</v>
      </c>
      <c r="C31" t="s" s="43">
        <v>194</v>
      </c>
      <c r="D31" s="56">
        <v>2</v>
      </c>
      <c r="E31" s="56" cm="1">
        <f t="array" ref="E31">ROUND('Towers'!$C$6*POWER('Tuning'!$B$12,D31),0)</f>
        <v>1852</v>
      </c>
      <c r="F31" s="56" cm="1">
        <f t="array" ref="F31">F30+E31</f>
        <v>3007</v>
      </c>
      <c r="G31" s="57">
        <v>3.61</v>
      </c>
      <c r="H31" s="57">
        <v>1</v>
      </c>
      <c r="I31" s="57">
        <v>1</v>
      </c>
      <c r="J31" s="45" cm="1">
        <f t="array" ref="J31">'Towers'!$G$6*G31*H31*I31</f>
        <v>14.6205</v>
      </c>
      <c r="K31" s="45" cm="1">
        <f t="array" ref="K31">IF(J31=0,0,F31/J31)</f>
        <v>205.670120720906</v>
      </c>
      <c r="L31" s="57">
        <v>1</v>
      </c>
      <c r="M31" t="s" s="43">
        <v>215</v>
      </c>
      <c r="N31" s="57"/>
      <c r="O31" s="57"/>
      <c r="P31" s="57">
        <v>3</v>
      </c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</row>
    <row r="32" ht="13.65" customHeight="1">
      <c r="A32" t="s" s="43">
        <v>133</v>
      </c>
      <c r="B32" t="s" s="43">
        <v>213</v>
      </c>
      <c r="C32" t="s" s="43">
        <v>194</v>
      </c>
      <c r="D32" s="56">
        <v>3</v>
      </c>
      <c r="E32" s="56" cm="1">
        <f t="array" ref="E32">ROUND('Towers'!$C$6*POWER('Tuning'!$B$12,D32),0)</f>
        <v>4258</v>
      </c>
      <c r="F32" s="56" cm="1">
        <f t="array" ref="F32">F31+E32</f>
        <v>7265</v>
      </c>
      <c r="G32" s="57">
        <v>6.86</v>
      </c>
      <c r="H32" s="57">
        <v>1</v>
      </c>
      <c r="I32" s="57">
        <v>1</v>
      </c>
      <c r="J32" s="45" cm="1">
        <f t="array" ref="J32">'Towers'!$G$6*G32*H32*I32</f>
        <v>27.783</v>
      </c>
      <c r="K32" s="45" cm="1">
        <f t="array" ref="K32">IF(J32=0,0,F32/J32)</f>
        <v>261.490839722132</v>
      </c>
      <c r="L32" s="57">
        <v>1</v>
      </c>
      <c r="M32" t="s" s="43">
        <v>216</v>
      </c>
      <c r="N32" s="57"/>
      <c r="O32" s="57"/>
      <c r="P32" s="57">
        <v>3</v>
      </c>
      <c r="Q32" s="57"/>
      <c r="R32" s="57"/>
      <c r="S32" s="57"/>
      <c r="T32" s="57"/>
      <c r="U32" s="57">
        <v>0.4</v>
      </c>
      <c r="V32" s="57"/>
      <c r="W32" s="57"/>
      <c r="X32" s="57"/>
      <c r="Y32" s="57"/>
      <c r="Z32" s="57"/>
      <c r="AA32" s="57"/>
      <c r="AB32" s="57"/>
      <c r="AC32" s="57"/>
      <c r="AD32" s="57"/>
    </row>
    <row r="33" ht="13.65" customHeight="1">
      <c r="A33" t="s" s="43">
        <v>133</v>
      </c>
      <c r="B33" t="s" s="43">
        <v>213</v>
      </c>
      <c r="C33" t="s" s="43">
        <v>194</v>
      </c>
      <c r="D33" s="56">
        <v>4</v>
      </c>
      <c r="E33" s="56" cm="1">
        <f t="array" ref="E33">ROUND('Towers'!$C$6*POWER('Tuning'!$B$12,D33),0)</f>
        <v>9794</v>
      </c>
      <c r="F33" s="56" cm="1">
        <f t="array" ref="F33">F32+E33</f>
        <v>17059</v>
      </c>
      <c r="G33" s="57">
        <v>13.03</v>
      </c>
      <c r="H33" s="57">
        <v>1</v>
      </c>
      <c r="I33" s="57">
        <v>1</v>
      </c>
      <c r="J33" s="45" cm="1">
        <f t="array" ref="J33">'Towers'!$G$6*G33*H33*I33</f>
        <v>52.7715</v>
      </c>
      <c r="K33" s="45" cm="1">
        <f t="array" ref="K33">IF(J33=0,0,F33/J33)</f>
        <v>323.261609012440</v>
      </c>
      <c r="L33" s="57">
        <v>1</v>
      </c>
      <c r="M33" t="s" s="43">
        <v>217</v>
      </c>
      <c r="N33" s="57"/>
      <c r="O33" s="57"/>
      <c r="P33" s="57">
        <v>5</v>
      </c>
      <c r="Q33" s="57"/>
      <c r="R33" s="57"/>
      <c r="S33" s="57"/>
      <c r="T33" s="57"/>
      <c r="U33" s="57">
        <v>0.5</v>
      </c>
      <c r="V33" s="57"/>
      <c r="W33" s="57"/>
      <c r="X33" s="57"/>
      <c r="Y33" s="57"/>
      <c r="Z33" s="57"/>
      <c r="AA33" s="57"/>
      <c r="AB33" s="57"/>
      <c r="AC33" s="57"/>
      <c r="AD33" s="57"/>
    </row>
    <row r="34" ht="13.65" customHeight="1">
      <c r="A34" t="s" s="43">
        <v>133</v>
      </c>
      <c r="B34" t="s" s="43">
        <v>213</v>
      </c>
      <c r="C34" t="s" s="43">
        <v>194</v>
      </c>
      <c r="D34" s="56">
        <v>5</v>
      </c>
      <c r="E34" s="56" cm="1">
        <f t="array" ref="E34">ROUND('Towers'!$C$6*POWER('Tuning'!$B$12,D34),0)</f>
        <v>22527</v>
      </c>
      <c r="F34" s="56" cm="1">
        <f t="array" ref="F34">F33+E34</f>
        <v>39586</v>
      </c>
      <c r="G34" s="57">
        <v>24.76</v>
      </c>
      <c r="H34" s="57">
        <v>1</v>
      </c>
      <c r="I34" s="57">
        <v>1</v>
      </c>
      <c r="J34" s="45" cm="1">
        <f t="array" ref="J34">'Towers'!$G$6*G34*H34*I34</f>
        <v>100.278</v>
      </c>
      <c r="K34" s="45" cm="1">
        <f t="array" ref="K34">IF(J34=0,0,F34/J34)</f>
        <v>394.762560082969</v>
      </c>
      <c r="L34" s="57">
        <v>1</v>
      </c>
      <c r="M34" t="s" s="43">
        <v>218</v>
      </c>
      <c r="N34" s="57"/>
      <c r="O34" s="57"/>
      <c r="P34" s="57">
        <v>10</v>
      </c>
      <c r="Q34" s="57"/>
      <c r="R34" s="57"/>
      <c r="S34" s="57"/>
      <c r="T34" s="57"/>
      <c r="U34" s="57">
        <v>0.8</v>
      </c>
      <c r="V34" t="s" s="46">
        <v>131</v>
      </c>
      <c r="W34" s="57"/>
      <c r="X34" s="57"/>
      <c r="Y34" s="57"/>
      <c r="Z34" s="57"/>
      <c r="AA34" s="57"/>
      <c r="AB34" s="57"/>
      <c r="AC34" s="57"/>
      <c r="AD34" s="57"/>
    </row>
    <row r="35" ht="13.65" customHeight="1">
      <c r="A35" t="s" s="43">
        <v>136</v>
      </c>
      <c r="B35" t="s" s="43">
        <v>219</v>
      </c>
      <c r="C35" t="s" s="43">
        <v>201</v>
      </c>
      <c r="D35" s="56">
        <v>1</v>
      </c>
      <c r="E35" s="56" cm="1">
        <f t="array" ref="E35">ROUND('Towers'!$C$7*POWER('Tuning'!$B$12,D35),0)</f>
        <v>1265</v>
      </c>
      <c r="F35" s="56" cm="1">
        <f t="array" ref="F35">'Towers'!$C$7+E35</f>
        <v>1815</v>
      </c>
      <c r="G35" s="57">
        <v>1.45</v>
      </c>
      <c r="H35" s="57">
        <v>1</v>
      </c>
      <c r="I35" s="57">
        <v>1.32</v>
      </c>
      <c r="J35" s="45" cm="1">
        <f t="array" ref="J35">'Towers'!$G$7*G35*H35*I35</f>
        <v>28.71</v>
      </c>
      <c r="K35" s="45" cm="1">
        <f t="array" ref="K35">IF(J35=0,0,F35/J35)</f>
        <v>63.2183908045977</v>
      </c>
      <c r="L35" s="57">
        <v>1</v>
      </c>
      <c r="M35" t="s" s="43">
        <v>220</v>
      </c>
      <c r="N35" s="57"/>
      <c r="O35" s="57"/>
      <c r="P35" s="57"/>
      <c r="Q35" s="57"/>
      <c r="R35" s="57"/>
      <c r="S35" s="57">
        <v>1.25</v>
      </c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</row>
    <row r="36" ht="13.65" customHeight="1">
      <c r="A36" t="s" s="43">
        <v>136</v>
      </c>
      <c r="B36" t="s" s="43">
        <v>219</v>
      </c>
      <c r="C36" t="s" s="43">
        <v>201</v>
      </c>
      <c r="D36" s="56">
        <v>2</v>
      </c>
      <c r="E36" s="56" cm="1">
        <f t="array" ref="E36">ROUND('Towers'!$C$7*POWER('Tuning'!$B$12,D36),0)</f>
        <v>2910</v>
      </c>
      <c r="F36" s="56" cm="1">
        <f t="array" ref="F36">F35+E36</f>
        <v>4725</v>
      </c>
      <c r="G36" s="57">
        <v>2.1</v>
      </c>
      <c r="H36" s="57">
        <v>1</v>
      </c>
      <c r="I36" s="57">
        <v>1.74</v>
      </c>
      <c r="J36" s="45" cm="1">
        <f t="array" ref="J36">'Towers'!$G$7*G36*H36*I36</f>
        <v>54.81</v>
      </c>
      <c r="K36" s="45" cm="1">
        <f t="array" ref="K36">IF(J36=0,0,F36/J36)</f>
        <v>86.2068965517241</v>
      </c>
      <c r="L36" s="57">
        <v>1</v>
      </c>
      <c r="M36" t="s" s="43">
        <v>221</v>
      </c>
      <c r="N36" s="57"/>
      <c r="O36" s="57"/>
      <c r="P36" s="57"/>
      <c r="Q36" s="57"/>
      <c r="R36" s="57"/>
      <c r="S36" s="57">
        <v>1.4</v>
      </c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</row>
    <row r="37" ht="13.65" customHeight="1">
      <c r="A37" t="s" s="43">
        <v>136</v>
      </c>
      <c r="B37" t="s" s="43">
        <v>219</v>
      </c>
      <c r="C37" t="s" s="43">
        <v>201</v>
      </c>
      <c r="D37" s="56">
        <v>3</v>
      </c>
      <c r="E37" s="56" cm="1">
        <f t="array" ref="E37">ROUND('Towers'!$C$7*POWER('Tuning'!$B$12,D37),0)</f>
        <v>6692</v>
      </c>
      <c r="F37" s="56" cm="1">
        <f t="array" ref="F37">F36+E37</f>
        <v>11417</v>
      </c>
      <c r="G37" s="57">
        <v>3.05</v>
      </c>
      <c r="H37" s="57">
        <v>1</v>
      </c>
      <c r="I37" s="57">
        <v>2.3</v>
      </c>
      <c r="J37" s="45" cm="1">
        <f t="array" ref="J37">'Towers'!$G$7*G37*H37*I37</f>
        <v>105.225</v>
      </c>
      <c r="K37" s="45" cm="1">
        <f t="array" ref="K37">IF(J37=0,0,F37/J37)</f>
        <v>108.500831551437</v>
      </c>
      <c r="L37" s="57">
        <v>1</v>
      </c>
      <c r="M37" t="s" s="43">
        <v>222</v>
      </c>
      <c r="N37" s="57"/>
      <c r="O37" s="57"/>
      <c r="P37" s="57"/>
      <c r="Q37" s="57"/>
      <c r="R37" s="57"/>
      <c r="S37" s="57">
        <v>1.5</v>
      </c>
      <c r="T37" s="57"/>
      <c r="U37" s="57"/>
      <c r="V37" s="57"/>
      <c r="W37" s="57"/>
      <c r="X37" s="57">
        <v>1</v>
      </c>
      <c r="Y37" s="57">
        <v>3</v>
      </c>
      <c r="Z37" s="57"/>
      <c r="AA37" s="57"/>
      <c r="AB37" s="57"/>
      <c r="AC37" s="57"/>
      <c r="AD37" s="57"/>
    </row>
    <row r="38" ht="13.65" customHeight="1">
      <c r="A38" t="s" s="43">
        <v>136</v>
      </c>
      <c r="B38" t="s" s="43">
        <v>219</v>
      </c>
      <c r="C38" t="s" s="43">
        <v>201</v>
      </c>
      <c r="D38" s="56">
        <v>4</v>
      </c>
      <c r="E38" s="56" cm="1">
        <f t="array" ref="E38">ROUND('Towers'!$C$7*POWER('Tuning'!$B$12,D38),0)</f>
        <v>15391</v>
      </c>
      <c r="F38" s="56" cm="1">
        <f t="array" ref="F38">F37+E38</f>
        <v>26808</v>
      </c>
      <c r="G38" s="57">
        <v>4.42</v>
      </c>
      <c r="H38" s="57">
        <v>1</v>
      </c>
      <c r="I38" s="57">
        <v>3.04</v>
      </c>
      <c r="J38" s="45" cm="1">
        <f t="array" ref="J38">'Towers'!$G$7*G38*H38*I38</f>
        <v>201.552</v>
      </c>
      <c r="K38" s="45" cm="1">
        <f t="array" ref="K38">IF(J38=0,0,F38/J38)</f>
        <v>133.007859014051</v>
      </c>
      <c r="L38" s="57">
        <v>1</v>
      </c>
      <c r="M38" t="s" s="43">
        <v>223</v>
      </c>
      <c r="N38" s="57"/>
      <c r="O38" s="57"/>
      <c r="P38" s="57"/>
      <c r="Q38" s="57"/>
      <c r="R38" s="57"/>
      <c r="S38" s="57">
        <v>1.6</v>
      </c>
      <c r="T38" s="57"/>
      <c r="U38" s="57"/>
      <c r="V38" s="57"/>
      <c r="W38" s="57"/>
      <c r="X38" s="57">
        <v>2</v>
      </c>
      <c r="Y38" s="57">
        <v>4</v>
      </c>
      <c r="Z38" s="57"/>
      <c r="AA38" s="57"/>
      <c r="AB38" s="57"/>
      <c r="AC38" s="57"/>
      <c r="AD38" s="57"/>
    </row>
    <row r="39" ht="13.65" customHeight="1">
      <c r="A39" t="s" s="43">
        <v>136</v>
      </c>
      <c r="B39" t="s" s="43">
        <v>219</v>
      </c>
      <c r="C39" t="s" s="43">
        <v>201</v>
      </c>
      <c r="D39" s="56">
        <v>5</v>
      </c>
      <c r="E39" s="56" cm="1">
        <f t="array" ref="E39">ROUND('Towers'!$C$7*POWER('Tuning'!$B$12,D39),0)</f>
        <v>35400</v>
      </c>
      <c r="F39" s="56" cm="1">
        <f t="array" ref="F39">F38+E39</f>
        <v>62208</v>
      </c>
      <c r="G39" s="57">
        <v>6.41</v>
      </c>
      <c r="H39" s="57">
        <v>1</v>
      </c>
      <c r="I39" s="57">
        <v>4.01</v>
      </c>
      <c r="J39" s="45" cm="1">
        <f t="array" ref="J39">'Towers'!$G$7*G39*H39*I39</f>
        <v>385.5615</v>
      </c>
      <c r="K39" s="45" cm="1">
        <f t="array" ref="K39">IF(J39=0,0,F39/J39)</f>
        <v>161.343910115507</v>
      </c>
      <c r="L39" s="57">
        <v>1</v>
      </c>
      <c r="M39" t="s" s="43">
        <v>224</v>
      </c>
      <c r="N39" s="57"/>
      <c r="O39" s="57"/>
      <c r="P39" s="57"/>
      <c r="Q39" s="57"/>
      <c r="R39" s="57"/>
      <c r="S39" s="57">
        <v>1.8</v>
      </c>
      <c r="T39" s="57"/>
      <c r="U39" s="57"/>
      <c r="V39" s="57"/>
      <c r="W39" s="57"/>
      <c r="X39" s="57">
        <v>4</v>
      </c>
      <c r="Y39" s="57">
        <v>6</v>
      </c>
      <c r="Z39" s="57"/>
      <c r="AA39" s="57"/>
      <c r="AB39" s="57"/>
      <c r="AC39" s="57"/>
      <c r="AD39" s="57"/>
    </row>
    <row r="40" ht="13.65" customHeight="1">
      <c r="A40" t="s" s="43">
        <v>136</v>
      </c>
      <c r="B40" t="s" s="43">
        <v>225</v>
      </c>
      <c r="C40" t="s" s="43">
        <v>201</v>
      </c>
      <c r="D40" s="56">
        <v>1</v>
      </c>
      <c r="E40" s="56" cm="1">
        <f t="array" ref="E40">ROUND('Towers'!$C$7*POWER('Tuning'!$B$12,D40),0)</f>
        <v>1265</v>
      </c>
      <c r="F40" s="56" cm="1">
        <f t="array" ref="F40">'Towers'!$C$7+E40</f>
        <v>1815</v>
      </c>
      <c r="G40" s="57">
        <v>1.45</v>
      </c>
      <c r="H40" s="57">
        <v>1</v>
      </c>
      <c r="I40" s="57">
        <v>1.32</v>
      </c>
      <c r="J40" s="45" cm="1">
        <f t="array" ref="J40">'Towers'!$G$7*G40*H40*I40</f>
        <v>28.71</v>
      </c>
      <c r="K40" s="45" cm="1">
        <f t="array" ref="K40">IF(J40=0,0,F40/J40)</f>
        <v>63.2183908045977</v>
      </c>
      <c r="L40" s="57">
        <v>1</v>
      </c>
      <c r="M40" t="s" s="43">
        <v>226</v>
      </c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>
        <v>3</v>
      </c>
      <c r="AA40" s="57">
        <v>1</v>
      </c>
      <c r="AB40" s="57"/>
      <c r="AC40" s="57"/>
      <c r="AD40" s="57"/>
    </row>
    <row r="41" ht="13.65" customHeight="1">
      <c r="A41" t="s" s="43">
        <v>136</v>
      </c>
      <c r="B41" t="s" s="43">
        <v>225</v>
      </c>
      <c r="C41" t="s" s="43">
        <v>201</v>
      </c>
      <c r="D41" s="56">
        <v>2</v>
      </c>
      <c r="E41" s="56" cm="1">
        <f t="array" ref="E41">ROUND('Towers'!$C$7*POWER('Tuning'!$B$12,D41),0)</f>
        <v>2910</v>
      </c>
      <c r="F41" s="56" cm="1">
        <f t="array" ref="F41">F40+E41</f>
        <v>4725</v>
      </c>
      <c r="G41" s="57">
        <v>2.1</v>
      </c>
      <c r="H41" s="57">
        <v>1</v>
      </c>
      <c r="I41" s="57">
        <v>1.74</v>
      </c>
      <c r="J41" s="45" cm="1">
        <f t="array" ref="J41">'Towers'!$G$7*G41*H41*I41</f>
        <v>54.81</v>
      </c>
      <c r="K41" s="45" cm="1">
        <f t="array" ref="K41">IF(J41=0,0,F41/J41)</f>
        <v>86.2068965517241</v>
      </c>
      <c r="L41" s="57">
        <v>1</v>
      </c>
      <c r="M41" t="s" s="43">
        <v>227</v>
      </c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>
        <v>3</v>
      </c>
      <c r="AA41" s="57">
        <v>1</v>
      </c>
      <c r="AB41" s="57"/>
      <c r="AC41" s="57"/>
      <c r="AD41" s="57"/>
    </row>
    <row r="42" ht="13.65" customHeight="1">
      <c r="A42" t="s" s="43">
        <v>136</v>
      </c>
      <c r="B42" t="s" s="43">
        <v>225</v>
      </c>
      <c r="C42" t="s" s="43">
        <v>201</v>
      </c>
      <c r="D42" s="56">
        <v>3</v>
      </c>
      <c r="E42" s="56" cm="1">
        <f t="array" ref="E42">ROUND('Towers'!$C$7*POWER('Tuning'!$B$12,D42),0)</f>
        <v>6692</v>
      </c>
      <c r="F42" s="56" cm="1">
        <f t="array" ref="F42">F41+E42</f>
        <v>11417</v>
      </c>
      <c r="G42" s="57">
        <v>3.05</v>
      </c>
      <c r="H42" s="57">
        <v>1</v>
      </c>
      <c r="I42" s="57">
        <v>2.3</v>
      </c>
      <c r="J42" s="45" cm="1">
        <f t="array" ref="J42">'Towers'!$G$7*G42*H42*I42</f>
        <v>105.225</v>
      </c>
      <c r="K42" s="45" cm="1">
        <f t="array" ref="K42">IF(J42=0,0,F42/J42)</f>
        <v>108.500831551437</v>
      </c>
      <c r="L42" s="57">
        <v>1</v>
      </c>
      <c r="M42" t="s" s="43">
        <v>228</v>
      </c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>
        <v>3</v>
      </c>
      <c r="AA42" s="57">
        <v>2</v>
      </c>
      <c r="AB42" s="57"/>
      <c r="AC42" s="57"/>
      <c r="AD42" s="57"/>
    </row>
    <row r="43" ht="13.65" customHeight="1">
      <c r="A43" t="s" s="43">
        <v>136</v>
      </c>
      <c r="B43" t="s" s="43">
        <v>225</v>
      </c>
      <c r="C43" t="s" s="43">
        <v>201</v>
      </c>
      <c r="D43" s="56">
        <v>4</v>
      </c>
      <c r="E43" s="56" cm="1">
        <f t="array" ref="E43">ROUND('Towers'!$C$7*POWER('Tuning'!$B$12,D43),0)</f>
        <v>15391</v>
      </c>
      <c r="F43" s="56" cm="1">
        <f t="array" ref="F43">F42+E43</f>
        <v>26808</v>
      </c>
      <c r="G43" s="57">
        <v>4.42</v>
      </c>
      <c r="H43" s="57">
        <v>1</v>
      </c>
      <c r="I43" s="57">
        <v>3.04</v>
      </c>
      <c r="J43" s="45" cm="1">
        <f t="array" ref="J43">'Towers'!$G$7*G43*H43*I43</f>
        <v>201.552</v>
      </c>
      <c r="K43" s="45" cm="1">
        <f t="array" ref="K43">IF(J43=0,0,F43/J43)</f>
        <v>133.007859014051</v>
      </c>
      <c r="L43" s="57">
        <v>1</v>
      </c>
      <c r="M43" t="s" s="43">
        <v>229</v>
      </c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>
        <v>4</v>
      </c>
      <c r="AA43" s="57">
        <v>2</v>
      </c>
      <c r="AB43" s="57"/>
      <c r="AC43" s="57"/>
      <c r="AD43" s="57"/>
    </row>
    <row r="44" ht="13.65" customHeight="1">
      <c r="A44" t="s" s="43">
        <v>136</v>
      </c>
      <c r="B44" t="s" s="43">
        <v>225</v>
      </c>
      <c r="C44" t="s" s="43">
        <v>201</v>
      </c>
      <c r="D44" s="56">
        <v>5</v>
      </c>
      <c r="E44" s="56" cm="1">
        <f t="array" ref="E44">ROUND('Towers'!$C$7*POWER('Tuning'!$B$12,D44),0)</f>
        <v>35400</v>
      </c>
      <c r="F44" s="56" cm="1">
        <f t="array" ref="F44">F43+E44</f>
        <v>62208</v>
      </c>
      <c r="G44" s="57">
        <v>6.41</v>
      </c>
      <c r="H44" s="57">
        <v>1</v>
      </c>
      <c r="I44" s="57">
        <v>4.01</v>
      </c>
      <c r="J44" s="45" cm="1">
        <f t="array" ref="J44">'Towers'!$G$7*G44*H44*I44</f>
        <v>385.5615</v>
      </c>
      <c r="K44" s="45" cm="1">
        <f t="array" ref="K44">IF(J44=0,0,F44/J44)</f>
        <v>161.343910115507</v>
      </c>
      <c r="L44" s="57">
        <v>1</v>
      </c>
      <c r="M44" t="s" s="43">
        <v>230</v>
      </c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>
        <v>5</v>
      </c>
      <c r="AA44" s="57">
        <v>2</v>
      </c>
      <c r="AB44" s="57"/>
      <c r="AC44" s="57"/>
      <c r="AD44" s="57"/>
    </row>
    <row r="45" ht="13.65" customHeight="1">
      <c r="A45" t="s" s="43">
        <v>136</v>
      </c>
      <c r="B45" t="s" s="43">
        <v>231</v>
      </c>
      <c r="C45" t="s" s="43">
        <v>194</v>
      </c>
      <c r="D45" s="56">
        <v>1</v>
      </c>
      <c r="E45" s="56" cm="1">
        <f t="array" ref="E45">ROUND('Towers'!$C$7*POWER('Tuning'!$B$12,D45),0)</f>
        <v>1265</v>
      </c>
      <c r="F45" s="56" cm="1">
        <f t="array" ref="F45">'Towers'!$C$7+E45</f>
        <v>1815</v>
      </c>
      <c r="G45" s="57">
        <v>1.9</v>
      </c>
      <c r="H45" s="57">
        <v>1</v>
      </c>
      <c r="I45" s="57">
        <v>1</v>
      </c>
      <c r="J45" s="45" cm="1">
        <f t="array" ref="J45">'Towers'!$G$7*G45*H45*I45</f>
        <v>28.5</v>
      </c>
      <c r="K45" s="45" cm="1">
        <f t="array" ref="K45">IF(J45=0,0,F45/J45)</f>
        <v>63.6842105263158</v>
      </c>
      <c r="L45" s="57">
        <v>1</v>
      </c>
      <c r="M45" t="s" s="43">
        <v>232</v>
      </c>
      <c r="N45" s="57"/>
      <c r="O45" s="57"/>
      <c r="P45" s="57"/>
      <c r="Q45" s="57"/>
      <c r="R45" s="57"/>
      <c r="S45" s="57"/>
      <c r="T45" s="57"/>
      <c r="U45" s="57"/>
      <c r="V45" s="57"/>
      <c r="W45" s="57">
        <v>3</v>
      </c>
      <c r="X45" s="57"/>
      <c r="Y45" s="57"/>
      <c r="Z45" s="57"/>
      <c r="AA45" s="57"/>
      <c r="AB45" s="57"/>
      <c r="AC45" s="57"/>
      <c r="AD45" s="57"/>
    </row>
    <row r="46" ht="13.65" customHeight="1">
      <c r="A46" t="s" s="43">
        <v>136</v>
      </c>
      <c r="B46" t="s" s="43">
        <v>231</v>
      </c>
      <c r="C46" t="s" s="43">
        <v>194</v>
      </c>
      <c r="D46" s="56">
        <v>2</v>
      </c>
      <c r="E46" s="56" cm="1">
        <f t="array" ref="E46">ROUND('Towers'!$C$7*POWER('Tuning'!$B$12,D46),0)</f>
        <v>2910</v>
      </c>
      <c r="F46" s="56" cm="1">
        <f t="array" ref="F46">F45+E46</f>
        <v>4725</v>
      </c>
      <c r="G46" s="57">
        <v>3.61</v>
      </c>
      <c r="H46" s="57">
        <v>1</v>
      </c>
      <c r="I46" s="57">
        <v>1</v>
      </c>
      <c r="J46" s="45" cm="1">
        <f t="array" ref="J46">'Towers'!$G$7*G46*H46*I46</f>
        <v>54.15</v>
      </c>
      <c r="K46" s="45" cm="1">
        <f t="array" ref="K46">IF(J46=0,0,F46/J46)</f>
        <v>87.2576177285319</v>
      </c>
      <c r="L46" s="57">
        <v>1</v>
      </c>
      <c r="M46" t="s" s="43">
        <v>233</v>
      </c>
      <c r="N46" t="s" s="46">
        <v>131</v>
      </c>
      <c r="O46" s="57">
        <v>2</v>
      </c>
      <c r="P46" s="57"/>
      <c r="Q46" s="57"/>
      <c r="R46" s="57"/>
      <c r="S46" s="57"/>
      <c r="T46" s="57"/>
      <c r="U46" s="57"/>
      <c r="V46" s="57"/>
      <c r="W46" s="57">
        <v>3</v>
      </c>
      <c r="X46" s="57"/>
      <c r="Y46" s="57"/>
      <c r="Z46" s="57"/>
      <c r="AA46" s="57"/>
      <c r="AB46" s="57"/>
      <c r="AC46" s="57"/>
      <c r="AD46" s="57"/>
    </row>
    <row r="47" ht="13.65" customHeight="1">
      <c r="A47" t="s" s="43">
        <v>136</v>
      </c>
      <c r="B47" t="s" s="43">
        <v>231</v>
      </c>
      <c r="C47" t="s" s="43">
        <v>194</v>
      </c>
      <c r="D47" s="56">
        <v>3</v>
      </c>
      <c r="E47" s="56" cm="1">
        <f t="array" ref="E47">ROUND('Towers'!$C$7*POWER('Tuning'!$B$12,D47),0)</f>
        <v>6692</v>
      </c>
      <c r="F47" s="56" cm="1">
        <f t="array" ref="F47">F46+E47</f>
        <v>11417</v>
      </c>
      <c r="G47" s="57">
        <v>6.86</v>
      </c>
      <c r="H47" s="57">
        <v>1</v>
      </c>
      <c r="I47" s="57">
        <v>1</v>
      </c>
      <c r="J47" s="45" cm="1">
        <f t="array" ref="J47">'Towers'!$G$7*G47*H47*I47</f>
        <v>102.9</v>
      </c>
      <c r="K47" s="45" cm="1">
        <f t="array" ref="K47">IF(J47=0,0,F47/J47)</f>
        <v>110.952380952381</v>
      </c>
      <c r="L47" s="57">
        <v>1</v>
      </c>
      <c r="M47" t="s" s="43">
        <v>234</v>
      </c>
      <c r="N47" t="s" s="46">
        <v>131</v>
      </c>
      <c r="O47" s="57">
        <v>2</v>
      </c>
      <c r="P47" s="57"/>
      <c r="Q47" s="57"/>
      <c r="R47" s="57"/>
      <c r="S47" s="57"/>
      <c r="T47" s="57"/>
      <c r="U47" s="57">
        <v>0.3</v>
      </c>
      <c r="V47" s="57"/>
      <c r="W47" s="57">
        <v>3</v>
      </c>
      <c r="X47" s="57"/>
      <c r="Y47" s="57"/>
      <c r="Z47" s="57"/>
      <c r="AA47" s="57"/>
      <c r="AB47" s="57"/>
      <c r="AC47" s="57"/>
      <c r="AD47" s="57"/>
    </row>
    <row r="48" ht="13.65" customHeight="1">
      <c r="A48" t="s" s="43">
        <v>136</v>
      </c>
      <c r="B48" t="s" s="43">
        <v>231</v>
      </c>
      <c r="C48" t="s" s="43">
        <v>194</v>
      </c>
      <c r="D48" s="56">
        <v>4</v>
      </c>
      <c r="E48" s="56" cm="1">
        <f t="array" ref="E48">ROUND('Towers'!$C$7*POWER('Tuning'!$B$12,D48),0)</f>
        <v>15391</v>
      </c>
      <c r="F48" s="56" cm="1">
        <f t="array" ref="F48">F47+E48</f>
        <v>26808</v>
      </c>
      <c r="G48" s="57">
        <v>13.03</v>
      </c>
      <c r="H48" s="57">
        <v>1</v>
      </c>
      <c r="I48" s="57">
        <v>1</v>
      </c>
      <c r="J48" s="45" cm="1">
        <f t="array" ref="J48">'Towers'!$G$7*G48*H48*I48</f>
        <v>195.45</v>
      </c>
      <c r="K48" s="45" cm="1">
        <f t="array" ref="K48">IF(J48=0,0,F48/J48)</f>
        <v>137.160399079048</v>
      </c>
      <c r="L48" s="57">
        <v>1</v>
      </c>
      <c r="M48" t="s" s="43">
        <v>235</v>
      </c>
      <c r="N48" t="s" s="46">
        <v>131</v>
      </c>
      <c r="O48" s="57">
        <v>2</v>
      </c>
      <c r="P48" s="57"/>
      <c r="Q48" s="57"/>
      <c r="R48" s="57"/>
      <c r="S48" s="57"/>
      <c r="T48" s="57"/>
      <c r="U48" s="57">
        <v>0.3</v>
      </c>
      <c r="V48" s="57"/>
      <c r="W48" s="57">
        <v>6</v>
      </c>
      <c r="X48" s="57"/>
      <c r="Y48" s="57"/>
      <c r="Z48" s="57"/>
      <c r="AA48" s="57"/>
      <c r="AB48" s="57"/>
      <c r="AC48" s="57"/>
      <c r="AD48" s="57"/>
    </row>
    <row r="49" ht="13.65" customHeight="1">
      <c r="A49" t="s" s="43">
        <v>136</v>
      </c>
      <c r="B49" t="s" s="43">
        <v>231</v>
      </c>
      <c r="C49" t="s" s="43">
        <v>194</v>
      </c>
      <c r="D49" s="56">
        <v>5</v>
      </c>
      <c r="E49" s="56" cm="1">
        <f t="array" ref="E49">ROUND('Towers'!$C$7*POWER('Tuning'!$B$12,D49),0)</f>
        <v>35400</v>
      </c>
      <c r="F49" s="56" cm="1">
        <f t="array" ref="F49">F48+E49</f>
        <v>62208</v>
      </c>
      <c r="G49" s="57">
        <v>24.76</v>
      </c>
      <c r="H49" s="57">
        <v>1</v>
      </c>
      <c r="I49" s="57">
        <v>1</v>
      </c>
      <c r="J49" s="45" cm="1">
        <f t="array" ref="J49">'Towers'!$G$7*G49*H49*I49</f>
        <v>371.4</v>
      </c>
      <c r="K49" s="45" cm="1">
        <f t="array" ref="K49">IF(J49=0,0,F49/J49)</f>
        <v>167.495961227787</v>
      </c>
      <c r="L49" s="57">
        <v>1</v>
      </c>
      <c r="M49" t="s" s="43">
        <v>236</v>
      </c>
      <c r="N49" t="s" s="46">
        <v>131</v>
      </c>
      <c r="O49" s="57">
        <v>2</v>
      </c>
      <c r="P49" s="57"/>
      <c r="Q49" s="57"/>
      <c r="R49" s="57"/>
      <c r="S49" s="57"/>
      <c r="T49" s="57"/>
      <c r="U49" s="57">
        <v>1</v>
      </c>
      <c r="V49" s="57"/>
      <c r="W49" s="57">
        <v>6</v>
      </c>
      <c r="X49" s="57"/>
      <c r="Y49" s="57"/>
      <c r="Z49" s="57"/>
      <c r="AA49" s="57"/>
      <c r="AB49" s="57"/>
      <c r="AC49" s="57"/>
      <c r="AD49" s="57"/>
    </row>
    <row r="50" ht="13.65" customHeight="1">
      <c r="A50" t="s" s="43">
        <v>140</v>
      </c>
      <c r="B50" t="s" s="43">
        <v>237</v>
      </c>
      <c r="C50" t="s" s="43">
        <v>180</v>
      </c>
      <c r="D50" s="56">
        <v>1</v>
      </c>
      <c r="E50" s="56" cm="1">
        <f t="array" ref="E50">ROUND('Towers'!$C$8*POWER('Tuning'!$B$12,D50),0)</f>
        <v>920</v>
      </c>
      <c r="F50" s="56" cm="1">
        <f t="array" ref="F50">'Towers'!$C$8+E50</f>
        <v>1320</v>
      </c>
      <c r="G50" s="57">
        <v>1.3</v>
      </c>
      <c r="H50" s="57">
        <v>1.15</v>
      </c>
      <c r="I50" s="57">
        <v>1</v>
      </c>
      <c r="J50" s="45" cm="1">
        <f t="array" ref="J50">'Towers'!$G$8*G50*H50*I50</f>
        <v>2.99</v>
      </c>
      <c r="K50" s="45" cm="1">
        <f t="array" ref="K50">IF(J50=0,0,F50/J50)</f>
        <v>441.471571906355</v>
      </c>
      <c r="L50" s="57">
        <v>1.15</v>
      </c>
      <c r="M50" t="s" s="43">
        <v>238</v>
      </c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</row>
    <row r="51" ht="13.65" customHeight="1">
      <c r="A51" t="s" s="43">
        <v>140</v>
      </c>
      <c r="B51" t="s" s="43">
        <v>237</v>
      </c>
      <c r="C51" t="s" s="43">
        <v>180</v>
      </c>
      <c r="D51" s="56">
        <v>2</v>
      </c>
      <c r="E51" s="56" cm="1">
        <f t="array" ref="E51">ROUND('Towers'!$C$8*POWER('Tuning'!$B$12,D51),0)</f>
        <v>2116</v>
      </c>
      <c r="F51" s="56" cm="1">
        <f t="array" ref="F51">F50+E51</f>
        <v>3436</v>
      </c>
      <c r="G51" s="57">
        <v>1.69</v>
      </c>
      <c r="H51" s="57">
        <v>1.32</v>
      </c>
      <c r="I51" s="57">
        <v>1</v>
      </c>
      <c r="J51" s="45" cm="1">
        <f t="array" ref="J51">'Towers'!$G$8*G51*H51*I51</f>
        <v>4.4616</v>
      </c>
      <c r="K51" s="45" cm="1">
        <f t="array" ref="K51">IF(J51=0,0,F51/J51)</f>
        <v>770.127308588847</v>
      </c>
      <c r="L51" s="57">
        <v>1.3</v>
      </c>
      <c r="M51" t="s" s="43">
        <v>239</v>
      </c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</row>
    <row r="52" ht="13.65" customHeight="1">
      <c r="A52" t="s" s="43">
        <v>140</v>
      </c>
      <c r="B52" t="s" s="43">
        <v>237</v>
      </c>
      <c r="C52" t="s" s="43">
        <v>180</v>
      </c>
      <c r="D52" s="56">
        <v>3</v>
      </c>
      <c r="E52" s="56" cm="1">
        <f t="array" ref="E52">ROUND('Towers'!$C$8*POWER('Tuning'!$B$12,D52),0)</f>
        <v>4867</v>
      </c>
      <c r="F52" s="56" cm="1">
        <f t="array" ref="F52">F51+E52</f>
        <v>8303</v>
      </c>
      <c r="G52" s="57">
        <v>2.2</v>
      </c>
      <c r="H52" s="57">
        <v>1.52</v>
      </c>
      <c r="I52" s="57">
        <v>1</v>
      </c>
      <c r="J52" s="45" cm="1">
        <f t="array" ref="J52">'Towers'!$G$8*G52*H52*I52</f>
        <v>6.688</v>
      </c>
      <c r="K52" s="45" cm="1">
        <f t="array" ref="K52">IF(J52=0,0,F52/J52)</f>
        <v>1241.477272727270</v>
      </c>
      <c r="L52" s="57">
        <v>1.5</v>
      </c>
      <c r="M52" t="s" s="43">
        <v>240</v>
      </c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</row>
    <row r="53" ht="13.65" customHeight="1">
      <c r="A53" t="s" s="43">
        <v>140</v>
      </c>
      <c r="B53" t="s" s="43">
        <v>237</v>
      </c>
      <c r="C53" t="s" s="43">
        <v>180</v>
      </c>
      <c r="D53" s="56">
        <v>4</v>
      </c>
      <c r="E53" s="56" cm="1">
        <f t="array" ref="E53">ROUND('Towers'!$C$8*POWER('Tuning'!$B$12,D53),0)</f>
        <v>11194</v>
      </c>
      <c r="F53" s="56" cm="1">
        <f t="array" ref="F53">F52+E53</f>
        <v>19497</v>
      </c>
      <c r="G53" s="57">
        <v>2.86</v>
      </c>
      <c r="H53" s="57">
        <v>1.75</v>
      </c>
      <c r="I53" s="57">
        <v>1</v>
      </c>
      <c r="J53" s="45" cm="1">
        <f t="array" ref="J53">'Towers'!$G$8*G53*H53*I53</f>
        <v>10.01</v>
      </c>
      <c r="K53" s="45" cm="1">
        <f t="array" ref="K53">IF(J53=0,0,F53/J53)</f>
        <v>1947.752247752250</v>
      </c>
      <c r="L53" s="57">
        <v>1.75</v>
      </c>
      <c r="M53" t="s" s="43">
        <v>241</v>
      </c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</row>
    <row r="54" ht="13.65" customHeight="1">
      <c r="A54" t="s" s="43">
        <v>140</v>
      </c>
      <c r="B54" t="s" s="43">
        <v>237</v>
      </c>
      <c r="C54" t="s" s="43">
        <v>180</v>
      </c>
      <c r="D54" s="56">
        <v>5</v>
      </c>
      <c r="E54" s="56" cm="1">
        <f t="array" ref="E54">ROUND('Towers'!$C$8*POWER('Tuning'!$B$12,D54),0)</f>
        <v>25745</v>
      </c>
      <c r="F54" s="56" cm="1">
        <f t="array" ref="F54">F53+E54</f>
        <v>45242</v>
      </c>
      <c r="G54" s="57">
        <v>3.71</v>
      </c>
      <c r="H54" s="57">
        <v>2.01</v>
      </c>
      <c r="I54" s="57">
        <v>1</v>
      </c>
      <c r="J54" s="45" cm="1">
        <f t="array" ref="J54">'Towers'!$G$8*G54*H54*I54</f>
        <v>14.9142</v>
      </c>
      <c r="K54" s="45" cm="1">
        <f t="array" ref="K54">IF(J54=0,0,F54/J54)</f>
        <v>3033.484866771260</v>
      </c>
      <c r="L54" s="57">
        <v>2</v>
      </c>
      <c r="M54" t="s" s="43">
        <v>242</v>
      </c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</row>
    <row r="55" ht="13.65" customHeight="1">
      <c r="A55" t="s" s="43">
        <v>140</v>
      </c>
      <c r="B55" t="s" s="43">
        <v>243</v>
      </c>
      <c r="C55" t="s" s="43">
        <v>187</v>
      </c>
      <c r="D55" s="56">
        <v>1</v>
      </c>
      <c r="E55" s="56" cm="1">
        <f t="array" ref="E55">ROUND('Towers'!$C$8*POWER('Tuning'!$B$12,D55),0)</f>
        <v>920</v>
      </c>
      <c r="F55" s="56" cm="1">
        <f t="array" ref="F55">'Towers'!$C$8+E55</f>
        <v>1320</v>
      </c>
      <c r="G55" s="57">
        <v>1.35</v>
      </c>
      <c r="H55" s="57">
        <v>1.42</v>
      </c>
      <c r="I55" s="57">
        <v>1</v>
      </c>
      <c r="J55" s="45" cm="1">
        <f t="array" ref="J55">'Towers'!$G$8*G55*H55*I55</f>
        <v>3.834</v>
      </c>
      <c r="K55" s="45" cm="1">
        <f t="array" ref="K55">IF(J55=0,0,F55/J55)</f>
        <v>344.287949921753</v>
      </c>
      <c r="L55" s="57">
        <v>1</v>
      </c>
      <c r="M55" t="s" s="43">
        <v>244</v>
      </c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</row>
    <row r="56" ht="13.65" customHeight="1">
      <c r="A56" t="s" s="43">
        <v>140</v>
      </c>
      <c r="B56" t="s" s="43">
        <v>243</v>
      </c>
      <c r="C56" t="s" s="43">
        <v>187</v>
      </c>
      <c r="D56" s="56">
        <v>2</v>
      </c>
      <c r="E56" s="56" cm="1">
        <f t="array" ref="E56">ROUND('Towers'!$C$8*POWER('Tuning'!$B$12,D56),0)</f>
        <v>2116</v>
      </c>
      <c r="F56" s="56" cm="1">
        <f t="array" ref="F56">F55+E56</f>
        <v>3436</v>
      </c>
      <c r="G56" s="57">
        <v>1.82</v>
      </c>
      <c r="H56" s="57">
        <v>2.02</v>
      </c>
      <c r="I56" s="57">
        <v>1</v>
      </c>
      <c r="J56" s="45" cm="1">
        <f t="array" ref="J56">'Towers'!$G$8*G56*H56*I56</f>
        <v>7.3528</v>
      </c>
      <c r="K56" s="45" cm="1">
        <f t="array" ref="K56">IF(J56=0,0,F56/J56)</f>
        <v>467.304972255467</v>
      </c>
      <c r="L56" s="57">
        <v>1</v>
      </c>
      <c r="M56" t="s" s="43">
        <v>245</v>
      </c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</row>
    <row r="57" ht="13.65" customHeight="1">
      <c r="A57" t="s" s="43">
        <v>140</v>
      </c>
      <c r="B57" t="s" s="43">
        <v>243</v>
      </c>
      <c r="C57" t="s" s="43">
        <v>187</v>
      </c>
      <c r="D57" s="56">
        <v>3</v>
      </c>
      <c r="E57" s="56" cm="1">
        <f t="array" ref="E57">ROUND('Towers'!$C$8*POWER('Tuning'!$B$12,D57),0)</f>
        <v>4867</v>
      </c>
      <c r="F57" s="56" cm="1">
        <f t="array" ref="F57">F56+E57</f>
        <v>8303</v>
      </c>
      <c r="G57" s="57">
        <v>2.46</v>
      </c>
      <c r="H57" s="57">
        <v>2.86</v>
      </c>
      <c r="I57" s="57">
        <v>1</v>
      </c>
      <c r="J57" s="45" cm="1">
        <f t="array" ref="J57">'Towers'!$G$8*G57*H57*I57</f>
        <v>14.0712</v>
      </c>
      <c r="K57" s="45" cm="1">
        <f t="array" ref="K57">IF(J57=0,0,F57/J57)</f>
        <v>590.070498607084</v>
      </c>
      <c r="L57" s="57">
        <v>1</v>
      </c>
      <c r="M57" t="s" s="43">
        <v>246</v>
      </c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</row>
    <row r="58" ht="13.65" customHeight="1">
      <c r="A58" t="s" s="43">
        <v>140</v>
      </c>
      <c r="B58" t="s" s="43">
        <v>243</v>
      </c>
      <c r="C58" t="s" s="43">
        <v>187</v>
      </c>
      <c r="D58" s="56">
        <v>4</v>
      </c>
      <c r="E58" s="56" cm="1">
        <f t="array" ref="E58">ROUND('Towers'!$C$8*POWER('Tuning'!$B$12,D58),0)</f>
        <v>11194</v>
      </c>
      <c r="F58" s="56" cm="1">
        <f t="array" ref="F58">F57+E58</f>
        <v>19497</v>
      </c>
      <c r="G58" s="57">
        <v>3.32</v>
      </c>
      <c r="H58" s="57">
        <v>4.07</v>
      </c>
      <c r="I58" s="57">
        <v>1</v>
      </c>
      <c r="J58" s="45" cm="1">
        <f t="array" ref="J58">'Towers'!$G$8*G58*H58*I58</f>
        <v>27.0248</v>
      </c>
      <c r="K58" s="45" cm="1">
        <f t="array" ref="K58">IF(J58=0,0,F58/J58)</f>
        <v>721.448447352062</v>
      </c>
      <c r="L58" s="57">
        <v>1</v>
      </c>
      <c r="M58" t="s" s="43">
        <v>247</v>
      </c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</row>
    <row r="59" ht="13.65" customHeight="1">
      <c r="A59" t="s" s="43">
        <v>140</v>
      </c>
      <c r="B59" t="s" s="43">
        <v>243</v>
      </c>
      <c r="C59" t="s" s="43">
        <v>187</v>
      </c>
      <c r="D59" s="56">
        <v>5</v>
      </c>
      <c r="E59" s="56" cm="1">
        <f t="array" ref="E59">ROUND('Towers'!$C$8*POWER('Tuning'!$B$12,D59),0)</f>
        <v>25745</v>
      </c>
      <c r="F59" s="56" cm="1">
        <f t="array" ref="F59">F58+E59</f>
        <v>45242</v>
      </c>
      <c r="G59" s="57">
        <v>4.48</v>
      </c>
      <c r="H59" s="57">
        <v>5.77</v>
      </c>
      <c r="I59" s="57">
        <v>1</v>
      </c>
      <c r="J59" s="45" cm="1">
        <f t="array" ref="J59">'Towers'!$G$8*G59*H59*I59</f>
        <v>51.6992</v>
      </c>
      <c r="K59" s="45" cm="1">
        <f t="array" ref="K59">IF(J59=0,0,F59/J59)</f>
        <v>875.100581827185</v>
      </c>
      <c r="L59" s="57">
        <v>1</v>
      </c>
      <c r="M59" t="s" s="43">
        <v>248</v>
      </c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</row>
    <row r="60" ht="13.65" customHeight="1">
      <c r="A60" t="s" s="43">
        <v>140</v>
      </c>
      <c r="B60" t="s" s="43">
        <v>249</v>
      </c>
      <c r="C60" t="s" s="43">
        <v>194</v>
      </c>
      <c r="D60" s="56">
        <v>1</v>
      </c>
      <c r="E60" s="56" cm="1">
        <f t="array" ref="E60">ROUND('Towers'!$C$8*POWER('Tuning'!$B$12,D60),0)</f>
        <v>920</v>
      </c>
      <c r="F60" s="56" cm="1">
        <f t="array" ref="F60">'Towers'!$C$8+E60</f>
        <v>1320</v>
      </c>
      <c r="G60" s="57">
        <v>1.9</v>
      </c>
      <c r="H60" s="57">
        <v>1</v>
      </c>
      <c r="I60" s="57">
        <v>1</v>
      </c>
      <c r="J60" s="45" cm="1">
        <f t="array" ref="J60">'Towers'!$G$8*G60*H60*I60</f>
        <v>3.8</v>
      </c>
      <c r="K60" s="45" cm="1">
        <f t="array" ref="K60">IF(J60=0,0,F60/J60)</f>
        <v>347.368421052632</v>
      </c>
      <c r="L60" s="57">
        <v>1</v>
      </c>
      <c r="M60" t="s" s="43">
        <v>249</v>
      </c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</row>
    <row r="61" ht="13.65" customHeight="1">
      <c r="A61" t="s" s="43">
        <v>140</v>
      </c>
      <c r="B61" t="s" s="43">
        <v>249</v>
      </c>
      <c r="C61" t="s" s="43">
        <v>194</v>
      </c>
      <c r="D61" s="56">
        <v>2</v>
      </c>
      <c r="E61" s="56" cm="1">
        <f t="array" ref="E61">ROUND('Towers'!$C$8*POWER('Tuning'!$B$12,D61),0)</f>
        <v>2116</v>
      </c>
      <c r="F61" s="56" cm="1">
        <f t="array" ref="F61">F60+E61</f>
        <v>3436</v>
      </c>
      <c r="G61" s="57">
        <v>3.61</v>
      </c>
      <c r="H61" s="57">
        <v>1</v>
      </c>
      <c r="I61" s="57">
        <v>1</v>
      </c>
      <c r="J61" s="45" cm="1">
        <f t="array" ref="J61">'Towers'!$G$8*G61*H61*I61</f>
        <v>7.22</v>
      </c>
      <c r="K61" s="45" cm="1">
        <f t="array" ref="K61">IF(J61=0,0,F61/J61)</f>
        <v>475.900277008310</v>
      </c>
      <c r="L61" s="57">
        <v>1</v>
      </c>
      <c r="M61" t="s" s="43">
        <v>250</v>
      </c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</row>
    <row r="62" ht="13.65" customHeight="1">
      <c r="A62" t="s" s="43">
        <v>140</v>
      </c>
      <c r="B62" t="s" s="43">
        <v>249</v>
      </c>
      <c r="C62" t="s" s="43">
        <v>194</v>
      </c>
      <c r="D62" s="56">
        <v>3</v>
      </c>
      <c r="E62" s="56" cm="1">
        <f t="array" ref="E62">ROUND('Towers'!$C$8*POWER('Tuning'!$B$12,D62),0)</f>
        <v>4867</v>
      </c>
      <c r="F62" s="56" cm="1">
        <f t="array" ref="F62">F61+E62</f>
        <v>8303</v>
      </c>
      <c r="G62" s="57">
        <v>6.86</v>
      </c>
      <c r="H62" s="57">
        <v>1</v>
      </c>
      <c r="I62" s="57">
        <v>1</v>
      </c>
      <c r="J62" s="45" cm="1">
        <f t="array" ref="J62">'Towers'!$G$8*G62*H62*I62</f>
        <v>13.72</v>
      </c>
      <c r="K62" s="45" cm="1">
        <f t="array" ref="K62">IF(J62=0,0,F62/J62)</f>
        <v>605.174927113703</v>
      </c>
      <c r="L62" s="57">
        <v>1</v>
      </c>
      <c r="M62" t="s" s="43">
        <v>251</v>
      </c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</row>
    <row r="63" ht="13.65" customHeight="1">
      <c r="A63" t="s" s="43">
        <v>140</v>
      </c>
      <c r="B63" t="s" s="43">
        <v>249</v>
      </c>
      <c r="C63" t="s" s="43">
        <v>194</v>
      </c>
      <c r="D63" s="56">
        <v>4</v>
      </c>
      <c r="E63" s="56" cm="1">
        <f t="array" ref="E63">ROUND('Towers'!$C$8*POWER('Tuning'!$B$12,D63),0)</f>
        <v>11194</v>
      </c>
      <c r="F63" s="56" cm="1">
        <f t="array" ref="F63">F62+E63</f>
        <v>19497</v>
      </c>
      <c r="G63" s="57">
        <v>13.03</v>
      </c>
      <c r="H63" s="57">
        <v>1</v>
      </c>
      <c r="I63" s="57">
        <v>1</v>
      </c>
      <c r="J63" s="45" cm="1">
        <f t="array" ref="J63">'Towers'!$G$8*G63*H63*I63</f>
        <v>26.06</v>
      </c>
      <c r="K63" s="45" cm="1">
        <f t="array" ref="K63">IF(J63=0,0,F63/J63)</f>
        <v>748.158096699923</v>
      </c>
      <c r="L63" s="57">
        <v>1</v>
      </c>
      <c r="M63" t="s" s="43">
        <v>252</v>
      </c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</row>
    <row r="64" ht="13.65" customHeight="1">
      <c r="A64" t="s" s="43">
        <v>140</v>
      </c>
      <c r="B64" t="s" s="43">
        <v>249</v>
      </c>
      <c r="C64" t="s" s="43">
        <v>194</v>
      </c>
      <c r="D64" s="56">
        <v>5</v>
      </c>
      <c r="E64" s="56" cm="1">
        <f t="array" ref="E64">ROUND('Towers'!$C$8*POWER('Tuning'!$B$12,D64),0)</f>
        <v>25745</v>
      </c>
      <c r="F64" s="56" cm="1">
        <f t="array" ref="F64">F63+E64</f>
        <v>45242</v>
      </c>
      <c r="G64" s="57">
        <v>24.76</v>
      </c>
      <c r="H64" s="57">
        <v>1</v>
      </c>
      <c r="I64" s="57">
        <v>1</v>
      </c>
      <c r="J64" s="45" cm="1">
        <f t="array" ref="J64">'Towers'!$G$8*G64*H64*I64</f>
        <v>49.52</v>
      </c>
      <c r="K64" s="45" cm="1">
        <f t="array" ref="K64">IF(J64=0,0,F64/J64)</f>
        <v>913.610662358643</v>
      </c>
      <c r="L64" s="57">
        <v>1</v>
      </c>
      <c r="M64" t="s" s="43">
        <v>253</v>
      </c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</row>
    <row r="65" ht="13.65" customHeight="1">
      <c r="A65" t="s" s="43">
        <v>143</v>
      </c>
      <c r="B65" t="s" s="43">
        <v>254</v>
      </c>
      <c r="C65" t="s" s="43">
        <v>255</v>
      </c>
      <c r="D65" s="56">
        <v>1</v>
      </c>
      <c r="E65" s="56" cm="1">
        <f t="array" ref="E65">ROUND('Towers'!$C$9*POWER('Tuning'!$B$12,D65),0)</f>
        <v>2300</v>
      </c>
      <c r="F65" s="56" cm="1">
        <f t="array" ref="F65">'Towers'!$C$9+E65</f>
        <v>3300</v>
      </c>
      <c r="G65" s="57">
        <v>1</v>
      </c>
      <c r="H65" s="57">
        <v>1</v>
      </c>
      <c r="I65" s="57">
        <v>1</v>
      </c>
      <c r="J65" s="45">
        <v>0</v>
      </c>
      <c r="K65" t="s" s="43">
        <v>256</v>
      </c>
      <c r="L65" s="57">
        <v>1</v>
      </c>
      <c r="M65" t="s" s="43">
        <v>257</v>
      </c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</row>
    <row r="66" ht="13.65" customHeight="1">
      <c r="A66" t="s" s="43">
        <v>143</v>
      </c>
      <c r="B66" t="s" s="43">
        <v>254</v>
      </c>
      <c r="C66" t="s" s="43">
        <v>255</v>
      </c>
      <c r="D66" s="56">
        <v>2</v>
      </c>
      <c r="E66" s="56" cm="1">
        <f t="array" ref="E66">ROUND('Towers'!$C$9*POWER('Tuning'!$B$12,D66),0)</f>
        <v>5290</v>
      </c>
      <c r="F66" s="56" cm="1">
        <f t="array" ref="F66">F65+E66</f>
        <v>8590</v>
      </c>
      <c r="G66" s="57">
        <v>1</v>
      </c>
      <c r="H66" s="57">
        <v>1</v>
      </c>
      <c r="I66" s="57">
        <v>1</v>
      </c>
      <c r="J66" s="45">
        <v>0</v>
      </c>
      <c r="K66" t="s" s="43">
        <v>256</v>
      </c>
      <c r="L66" s="57">
        <v>1</v>
      </c>
      <c r="M66" t="s" s="43">
        <v>258</v>
      </c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</row>
    <row r="67" ht="13.65" customHeight="1">
      <c r="A67" t="s" s="43">
        <v>143</v>
      </c>
      <c r="B67" t="s" s="43">
        <v>254</v>
      </c>
      <c r="C67" t="s" s="43">
        <v>255</v>
      </c>
      <c r="D67" s="56">
        <v>3</v>
      </c>
      <c r="E67" s="56" cm="1">
        <f t="array" ref="E67">ROUND('Towers'!$C$9*POWER('Tuning'!$B$12,D67),0)</f>
        <v>12167</v>
      </c>
      <c r="F67" s="56" cm="1">
        <f t="array" ref="F67">F66+E67</f>
        <v>20757</v>
      </c>
      <c r="G67" s="57">
        <v>1</v>
      </c>
      <c r="H67" s="57">
        <v>1</v>
      </c>
      <c r="I67" s="57">
        <v>1</v>
      </c>
      <c r="J67" s="45">
        <v>0</v>
      </c>
      <c r="K67" t="s" s="43">
        <v>256</v>
      </c>
      <c r="L67" s="57">
        <v>1</v>
      </c>
      <c r="M67" t="s" s="43">
        <v>259</v>
      </c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</row>
    <row r="68" ht="13.65" customHeight="1">
      <c r="A68" t="s" s="43">
        <v>143</v>
      </c>
      <c r="B68" t="s" s="43">
        <v>254</v>
      </c>
      <c r="C68" t="s" s="43">
        <v>255</v>
      </c>
      <c r="D68" s="56">
        <v>4</v>
      </c>
      <c r="E68" s="56" cm="1">
        <f t="array" ref="E68">ROUND('Towers'!$C$9*POWER('Tuning'!$B$12,D68),0)</f>
        <v>27984</v>
      </c>
      <c r="F68" s="56" cm="1">
        <f t="array" ref="F68">F67+E68</f>
        <v>48741</v>
      </c>
      <c r="G68" s="57">
        <v>1</v>
      </c>
      <c r="H68" s="57">
        <v>1</v>
      </c>
      <c r="I68" s="57">
        <v>1</v>
      </c>
      <c r="J68" s="45">
        <v>0</v>
      </c>
      <c r="K68" t="s" s="43">
        <v>256</v>
      </c>
      <c r="L68" s="57">
        <v>1</v>
      </c>
      <c r="M68" t="s" s="43">
        <v>260</v>
      </c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</row>
    <row r="69" ht="13.65" customHeight="1">
      <c r="A69" t="s" s="43">
        <v>143</v>
      </c>
      <c r="B69" t="s" s="43">
        <v>254</v>
      </c>
      <c r="C69" t="s" s="43">
        <v>255</v>
      </c>
      <c r="D69" s="56">
        <v>5</v>
      </c>
      <c r="E69" s="56" cm="1">
        <f t="array" ref="E69">ROUND('Towers'!$C$9*POWER('Tuning'!$B$12,D69),0)</f>
        <v>64363</v>
      </c>
      <c r="F69" s="56" cm="1">
        <f t="array" ref="F69">F68+E69</f>
        <v>113104</v>
      </c>
      <c r="G69" s="57">
        <v>1</v>
      </c>
      <c r="H69" s="57">
        <v>1</v>
      </c>
      <c r="I69" s="57">
        <v>1</v>
      </c>
      <c r="J69" s="45">
        <v>0</v>
      </c>
      <c r="K69" t="s" s="43">
        <v>256</v>
      </c>
      <c r="L69" s="57">
        <v>1</v>
      </c>
      <c r="M69" t="s" s="43">
        <v>261</v>
      </c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</row>
    <row r="70" ht="13.65" customHeight="1">
      <c r="A70" t="s" s="43">
        <v>143</v>
      </c>
      <c r="B70" t="s" s="43">
        <v>262</v>
      </c>
      <c r="C70" t="s" s="43">
        <v>255</v>
      </c>
      <c r="D70" s="56">
        <v>1</v>
      </c>
      <c r="E70" s="56" cm="1">
        <f t="array" ref="E70">ROUND('Towers'!$C$9*POWER('Tuning'!$B$12,D70),0)</f>
        <v>2300</v>
      </c>
      <c r="F70" s="56" cm="1">
        <f t="array" ref="F70">'Towers'!$C$9+E70</f>
        <v>3300</v>
      </c>
      <c r="G70" s="57">
        <v>1</v>
      </c>
      <c r="H70" s="57">
        <v>1</v>
      </c>
      <c r="I70" s="57">
        <v>1</v>
      </c>
      <c r="J70" s="45">
        <v>0</v>
      </c>
      <c r="K70" t="s" s="43">
        <v>256</v>
      </c>
      <c r="L70" s="57">
        <v>1</v>
      </c>
      <c r="M70" t="s" s="43">
        <v>263</v>
      </c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</row>
    <row r="71" ht="13.65" customHeight="1">
      <c r="A71" t="s" s="43">
        <v>143</v>
      </c>
      <c r="B71" t="s" s="43">
        <v>262</v>
      </c>
      <c r="C71" t="s" s="43">
        <v>255</v>
      </c>
      <c r="D71" s="56">
        <v>2</v>
      </c>
      <c r="E71" s="56" cm="1">
        <f t="array" ref="E71">ROUND('Towers'!$C$9*POWER('Tuning'!$B$12,D71),0)</f>
        <v>5290</v>
      </c>
      <c r="F71" s="56" cm="1">
        <f t="array" ref="F71">F70+E71</f>
        <v>8590</v>
      </c>
      <c r="G71" s="57">
        <v>1</v>
      </c>
      <c r="H71" s="57">
        <v>1</v>
      </c>
      <c r="I71" s="57">
        <v>1</v>
      </c>
      <c r="J71" s="45">
        <v>0</v>
      </c>
      <c r="K71" t="s" s="43">
        <v>256</v>
      </c>
      <c r="L71" s="57">
        <v>1</v>
      </c>
      <c r="M71" t="s" s="43">
        <v>264</v>
      </c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</row>
    <row r="72" ht="13.65" customHeight="1">
      <c r="A72" t="s" s="43">
        <v>143</v>
      </c>
      <c r="B72" t="s" s="43">
        <v>262</v>
      </c>
      <c r="C72" t="s" s="43">
        <v>255</v>
      </c>
      <c r="D72" s="56">
        <v>3</v>
      </c>
      <c r="E72" s="56" cm="1">
        <f t="array" ref="E72">ROUND('Towers'!$C$9*POWER('Tuning'!$B$12,D72),0)</f>
        <v>12167</v>
      </c>
      <c r="F72" s="56" cm="1">
        <f t="array" ref="F72">F71+E72</f>
        <v>20757</v>
      </c>
      <c r="G72" s="57">
        <v>1</v>
      </c>
      <c r="H72" s="57">
        <v>1</v>
      </c>
      <c r="I72" s="57">
        <v>1</v>
      </c>
      <c r="J72" s="45">
        <v>0</v>
      </c>
      <c r="K72" t="s" s="43">
        <v>256</v>
      </c>
      <c r="L72" s="57">
        <v>1</v>
      </c>
      <c r="M72" t="s" s="43">
        <v>265</v>
      </c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</row>
    <row r="73" ht="13.65" customHeight="1">
      <c r="A73" t="s" s="43">
        <v>143</v>
      </c>
      <c r="B73" t="s" s="43">
        <v>262</v>
      </c>
      <c r="C73" t="s" s="43">
        <v>255</v>
      </c>
      <c r="D73" s="56">
        <v>4</v>
      </c>
      <c r="E73" s="56" cm="1">
        <f t="array" ref="E73">ROUND('Towers'!$C$9*POWER('Tuning'!$B$12,D73),0)</f>
        <v>27984</v>
      </c>
      <c r="F73" s="56" cm="1">
        <f t="array" ref="F73">F72+E73</f>
        <v>48741</v>
      </c>
      <c r="G73" s="57">
        <v>1</v>
      </c>
      <c r="H73" s="57">
        <v>1</v>
      </c>
      <c r="I73" s="57">
        <v>1</v>
      </c>
      <c r="J73" s="45">
        <v>0</v>
      </c>
      <c r="K73" t="s" s="43">
        <v>256</v>
      </c>
      <c r="L73" s="57">
        <v>1</v>
      </c>
      <c r="M73" t="s" s="43">
        <v>266</v>
      </c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</row>
    <row r="74" ht="13.65" customHeight="1">
      <c r="A74" t="s" s="43">
        <v>143</v>
      </c>
      <c r="B74" t="s" s="43">
        <v>262</v>
      </c>
      <c r="C74" t="s" s="43">
        <v>255</v>
      </c>
      <c r="D74" s="56">
        <v>5</v>
      </c>
      <c r="E74" s="56" cm="1">
        <f t="array" ref="E74">ROUND('Towers'!$C$9*POWER('Tuning'!$B$12,D74),0)</f>
        <v>64363</v>
      </c>
      <c r="F74" s="56" cm="1">
        <f t="array" ref="F74">F73+E74</f>
        <v>113104</v>
      </c>
      <c r="G74" s="57">
        <v>1</v>
      </c>
      <c r="H74" s="57">
        <v>1</v>
      </c>
      <c r="I74" s="57">
        <v>1</v>
      </c>
      <c r="J74" s="45">
        <v>0</v>
      </c>
      <c r="K74" t="s" s="43">
        <v>256</v>
      </c>
      <c r="L74" s="57">
        <v>1</v>
      </c>
      <c r="M74" t="s" s="43">
        <v>267</v>
      </c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</row>
    <row r="75" ht="13.65" customHeight="1">
      <c r="A75" t="s" s="43">
        <v>143</v>
      </c>
      <c r="B75" t="s" s="43">
        <v>268</v>
      </c>
      <c r="C75" t="s" s="43">
        <v>255</v>
      </c>
      <c r="D75" s="56">
        <v>1</v>
      </c>
      <c r="E75" s="56" cm="1">
        <f t="array" ref="E75">ROUND('Towers'!$C$9*POWER('Tuning'!$B$12,D75),0)</f>
        <v>2300</v>
      </c>
      <c r="F75" s="56" cm="1">
        <f t="array" ref="F75">'Towers'!$C$9+E75</f>
        <v>3300</v>
      </c>
      <c r="G75" s="57">
        <v>1</v>
      </c>
      <c r="H75" s="57">
        <v>1</v>
      </c>
      <c r="I75" s="57">
        <v>1</v>
      </c>
      <c r="J75" s="45">
        <v>0</v>
      </c>
      <c r="K75" t="s" s="43">
        <v>256</v>
      </c>
      <c r="L75" s="57">
        <v>1</v>
      </c>
      <c r="M75" t="s" s="43">
        <v>269</v>
      </c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</row>
    <row r="76" ht="13.65" customHeight="1">
      <c r="A76" t="s" s="43">
        <v>143</v>
      </c>
      <c r="B76" t="s" s="43">
        <v>268</v>
      </c>
      <c r="C76" t="s" s="43">
        <v>255</v>
      </c>
      <c r="D76" s="56">
        <v>2</v>
      </c>
      <c r="E76" s="56" cm="1">
        <f t="array" ref="E76">ROUND('Towers'!$C$9*POWER('Tuning'!$B$12,D76),0)</f>
        <v>5290</v>
      </c>
      <c r="F76" s="56" cm="1">
        <f t="array" ref="F76">F75+E76</f>
        <v>8590</v>
      </c>
      <c r="G76" s="57">
        <v>1</v>
      </c>
      <c r="H76" s="57">
        <v>1</v>
      </c>
      <c r="I76" s="57">
        <v>1</v>
      </c>
      <c r="J76" s="45">
        <v>0</v>
      </c>
      <c r="K76" t="s" s="43">
        <v>256</v>
      </c>
      <c r="L76" s="57">
        <v>1</v>
      </c>
      <c r="M76" t="s" s="43">
        <v>270</v>
      </c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</row>
    <row r="77" ht="13.65" customHeight="1">
      <c r="A77" t="s" s="43">
        <v>143</v>
      </c>
      <c r="B77" t="s" s="43">
        <v>268</v>
      </c>
      <c r="C77" t="s" s="43">
        <v>255</v>
      </c>
      <c r="D77" s="56">
        <v>3</v>
      </c>
      <c r="E77" s="56" cm="1">
        <f t="array" ref="E77">ROUND('Towers'!$C$9*POWER('Tuning'!$B$12,D77),0)</f>
        <v>12167</v>
      </c>
      <c r="F77" s="56" cm="1">
        <f t="array" ref="F77">F76+E77</f>
        <v>20757</v>
      </c>
      <c r="G77" s="57">
        <v>1</v>
      </c>
      <c r="H77" s="57">
        <v>1</v>
      </c>
      <c r="I77" s="57">
        <v>1</v>
      </c>
      <c r="J77" s="45">
        <v>0</v>
      </c>
      <c r="K77" t="s" s="43">
        <v>256</v>
      </c>
      <c r="L77" s="57">
        <v>1</v>
      </c>
      <c r="M77" t="s" s="43">
        <v>271</v>
      </c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</row>
    <row r="78" ht="13.65" customHeight="1">
      <c r="A78" t="s" s="43">
        <v>143</v>
      </c>
      <c r="B78" t="s" s="43">
        <v>268</v>
      </c>
      <c r="C78" t="s" s="43">
        <v>255</v>
      </c>
      <c r="D78" s="56">
        <v>4</v>
      </c>
      <c r="E78" s="56" cm="1">
        <f t="array" ref="E78">ROUND('Towers'!$C$9*POWER('Tuning'!$B$12,D78),0)</f>
        <v>27984</v>
      </c>
      <c r="F78" s="56" cm="1">
        <f t="array" ref="F78">F77+E78</f>
        <v>48741</v>
      </c>
      <c r="G78" s="57">
        <v>1</v>
      </c>
      <c r="H78" s="57">
        <v>1</v>
      </c>
      <c r="I78" s="57">
        <v>1</v>
      </c>
      <c r="J78" s="45">
        <v>0</v>
      </c>
      <c r="K78" t="s" s="43">
        <v>256</v>
      </c>
      <c r="L78" s="57">
        <v>1</v>
      </c>
      <c r="M78" t="s" s="43">
        <v>272</v>
      </c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</row>
    <row r="79" ht="13.65" customHeight="1">
      <c r="A79" t="s" s="43">
        <v>143</v>
      </c>
      <c r="B79" t="s" s="43">
        <v>268</v>
      </c>
      <c r="C79" t="s" s="43">
        <v>255</v>
      </c>
      <c r="D79" s="56">
        <v>5</v>
      </c>
      <c r="E79" s="56" cm="1">
        <f t="array" ref="E79">ROUND('Towers'!$C$9*POWER('Tuning'!$B$12,D79),0)</f>
        <v>64363</v>
      </c>
      <c r="F79" s="56" cm="1">
        <f t="array" ref="F79">F78+E79</f>
        <v>113104</v>
      </c>
      <c r="G79" s="57">
        <v>1</v>
      </c>
      <c r="H79" s="57">
        <v>1</v>
      </c>
      <c r="I79" s="57">
        <v>1</v>
      </c>
      <c r="J79" s="45">
        <v>0</v>
      </c>
      <c r="K79" t="s" s="43">
        <v>256</v>
      </c>
      <c r="L79" s="57">
        <v>1</v>
      </c>
      <c r="M79" t="s" s="43">
        <v>273</v>
      </c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L22"/>
  <sheetViews>
    <sheetView workbookViewId="0" showGridLines="0" defaultGridColor="1"/>
  </sheetViews>
  <sheetFormatPr defaultColWidth="8.66667" defaultRowHeight="15" customHeight="1" outlineLevelRow="0" outlineLevelCol="0"/>
  <cols>
    <col min="1" max="1" width="14" style="58" customWidth="1"/>
    <col min="2" max="2" width="11" style="58" customWidth="1"/>
    <col min="3" max="3" width="7" style="58" customWidth="1"/>
    <col min="4" max="4" width="20" style="58" customWidth="1"/>
    <col min="5" max="5" width="11" style="58" customWidth="1"/>
    <col min="6" max="6" width="12" style="58" customWidth="1"/>
    <col min="7" max="7" width="10" style="58" customWidth="1"/>
    <col min="8" max="8" width="12" style="58" customWidth="1"/>
    <col min="9" max="9" width="9" style="58" customWidth="1"/>
    <col min="10" max="10" width="10" style="58" customWidth="1"/>
    <col min="11" max="11" width="12" style="58" customWidth="1"/>
    <col min="12" max="12" width="46" style="58" customWidth="1"/>
    <col min="13" max="16384" width="8.67188" style="58" customWidth="1"/>
  </cols>
  <sheetData>
    <row r="1" ht="18.5" customHeight="1">
      <c r="A1" t="s" s="2">
        <v>274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</row>
    <row r="2" ht="13.65" customHeight="1">
      <c r="A2" t="s" s="5">
        <v>275</v>
      </c>
      <c r="B2" s="6"/>
      <c r="C2" s="6"/>
      <c r="D2" s="6"/>
      <c r="E2" s="6"/>
      <c r="F2" s="6"/>
      <c r="G2" s="6"/>
      <c r="H2" s="6"/>
      <c r="I2" s="6"/>
      <c r="J2" s="6"/>
      <c r="K2" s="6"/>
      <c r="L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41"/>
    </row>
    <row r="4" ht="27.75" customHeight="1">
      <c r="A4" t="s" s="21">
        <v>276</v>
      </c>
      <c r="B4" t="s" s="21">
        <v>277</v>
      </c>
      <c r="C4" t="s" s="21">
        <v>152</v>
      </c>
      <c r="D4" t="s" s="21">
        <v>278</v>
      </c>
      <c r="E4" t="s" s="21">
        <v>119</v>
      </c>
      <c r="F4" t="s" s="21">
        <v>279</v>
      </c>
      <c r="G4" t="s" s="21">
        <v>120</v>
      </c>
      <c r="H4" t="s" s="21">
        <v>121</v>
      </c>
      <c r="I4" t="s" s="21">
        <v>280</v>
      </c>
      <c r="J4" t="s" s="21">
        <v>281</v>
      </c>
      <c r="K4" t="s" s="21">
        <v>282</v>
      </c>
      <c r="L4" t="s" s="21">
        <v>283</v>
      </c>
    </row>
    <row r="5" ht="13.65" customHeight="1">
      <c r="A5" t="s" s="43">
        <v>284</v>
      </c>
      <c r="B5" t="s" s="59">
        <v>285</v>
      </c>
      <c r="C5" s="56">
        <v>1</v>
      </c>
      <c r="D5" t="s" s="43">
        <v>286</v>
      </c>
      <c r="E5" s="56" cm="1">
        <f t="array" ref="E5">ROUND('Tuning'!$B$21*POWER('Tuning'!$B$22,C5-1),0)</f>
        <v>300</v>
      </c>
      <c r="F5" s="56" cm="1">
        <f t="array" ref="F5">E5</f>
        <v>300</v>
      </c>
      <c r="G5" s="45" cm="1">
        <f t="array" ref="G5">ROUND(6*POWER('Tuning'!$B$23,C5-1),1)</f>
        <v>6</v>
      </c>
      <c r="H5" s="57">
        <v>1.1</v>
      </c>
      <c r="I5" s="60">
        <v>1</v>
      </c>
      <c r="J5" s="45" cm="1">
        <f t="array" ref="J5">G5*H5*I5</f>
        <v>6.6</v>
      </c>
      <c r="K5" s="56"/>
      <c r="L5" t="s" s="47">
        <v>287</v>
      </c>
    </row>
    <row r="6" ht="13.65" customHeight="1">
      <c r="A6" t="s" s="43">
        <v>284</v>
      </c>
      <c r="B6" t="s" s="43">
        <v>288</v>
      </c>
      <c r="C6" s="56">
        <v>2</v>
      </c>
      <c r="D6" t="s" s="43">
        <v>289</v>
      </c>
      <c r="E6" s="56" cm="1">
        <f t="array" ref="E6">ROUND('Tuning'!$B$21*POWER('Tuning'!$B$22,C6-1),0)</f>
        <v>705</v>
      </c>
      <c r="F6" s="56" cm="1">
        <f t="array" ref="F6">F5+E6</f>
        <v>1005</v>
      </c>
      <c r="G6" s="45" cm="1">
        <f t="array" ref="G6">ROUND(6*POWER('Tuning'!$B$23,C6-1),1)</f>
        <v>8.1</v>
      </c>
      <c r="H6" s="57">
        <v>1.1</v>
      </c>
      <c r="I6" s="60">
        <v>1</v>
      </c>
      <c r="J6" s="45" cm="1">
        <f t="array" ref="J6">G6*H6*I6</f>
        <v>8.91</v>
      </c>
      <c r="K6" s="60">
        <v>40</v>
      </c>
      <c r="L6" s="61"/>
    </row>
    <row r="7" ht="13.65" customHeight="1">
      <c r="A7" t="s" s="43">
        <v>284</v>
      </c>
      <c r="B7" t="s" s="43">
        <v>288</v>
      </c>
      <c r="C7" s="56">
        <v>3</v>
      </c>
      <c r="D7" t="s" s="43">
        <v>290</v>
      </c>
      <c r="E7" s="56" cm="1">
        <f t="array" ref="E7">ROUND('Tuning'!$B$21*POWER('Tuning'!$B$22,C7-1),0)</f>
        <v>1657</v>
      </c>
      <c r="F7" s="56" cm="1">
        <f t="array" ref="F7">F6+E7</f>
        <v>2662</v>
      </c>
      <c r="G7" s="45" cm="1">
        <f t="array" ref="G7">ROUND(6*POWER('Tuning'!$B$23,C7-1),1)</f>
        <v>10.9</v>
      </c>
      <c r="H7" s="57">
        <v>1.1</v>
      </c>
      <c r="I7" s="60">
        <v>1</v>
      </c>
      <c r="J7" s="45" cm="1">
        <f t="array" ref="J7">G7*H7*I7</f>
        <v>11.99</v>
      </c>
      <c r="K7" s="60">
        <v>35</v>
      </c>
      <c r="L7" s="61"/>
    </row>
    <row r="8" ht="13.65" customHeight="1">
      <c r="A8" t="s" s="43">
        <v>284</v>
      </c>
      <c r="B8" t="s" s="43">
        <v>288</v>
      </c>
      <c r="C8" s="56">
        <v>4</v>
      </c>
      <c r="D8" t="s" s="43">
        <v>291</v>
      </c>
      <c r="E8" s="56" cm="1">
        <f t="array" ref="E8">ROUND('Tuning'!$B$21*POWER('Tuning'!$B$22,C8-1),0)</f>
        <v>3893</v>
      </c>
      <c r="F8" s="56" cm="1">
        <f t="array" ref="F8">F7+E8</f>
        <v>6555</v>
      </c>
      <c r="G8" s="45" cm="1">
        <f t="array" ref="G8">ROUND(6*POWER('Tuning'!$B$23,C8-1),1)</f>
        <v>14.8</v>
      </c>
      <c r="H8" s="57">
        <v>1.1</v>
      </c>
      <c r="I8" s="60">
        <v>1</v>
      </c>
      <c r="J8" s="45" cm="1">
        <f t="array" ref="J8">G8*H8*I8</f>
        <v>16.28</v>
      </c>
      <c r="K8" s="60">
        <v>30</v>
      </c>
      <c r="L8" s="61"/>
    </row>
    <row r="9" ht="13.65" customHeight="1">
      <c r="A9" t="s" s="43">
        <v>284</v>
      </c>
      <c r="B9" t="s" s="43">
        <v>288</v>
      </c>
      <c r="C9" s="56">
        <v>5</v>
      </c>
      <c r="D9" t="s" s="43">
        <v>292</v>
      </c>
      <c r="E9" s="56" cm="1">
        <f t="array" ref="E9">ROUND('Tuning'!$B$21*POWER('Tuning'!$B$22,C9-1),0)</f>
        <v>9149</v>
      </c>
      <c r="F9" s="56" cm="1">
        <f t="array" ref="F9">F8+E9</f>
        <v>15704</v>
      </c>
      <c r="G9" s="45" cm="1">
        <f t="array" ref="G9">ROUND(6*POWER('Tuning'!$B$23,C9-1),1)</f>
        <v>19.9</v>
      </c>
      <c r="H9" s="57">
        <v>1.1</v>
      </c>
      <c r="I9" s="60">
        <v>2</v>
      </c>
      <c r="J9" s="45" cm="1">
        <f t="array" ref="J9">G9*H9*I9</f>
        <v>43.78</v>
      </c>
      <c r="K9" s="60">
        <v>25</v>
      </c>
      <c r="L9" s="61"/>
    </row>
    <row r="10" ht="13.65" customHeight="1">
      <c r="A10" t="s" s="43">
        <v>293</v>
      </c>
      <c r="B10" t="s" s="59">
        <v>285</v>
      </c>
      <c r="C10" s="56">
        <v>1</v>
      </c>
      <c r="D10" t="s" s="43">
        <v>294</v>
      </c>
      <c r="E10" s="56" cm="1">
        <f t="array" ref="E10">ROUND('Tuning'!$B$21*POWER('Tuning'!$B$22,C10-1),0)</f>
        <v>300</v>
      </c>
      <c r="F10" s="56" cm="1">
        <f t="array" ref="F10">E10</f>
        <v>300</v>
      </c>
      <c r="G10" s="45" cm="1">
        <f t="array" ref="G10">ROUND(1.2*POWER('Tuning'!$B$23,C10-1),1)</f>
        <v>1.2</v>
      </c>
      <c r="H10" s="57">
        <v>8</v>
      </c>
      <c r="I10" s="60">
        <v>1</v>
      </c>
      <c r="J10" s="45" cm="1">
        <f t="array" ref="J10">G10*H10*I10</f>
        <v>9.6</v>
      </c>
      <c r="K10" s="56"/>
      <c r="L10" t="s" s="47">
        <v>295</v>
      </c>
    </row>
    <row r="11" ht="13.65" customHeight="1">
      <c r="A11" t="s" s="43">
        <v>293</v>
      </c>
      <c r="B11" t="s" s="43">
        <v>296</v>
      </c>
      <c r="C11" s="56">
        <v>2</v>
      </c>
      <c r="D11" t="s" s="43">
        <v>297</v>
      </c>
      <c r="E11" s="56" cm="1">
        <f t="array" ref="E11">ROUND('Tuning'!$B$21*POWER('Tuning'!$B$22,C11-1),0)</f>
        <v>705</v>
      </c>
      <c r="F11" s="56" cm="1">
        <f t="array" ref="F11">F10+E11</f>
        <v>1005</v>
      </c>
      <c r="G11" s="45" cm="1">
        <f t="array" ref="G11">ROUND(1.2*POWER('Tuning'!$B$23,C11-1),1)</f>
        <v>1.6</v>
      </c>
      <c r="H11" s="57">
        <v>8</v>
      </c>
      <c r="I11" s="60">
        <v>1</v>
      </c>
      <c r="J11" s="45" cm="1">
        <f t="array" ref="J11">G11*H11*I11</f>
        <v>12.8</v>
      </c>
      <c r="K11" s="60">
        <v>40</v>
      </c>
      <c r="L11" s="61"/>
    </row>
    <row r="12" ht="13.65" customHeight="1">
      <c r="A12" t="s" s="43">
        <v>293</v>
      </c>
      <c r="B12" t="s" s="43">
        <v>296</v>
      </c>
      <c r="C12" s="56">
        <v>3</v>
      </c>
      <c r="D12" t="s" s="43">
        <v>298</v>
      </c>
      <c r="E12" s="56" cm="1">
        <f t="array" ref="E12">ROUND('Tuning'!$B$21*POWER('Tuning'!$B$22,C12-1),0)</f>
        <v>1657</v>
      </c>
      <c r="F12" s="56" cm="1">
        <f t="array" ref="F12">F11+E12</f>
        <v>2662</v>
      </c>
      <c r="G12" s="45" cm="1">
        <f t="array" ref="G12">ROUND(1.2*POWER('Tuning'!$B$23,C12-1),1)</f>
        <v>2.2</v>
      </c>
      <c r="H12" s="57">
        <v>8</v>
      </c>
      <c r="I12" s="60">
        <v>1</v>
      </c>
      <c r="J12" s="45" cm="1">
        <f t="array" ref="J12">G12*H12*I12</f>
        <v>17.6</v>
      </c>
      <c r="K12" s="60">
        <v>35</v>
      </c>
      <c r="L12" s="61"/>
    </row>
    <row r="13" ht="13.65" customHeight="1">
      <c r="A13" t="s" s="43">
        <v>293</v>
      </c>
      <c r="B13" t="s" s="43">
        <v>296</v>
      </c>
      <c r="C13" s="56">
        <v>4</v>
      </c>
      <c r="D13" t="s" s="43">
        <v>299</v>
      </c>
      <c r="E13" s="56" cm="1">
        <f t="array" ref="E13">ROUND('Tuning'!$B$21*POWER('Tuning'!$B$22,C13-1),0)</f>
        <v>3893</v>
      </c>
      <c r="F13" s="56" cm="1">
        <f t="array" ref="F13">F12+E13</f>
        <v>6555</v>
      </c>
      <c r="G13" s="45" cm="1">
        <f t="array" ref="G13">ROUND(1.2*POWER('Tuning'!$B$23,C13-1),1)</f>
        <v>3</v>
      </c>
      <c r="H13" s="57">
        <v>8</v>
      </c>
      <c r="I13" s="60">
        <v>1</v>
      </c>
      <c r="J13" s="45" cm="1">
        <f t="array" ref="J13">G13*H13*I13</f>
        <v>24</v>
      </c>
      <c r="K13" s="60">
        <v>30</v>
      </c>
      <c r="L13" s="61"/>
    </row>
    <row r="14" ht="13.65" customHeight="1">
      <c r="A14" t="s" s="43">
        <v>293</v>
      </c>
      <c r="B14" t="s" s="43">
        <v>296</v>
      </c>
      <c r="C14" s="56">
        <v>5</v>
      </c>
      <c r="D14" t="s" s="43">
        <v>300</v>
      </c>
      <c r="E14" s="56" cm="1">
        <f t="array" ref="E14">ROUND('Tuning'!$B$21*POWER('Tuning'!$B$22,C14-1),0)</f>
        <v>9149</v>
      </c>
      <c r="F14" s="56" cm="1">
        <f t="array" ref="F14">F13+E14</f>
        <v>15704</v>
      </c>
      <c r="G14" s="45" cm="1">
        <f t="array" ref="G14">ROUND(1.2*POWER('Tuning'!$B$23,C14-1),1)</f>
        <v>4</v>
      </c>
      <c r="H14" s="57">
        <v>8</v>
      </c>
      <c r="I14" s="60">
        <v>1</v>
      </c>
      <c r="J14" s="45" cm="1">
        <f t="array" ref="J14">G14*H14*I14</f>
        <v>32</v>
      </c>
      <c r="K14" s="60">
        <v>25</v>
      </c>
      <c r="L14" s="61"/>
    </row>
    <row r="15" ht="13.65" customHeight="1">
      <c r="A15" t="s" s="43">
        <v>301</v>
      </c>
      <c r="B15" t="s" s="59">
        <v>285</v>
      </c>
      <c r="C15" s="56">
        <v>1</v>
      </c>
      <c r="D15" t="s" s="43">
        <v>302</v>
      </c>
      <c r="E15" s="56" cm="1">
        <f t="array" ref="E15">ROUND('Tuning'!$B$21*POWER('Tuning'!$B$22,C15-1),0)</f>
        <v>300</v>
      </c>
      <c r="F15" s="56" cm="1">
        <f t="array" ref="F15">E15</f>
        <v>300</v>
      </c>
      <c r="G15" s="45" cm="1">
        <f t="array" ref="G15">ROUND(4*POWER('Tuning'!$B$23,C15-1),1)</f>
        <v>4</v>
      </c>
      <c r="H15" s="57">
        <v>1.3</v>
      </c>
      <c r="I15" s="60">
        <v>2</v>
      </c>
      <c r="J15" s="45" cm="1">
        <f t="array" ref="J15">G15*H15*I15</f>
        <v>10.4</v>
      </c>
      <c r="K15" s="56"/>
      <c r="L15" t="s" s="47">
        <v>303</v>
      </c>
    </row>
    <row r="16" ht="13.65" customHeight="1">
      <c r="A16" t="s" s="43">
        <v>301</v>
      </c>
      <c r="B16" t="s" s="43">
        <v>304</v>
      </c>
      <c r="C16" s="56">
        <v>2</v>
      </c>
      <c r="D16" t="s" s="43">
        <v>305</v>
      </c>
      <c r="E16" s="56" cm="1">
        <f t="array" ref="E16">ROUND('Tuning'!$B$21*POWER('Tuning'!$B$22,C16-1),0)</f>
        <v>705</v>
      </c>
      <c r="F16" s="56" cm="1">
        <f t="array" ref="F16">F15+E16</f>
        <v>1005</v>
      </c>
      <c r="G16" s="45" cm="1">
        <f t="array" ref="G16">ROUND(4*POWER('Tuning'!$B$23,C16-1),1)</f>
        <v>5.4</v>
      </c>
      <c r="H16" s="57">
        <v>1.3</v>
      </c>
      <c r="I16" s="60">
        <v>2</v>
      </c>
      <c r="J16" s="45" cm="1">
        <f t="array" ref="J16">G16*H16*I16</f>
        <v>14.04</v>
      </c>
      <c r="K16" s="60">
        <v>40</v>
      </c>
      <c r="L16" s="61"/>
    </row>
    <row r="17" ht="13.65" customHeight="1">
      <c r="A17" t="s" s="43">
        <v>301</v>
      </c>
      <c r="B17" t="s" s="43">
        <v>304</v>
      </c>
      <c r="C17" s="56">
        <v>3</v>
      </c>
      <c r="D17" t="s" s="43">
        <v>306</v>
      </c>
      <c r="E17" s="56" cm="1">
        <f t="array" ref="E17">ROUND('Tuning'!$B$21*POWER('Tuning'!$B$22,C17-1),0)</f>
        <v>1657</v>
      </c>
      <c r="F17" s="56" cm="1">
        <f t="array" ref="F17">F16+E17</f>
        <v>2662</v>
      </c>
      <c r="G17" s="45" cm="1">
        <f t="array" ref="G17">ROUND(4*POWER('Tuning'!$B$23,C17-1),1)</f>
        <v>7.3</v>
      </c>
      <c r="H17" s="57">
        <v>1.3</v>
      </c>
      <c r="I17" s="60">
        <v>3</v>
      </c>
      <c r="J17" s="45" cm="1">
        <f t="array" ref="J17">G17*H17*I17</f>
        <v>28.47</v>
      </c>
      <c r="K17" s="60">
        <v>35</v>
      </c>
      <c r="L17" s="61"/>
    </row>
    <row r="18" ht="13.65" customHeight="1">
      <c r="A18" t="s" s="43">
        <v>301</v>
      </c>
      <c r="B18" t="s" s="43">
        <v>304</v>
      </c>
      <c r="C18" s="56">
        <v>4</v>
      </c>
      <c r="D18" t="s" s="43">
        <v>307</v>
      </c>
      <c r="E18" s="56" cm="1">
        <f t="array" ref="E18">ROUND('Tuning'!$B$21*POWER('Tuning'!$B$22,C18-1),0)</f>
        <v>3893</v>
      </c>
      <c r="F18" s="56" cm="1">
        <f t="array" ref="F18">F17+E18</f>
        <v>6555</v>
      </c>
      <c r="G18" s="45" cm="1">
        <f t="array" ref="G18">ROUND(4*POWER('Tuning'!$B$23,C18-1),1)</f>
        <v>9.800000000000001</v>
      </c>
      <c r="H18" s="57">
        <v>1.3</v>
      </c>
      <c r="I18" s="60">
        <v>3</v>
      </c>
      <c r="J18" s="45" cm="1">
        <f t="array" ref="J18">G18*H18*I18</f>
        <v>38.22</v>
      </c>
      <c r="K18" s="60">
        <v>30</v>
      </c>
      <c r="L18" s="61"/>
    </row>
    <row r="19" ht="13.65" customHeight="1">
      <c r="A19" t="s" s="43">
        <v>301</v>
      </c>
      <c r="B19" t="s" s="43">
        <v>304</v>
      </c>
      <c r="C19" s="56">
        <v>5</v>
      </c>
      <c r="D19" t="s" s="43">
        <v>308</v>
      </c>
      <c r="E19" s="56" cm="1">
        <f t="array" ref="E19">ROUND('Tuning'!$B$21*POWER('Tuning'!$B$22,C19-1),0)</f>
        <v>9149</v>
      </c>
      <c r="F19" s="56" cm="1">
        <f t="array" ref="F19">F18+E19</f>
        <v>15704</v>
      </c>
      <c r="G19" s="45" cm="1">
        <f t="array" ref="G19">ROUND(4*POWER('Tuning'!$B$23,C19-1),1)</f>
        <v>13.3</v>
      </c>
      <c r="H19" s="57">
        <v>1.3</v>
      </c>
      <c r="I19" s="60">
        <v>3</v>
      </c>
      <c r="J19" s="45" cm="1">
        <f t="array" ref="J19">G19*H19*I19</f>
        <v>51.87</v>
      </c>
      <c r="K19" s="60">
        <v>25</v>
      </c>
      <c r="L19" s="61"/>
    </row>
    <row r="20" ht="13.55" customHeight="1">
      <c r="A20" s="62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50"/>
    </row>
    <row r="21" ht="14.6" customHeight="1">
      <c r="A21" t="s" s="11">
        <v>309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7"/>
    </row>
    <row r="22" ht="13.55" customHeight="1">
      <c r="A22" t="s" s="63">
        <v>310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26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64" customWidth="1"/>
    <col min="2" max="2" width="12" style="64" customWidth="1"/>
    <col min="3" max="3" width="18" style="64" customWidth="1"/>
    <col min="4" max="4" width="16" style="64" customWidth="1"/>
    <col min="5" max="5" width="86" style="64" customWidth="1"/>
    <col min="6" max="16384" width="8.67188" style="64" customWidth="1"/>
  </cols>
  <sheetData>
    <row r="1" ht="18.5" customHeight="1">
      <c r="A1" t="s" s="2">
        <v>311</v>
      </c>
      <c r="B1" s="3"/>
      <c r="C1" s="3"/>
      <c r="D1" s="3"/>
      <c r="E1" s="4"/>
    </row>
    <row r="2" ht="13.65" customHeight="1">
      <c r="A2" t="s" s="5">
        <v>312</v>
      </c>
      <c r="B2" s="6"/>
      <c r="C2" s="6"/>
      <c r="D2" s="6"/>
      <c r="E2" s="7"/>
    </row>
    <row r="3" ht="13.55" customHeight="1">
      <c r="A3" s="19"/>
      <c r="B3" s="20"/>
      <c r="C3" s="20"/>
      <c r="D3" s="20"/>
      <c r="E3" s="41"/>
    </row>
    <row r="4" ht="27.75" customHeight="1">
      <c r="A4" t="s" s="21">
        <v>313</v>
      </c>
      <c r="B4" t="s" s="21">
        <v>314</v>
      </c>
      <c r="C4" t="s" s="21">
        <v>315</v>
      </c>
      <c r="D4" t="s" s="21">
        <v>316</v>
      </c>
      <c r="E4" t="s" s="21">
        <v>317</v>
      </c>
    </row>
    <row r="5" ht="13.65" customHeight="1">
      <c r="A5" s="56">
        <v>1</v>
      </c>
      <c r="B5" s="56" cm="1">
        <f t="array" ref="B5">ROUND('Tuning'!$B$27*POWER('Tuning'!$B$28,A5-1),0)</f>
        <v>25</v>
      </c>
      <c r="C5" s="56" cm="1">
        <f t="array" ref="C5">B5</f>
        <v>25</v>
      </c>
      <c r="D5" s="45" cm="1">
        <f t="array" ref="D5">ROUND(C5/('Tuning'!$B$25+'Tuning'!$B$26*25),1)</f>
        <v>0.6</v>
      </c>
      <c r="E5" t="s" s="65">
        <v>318</v>
      </c>
    </row>
    <row r="6" ht="13.65" customHeight="1">
      <c r="A6" s="56">
        <v>2</v>
      </c>
      <c r="B6" s="56" cm="1">
        <f t="array" ref="B6">ROUND('Tuning'!$B$27*POWER('Tuning'!$B$28,A6-1),0)</f>
        <v>30</v>
      </c>
      <c r="C6" s="56" cm="1">
        <f t="array" ref="C6">C5+B6</f>
        <v>55</v>
      </c>
      <c r="D6" s="45" cm="1">
        <f t="array" ref="D6">ROUND(C6/('Tuning'!$B$25+'Tuning'!$B$26*25),1)</f>
        <v>1.3</v>
      </c>
      <c r="E6" t="s" s="65">
        <v>319</v>
      </c>
    </row>
    <row r="7" ht="13.65" customHeight="1">
      <c r="A7" s="56">
        <v>3</v>
      </c>
      <c r="B7" s="56" cm="1">
        <f t="array" ref="B7">ROUND('Tuning'!$B$27*POWER('Tuning'!$B$28,A7-1),0)</f>
        <v>35</v>
      </c>
      <c r="C7" s="56" cm="1">
        <f t="array" ref="C7">C6+B7</f>
        <v>90</v>
      </c>
      <c r="D7" s="45" cm="1">
        <f t="array" ref="D7">ROUND(C7/('Tuning'!$B$25+'Tuning'!$B$26*25),1)</f>
        <v>2.1</v>
      </c>
      <c r="E7" t="s" s="65">
        <v>320</v>
      </c>
    </row>
    <row r="8" ht="13.65" customHeight="1">
      <c r="A8" s="56">
        <v>4</v>
      </c>
      <c r="B8" s="56" cm="1">
        <f t="array" ref="B8">ROUND('Tuning'!$B$27*POWER('Tuning'!$B$28,A8-1),0)</f>
        <v>41</v>
      </c>
      <c r="C8" s="56" cm="1">
        <f t="array" ref="C8">C7+B8</f>
        <v>131</v>
      </c>
      <c r="D8" s="45" cm="1">
        <f t="array" ref="D8">ROUND(C8/('Tuning'!$B$25+'Tuning'!$B$26*25),1)</f>
        <v>3.1</v>
      </c>
      <c r="E8" t="s" s="65">
        <v>321</v>
      </c>
    </row>
    <row r="9" ht="13.65" customHeight="1">
      <c r="A9" s="66">
        <v>5</v>
      </c>
      <c r="B9" s="66" cm="1">
        <f t="array" ref="B9">ROUND('Tuning'!$B$27*POWER('Tuning'!$B$28,A9-1),0)</f>
        <v>48</v>
      </c>
      <c r="C9" s="66" cm="1">
        <f t="array" ref="C9">C8+B9</f>
        <v>179</v>
      </c>
      <c r="D9" s="67" cm="1">
        <f t="array" ref="D9">ROUND(C9/('Tuning'!$B$25+'Tuning'!$B$26*25),1)</f>
        <v>4.2</v>
      </c>
      <c r="E9" t="s" s="68">
        <v>322</v>
      </c>
    </row>
    <row r="10" ht="13.65" customHeight="1">
      <c r="A10" s="56">
        <v>6</v>
      </c>
      <c r="B10" s="56" cm="1">
        <f t="array" ref="B10">ROUND('Tuning'!$B$27*POWER('Tuning'!$B$28,A10-1),0)</f>
        <v>57</v>
      </c>
      <c r="C10" s="56" cm="1">
        <f t="array" ref="C10">C9+B10</f>
        <v>236</v>
      </c>
      <c r="D10" s="45" cm="1">
        <f t="array" ref="D10">ROUND(C10/('Tuning'!$B$25+'Tuning'!$B$26*25),1)</f>
        <v>5.6</v>
      </c>
      <c r="E10" s="69"/>
    </row>
    <row r="11" ht="13.65" customHeight="1">
      <c r="A11" s="56">
        <v>7</v>
      </c>
      <c r="B11" s="56" cm="1">
        <f t="array" ref="B11">ROUND('Tuning'!$B$27*POWER('Tuning'!$B$28,A11-1),0)</f>
        <v>67</v>
      </c>
      <c r="C11" s="56" cm="1">
        <f t="array" ref="C11">C10+B11</f>
        <v>303</v>
      </c>
      <c r="D11" s="45" cm="1">
        <f t="array" ref="D11">ROUND(C11/('Tuning'!$B$25+'Tuning'!$B$26*25),1)</f>
        <v>7.1</v>
      </c>
      <c r="E11" s="69"/>
    </row>
    <row r="12" ht="13.65" customHeight="1">
      <c r="A12" s="56">
        <v>8</v>
      </c>
      <c r="B12" s="56" cm="1">
        <f t="array" ref="B12">ROUND('Tuning'!$B$27*POWER('Tuning'!$B$28,A12-1),0)</f>
        <v>80</v>
      </c>
      <c r="C12" s="56" cm="1">
        <f t="array" ref="C12">C11+B12</f>
        <v>383</v>
      </c>
      <c r="D12" s="45" cm="1">
        <f t="array" ref="D12">ROUND(C12/('Tuning'!$B$25+'Tuning'!$B$26*25),1)</f>
        <v>9</v>
      </c>
      <c r="E12" s="69"/>
    </row>
    <row r="13" ht="13.65" customHeight="1">
      <c r="A13" s="56">
        <v>9</v>
      </c>
      <c r="B13" s="56" cm="1">
        <f t="array" ref="B13">ROUND('Tuning'!$B$27*POWER('Tuning'!$B$28,A13-1),0)</f>
        <v>94</v>
      </c>
      <c r="C13" s="56" cm="1">
        <f t="array" ref="C13">C12+B13</f>
        <v>477</v>
      </c>
      <c r="D13" s="45" cm="1">
        <f t="array" ref="D13">ROUND(C13/('Tuning'!$B$25+'Tuning'!$B$26*25),1)</f>
        <v>11.2</v>
      </c>
      <c r="E13" s="69"/>
    </row>
    <row r="14" ht="13.65" customHeight="1">
      <c r="A14" s="66">
        <v>10</v>
      </c>
      <c r="B14" s="66" cm="1">
        <f t="array" ref="B14">ROUND('Tuning'!$B$27*POWER('Tuning'!$B$28,A14-1),0)</f>
        <v>111</v>
      </c>
      <c r="C14" s="66" cm="1">
        <f t="array" ref="C14">C13+B14</f>
        <v>588</v>
      </c>
      <c r="D14" s="67" cm="1">
        <f t="array" ref="D14">ROUND(C14/('Tuning'!$B$25+'Tuning'!$B$26*25),1)</f>
        <v>13.8</v>
      </c>
      <c r="E14" t="s" s="68">
        <v>323</v>
      </c>
    </row>
    <row r="15" ht="13.65" customHeight="1">
      <c r="A15" s="56">
        <v>11</v>
      </c>
      <c r="B15" s="56" cm="1">
        <f t="array" ref="B15">ROUND('Tuning'!$B$27*POWER('Tuning'!$B$28,A15-1),0)</f>
        <v>131</v>
      </c>
      <c r="C15" s="56" cm="1">
        <f t="array" ref="C15">C14+B15</f>
        <v>719</v>
      </c>
      <c r="D15" s="45" cm="1">
        <f t="array" ref="D15">ROUND(C15/('Tuning'!$B$25+'Tuning'!$B$26*25),1)</f>
        <v>16.9</v>
      </c>
      <c r="E15" s="69"/>
    </row>
    <row r="16" ht="13.65" customHeight="1">
      <c r="A16" s="56">
        <v>12</v>
      </c>
      <c r="B16" s="56" cm="1">
        <f t="array" ref="B16">ROUND('Tuning'!$B$27*POWER('Tuning'!$B$28,A16-1),0)</f>
        <v>154</v>
      </c>
      <c r="C16" s="56" cm="1">
        <f t="array" ref="C16">C15+B16</f>
        <v>873</v>
      </c>
      <c r="D16" s="45" cm="1">
        <f t="array" ref="D16">ROUND(C16/('Tuning'!$B$25+'Tuning'!$B$26*25),1)</f>
        <v>20.5</v>
      </c>
      <c r="E16" s="69"/>
    </row>
    <row r="17" ht="13.65" customHeight="1">
      <c r="A17" s="56">
        <v>13</v>
      </c>
      <c r="B17" s="56" cm="1">
        <f t="array" ref="B17">ROUND('Tuning'!$B$27*POWER('Tuning'!$B$28,A17-1),0)</f>
        <v>182</v>
      </c>
      <c r="C17" s="56" cm="1">
        <f t="array" ref="C17">C16+B17</f>
        <v>1055</v>
      </c>
      <c r="D17" s="45" cm="1">
        <f t="array" ref="D17">ROUND(C17/('Tuning'!$B$25+'Tuning'!$B$26*25),1)</f>
        <v>24.8</v>
      </c>
      <c r="E17" s="69"/>
    </row>
    <row r="18" ht="13.65" customHeight="1">
      <c r="A18" s="56">
        <v>14</v>
      </c>
      <c r="B18" s="56" cm="1">
        <f t="array" ref="B18">ROUND('Tuning'!$B$27*POWER('Tuning'!$B$28,A18-1),0)</f>
        <v>215</v>
      </c>
      <c r="C18" s="56" cm="1">
        <f t="array" ref="C18">C17+B18</f>
        <v>1270</v>
      </c>
      <c r="D18" s="45" cm="1">
        <f t="array" ref="D18">ROUND(C18/('Tuning'!$B$25+'Tuning'!$B$26*25),1)</f>
        <v>29.9</v>
      </c>
      <c r="E18" s="69"/>
    </row>
    <row r="19" ht="13.65" customHeight="1">
      <c r="A19" s="66">
        <v>15</v>
      </c>
      <c r="B19" s="66" cm="1">
        <f t="array" ref="B19">ROUND('Tuning'!$B$27*POWER('Tuning'!$B$28,A19-1),0)</f>
        <v>254</v>
      </c>
      <c r="C19" s="66" cm="1">
        <f t="array" ref="C19">C18+B19</f>
        <v>1524</v>
      </c>
      <c r="D19" s="67" cm="1">
        <f t="array" ref="D19">ROUND(C19/('Tuning'!$B$25+'Tuning'!$B$26*25),1)</f>
        <v>35.9</v>
      </c>
      <c r="E19" t="s" s="68">
        <v>324</v>
      </c>
    </row>
    <row r="20" ht="13.65" customHeight="1">
      <c r="A20" s="56">
        <v>16</v>
      </c>
      <c r="B20" s="56" cm="1">
        <f t="array" ref="B20">ROUND('Tuning'!$B$27*POWER('Tuning'!$B$28,A20-1),0)</f>
        <v>299</v>
      </c>
      <c r="C20" s="56" cm="1">
        <f t="array" ref="C20">C19+B20</f>
        <v>1823</v>
      </c>
      <c r="D20" s="45" cm="1">
        <f t="array" ref="D20">ROUND(C20/('Tuning'!$B$25+'Tuning'!$B$26*25),1)</f>
        <v>42.9</v>
      </c>
      <c r="E20" s="69"/>
    </row>
    <row r="21" ht="13.65" customHeight="1">
      <c r="A21" s="56">
        <v>17</v>
      </c>
      <c r="B21" s="56" cm="1">
        <f t="array" ref="B21">ROUND('Tuning'!$B$27*POWER('Tuning'!$B$28,A21-1),0)</f>
        <v>353</v>
      </c>
      <c r="C21" s="56" cm="1">
        <f t="array" ref="C21">C20+B21</f>
        <v>2176</v>
      </c>
      <c r="D21" s="45" cm="1">
        <f t="array" ref="D21">ROUND(C21/('Tuning'!$B$25+'Tuning'!$B$26*25),1)</f>
        <v>51.2</v>
      </c>
      <c r="E21" s="69"/>
    </row>
    <row r="22" ht="13.65" customHeight="1">
      <c r="A22" s="56">
        <v>18</v>
      </c>
      <c r="B22" s="56" cm="1">
        <f t="array" ref="B22">ROUND('Tuning'!$B$27*POWER('Tuning'!$B$28,A22-1),0)</f>
        <v>417</v>
      </c>
      <c r="C22" s="56" cm="1">
        <f t="array" ref="C22">C21+B22</f>
        <v>2593</v>
      </c>
      <c r="D22" s="45" cm="1">
        <f t="array" ref="D22">ROUND(C22/('Tuning'!$B$25+'Tuning'!$B$26*25),1)</f>
        <v>61</v>
      </c>
      <c r="E22" s="69"/>
    </row>
    <row r="23" ht="13.65" customHeight="1">
      <c r="A23" s="56">
        <v>19</v>
      </c>
      <c r="B23" s="56" cm="1">
        <f t="array" ref="B23">ROUND('Tuning'!$B$27*POWER('Tuning'!$B$28,A23-1),0)</f>
        <v>492</v>
      </c>
      <c r="C23" s="56" cm="1">
        <f t="array" ref="C23">C22+B23</f>
        <v>3085</v>
      </c>
      <c r="D23" s="45" cm="1">
        <f t="array" ref="D23">ROUND(C23/('Tuning'!$B$25+'Tuning'!$B$26*25),1)</f>
        <v>72.59999999999999</v>
      </c>
      <c r="E23" s="69"/>
    </row>
    <row r="24" ht="13.65" customHeight="1">
      <c r="A24" s="66">
        <v>20</v>
      </c>
      <c r="B24" s="66" cm="1">
        <f t="array" ref="B24">ROUND('Tuning'!$B$27*POWER('Tuning'!$B$28,A24-1),0)</f>
        <v>580</v>
      </c>
      <c r="C24" s="66" cm="1">
        <f t="array" ref="C24">C23+B24</f>
        <v>3665</v>
      </c>
      <c r="D24" s="67" cm="1">
        <f t="array" ref="D24">ROUND(C24/('Tuning'!$B$25+'Tuning'!$B$26*25),1)</f>
        <v>86.2</v>
      </c>
      <c r="E24" t="s" s="68">
        <v>325</v>
      </c>
    </row>
    <row r="25" ht="13.55" customHeight="1">
      <c r="A25" s="62"/>
      <c r="B25" s="49"/>
      <c r="C25" s="49"/>
      <c r="D25" s="49"/>
      <c r="E25" s="50"/>
    </row>
    <row r="26" ht="13.55" customHeight="1">
      <c r="A26" t="s" s="70">
        <v>326</v>
      </c>
      <c r="B26" s="16"/>
      <c r="C26" s="16"/>
      <c r="D26" s="16"/>
      <c r="E26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M15"/>
  <sheetViews>
    <sheetView workbookViewId="0" showGridLines="0" defaultGridColor="1"/>
  </sheetViews>
  <sheetFormatPr defaultColWidth="8.66667" defaultRowHeight="15" customHeight="1" outlineLevelRow="0" outlineLevelCol="0"/>
  <cols>
    <col min="1" max="1" width="10" style="71" customWidth="1"/>
    <col min="2" max="2" width="16" style="71" customWidth="1"/>
    <col min="3" max="3" width="10" style="71" customWidth="1"/>
    <col min="4" max="4" width="11" style="71" customWidth="1"/>
    <col min="5" max="5" width="9" style="71" customWidth="1"/>
    <col min="6" max="6" width="14" style="71" customWidth="1"/>
    <col min="7" max="7" width="12" style="71" customWidth="1"/>
    <col min="8" max="8" width="13" style="71" customWidth="1"/>
    <col min="9" max="9" width="12" style="71" customWidth="1"/>
    <col min="10" max="10" width="9" style="71" customWidth="1"/>
    <col min="11" max="11" width="46" style="71" customWidth="1"/>
    <col min="12" max="13" width="8.67188" style="71" customWidth="1"/>
    <col min="14" max="16384" width="8.67188" style="71" customWidth="1"/>
  </cols>
  <sheetData>
    <row r="1" ht="18.5" customHeight="1">
      <c r="A1" t="s" s="2">
        <v>327</v>
      </c>
      <c r="B1" s="3"/>
      <c r="C1" s="3"/>
      <c r="D1" s="3"/>
      <c r="E1" s="3"/>
      <c r="F1" s="3"/>
      <c r="G1" s="3"/>
      <c r="H1" s="3"/>
      <c r="I1" s="3"/>
      <c r="J1" s="3"/>
      <c r="K1" s="4"/>
      <c r="L1" s="36"/>
      <c r="M1" s="4"/>
    </row>
    <row r="2" ht="13.65" customHeight="1">
      <c r="A2" t="s" s="5">
        <v>328</v>
      </c>
      <c r="B2" s="6"/>
      <c r="C2" s="6"/>
      <c r="D2" s="6"/>
      <c r="E2" s="6"/>
      <c r="F2" s="6"/>
      <c r="G2" s="6"/>
      <c r="H2" s="6"/>
      <c r="I2" s="6"/>
      <c r="J2" s="6"/>
      <c r="K2" s="7"/>
      <c r="L2" s="8"/>
      <c r="M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41"/>
      <c r="L3" s="19"/>
      <c r="M3" s="41"/>
    </row>
    <row r="4" ht="27.75" customHeight="1">
      <c r="A4" t="s" s="21">
        <v>329</v>
      </c>
      <c r="B4" t="s" s="21">
        <v>330</v>
      </c>
      <c r="C4" t="s" s="21">
        <v>331</v>
      </c>
      <c r="D4" t="s" s="21">
        <v>332</v>
      </c>
      <c r="E4" t="s" s="21">
        <v>333</v>
      </c>
      <c r="F4" t="s" s="21">
        <v>334</v>
      </c>
      <c r="G4" t="s" s="21">
        <v>335</v>
      </c>
      <c r="H4" t="s" s="21">
        <v>336</v>
      </c>
      <c r="I4" t="s" s="21">
        <v>337</v>
      </c>
      <c r="J4" t="s" s="21">
        <v>338</v>
      </c>
      <c r="K4" t="s" s="21">
        <v>339</v>
      </c>
      <c r="L4" t="s" s="21">
        <v>340</v>
      </c>
      <c r="M4" t="s" s="21">
        <v>341</v>
      </c>
    </row>
    <row r="5" ht="13.65" customHeight="1">
      <c r="A5" t="s" s="65">
        <v>342</v>
      </c>
      <c r="B5" t="s" s="43">
        <v>343</v>
      </c>
      <c r="C5" s="27">
        <v>1</v>
      </c>
      <c r="D5" s="45" cm="1">
        <f t="array" ref="D5">ROUND(C5*'Tuning'!$B$16,1)</f>
        <v>1</v>
      </c>
      <c r="E5" s="30">
        <v>1</v>
      </c>
      <c r="F5" t="s" s="43">
        <v>344</v>
      </c>
      <c r="G5" s="60">
        <v>0</v>
      </c>
      <c r="H5" s="45" cm="1">
        <f t="array" ref="H5">D5</f>
        <v>1</v>
      </c>
      <c r="I5" s="56" cm="1">
        <f t="array" ref="I5">ROUND(H5*'Tuning'!$B$8,0)</f>
        <v>0</v>
      </c>
      <c r="J5" t="s" s="46">
        <v>138</v>
      </c>
      <c r="K5" t="s" s="47">
        <v>345</v>
      </c>
      <c r="L5" t="s" s="46">
        <v>138</v>
      </c>
      <c r="M5" t="s" s="46">
        <v>138</v>
      </c>
    </row>
    <row r="6" ht="13.65" customHeight="1">
      <c r="A6" t="s" s="65">
        <v>346</v>
      </c>
      <c r="B6" t="s" s="43">
        <v>347</v>
      </c>
      <c r="C6" s="27">
        <v>1</v>
      </c>
      <c r="D6" s="45" cm="1">
        <f t="array" ref="D6">ROUND(C6*'Tuning'!$B$16,1)</f>
        <v>1</v>
      </c>
      <c r="E6" s="30">
        <v>1.2</v>
      </c>
      <c r="F6" t="s" s="43">
        <v>342</v>
      </c>
      <c r="G6" s="60">
        <v>2</v>
      </c>
      <c r="H6" s="45" cm="1">
        <f t="array" ref="H6">D6+G6*H5</f>
        <v>3</v>
      </c>
      <c r="I6" s="56" cm="1">
        <f t="array" ref="I6">ROUND(H6*'Tuning'!$B$8,0)</f>
        <v>1</v>
      </c>
      <c r="J6" t="s" s="46">
        <v>138</v>
      </c>
      <c r="K6" s="61"/>
      <c r="L6" t="s" s="46">
        <v>138</v>
      </c>
      <c r="M6" t="s" s="46">
        <v>138</v>
      </c>
    </row>
    <row r="7" ht="13.65" customHeight="1">
      <c r="A7" t="s" s="65">
        <v>348</v>
      </c>
      <c r="B7" t="s" s="43">
        <v>349</v>
      </c>
      <c r="C7" s="27">
        <v>2</v>
      </c>
      <c r="D7" s="45" cm="1">
        <f t="array" ref="D7">ROUND(C7*'Tuning'!$B$16,1)</f>
        <v>2</v>
      </c>
      <c r="E7" s="30">
        <v>1</v>
      </c>
      <c r="F7" t="s" s="43">
        <v>346</v>
      </c>
      <c r="G7" s="60">
        <v>2</v>
      </c>
      <c r="H7" s="45" cm="1">
        <f t="array" ref="H7">D7+G7*H6</f>
        <v>8</v>
      </c>
      <c r="I7" s="56" cm="1">
        <f t="array" ref="I7">ROUND(H7*'Tuning'!$B$8,0)</f>
        <v>3</v>
      </c>
      <c r="J7" t="s" s="46">
        <v>138</v>
      </c>
      <c r="K7" s="61"/>
      <c r="L7" t="s" s="46">
        <v>138</v>
      </c>
      <c r="M7" t="s" s="46">
        <v>138</v>
      </c>
    </row>
    <row r="8" ht="13.65" customHeight="1">
      <c r="A8" t="s" s="65">
        <v>350</v>
      </c>
      <c r="B8" t="s" s="43">
        <v>351</v>
      </c>
      <c r="C8" s="27">
        <v>3</v>
      </c>
      <c r="D8" s="45" cm="1">
        <f t="array" ref="D8">ROUND(C8*'Tuning'!$B$16,1)</f>
        <v>3</v>
      </c>
      <c r="E8" s="30">
        <v>0.8</v>
      </c>
      <c r="F8" t="s" s="43">
        <v>348</v>
      </c>
      <c r="G8" s="60">
        <v>2</v>
      </c>
      <c r="H8" s="45" cm="1">
        <f t="array" ref="H8">D8+G8*H7</f>
        <v>19</v>
      </c>
      <c r="I8" s="56" cm="1">
        <f t="array" ref="I8">ROUND(H8*'Tuning'!$B$8,0)</f>
        <v>8</v>
      </c>
      <c r="J8" t="s" s="46">
        <v>138</v>
      </c>
      <c r="K8" t="s" s="47">
        <v>352</v>
      </c>
      <c r="L8" t="s" s="46">
        <v>131</v>
      </c>
      <c r="M8" t="s" s="46">
        <v>138</v>
      </c>
    </row>
    <row r="9" ht="13.65" customHeight="1">
      <c r="A9" t="s" s="65">
        <v>353</v>
      </c>
      <c r="B9" t="s" s="43">
        <v>354</v>
      </c>
      <c r="C9" s="27">
        <v>4</v>
      </c>
      <c r="D9" s="45" cm="1">
        <f t="array" ref="D9">ROUND(C9*'Tuning'!$B$16,1)</f>
        <v>4</v>
      </c>
      <c r="E9" s="30">
        <v>1.4</v>
      </c>
      <c r="F9" t="s" s="43">
        <v>350</v>
      </c>
      <c r="G9" s="60">
        <v>3</v>
      </c>
      <c r="H9" s="45" cm="1">
        <f t="array" ref="H9">D9+G9*H8</f>
        <v>61</v>
      </c>
      <c r="I9" s="56" cm="1">
        <f t="array" ref="I9">ROUND(H9*'Tuning'!$B$8,0)</f>
        <v>26</v>
      </c>
      <c r="J9" t="s" s="46">
        <v>138</v>
      </c>
      <c r="K9" t="s" s="47">
        <v>355</v>
      </c>
      <c r="L9" t="s" s="46">
        <v>138</v>
      </c>
      <c r="M9" t="s" s="46">
        <v>138</v>
      </c>
    </row>
    <row r="10" ht="13.65" customHeight="1">
      <c r="A10" t="s" s="65">
        <v>356</v>
      </c>
      <c r="B10" t="s" s="43">
        <v>357</v>
      </c>
      <c r="C10" s="27">
        <v>4</v>
      </c>
      <c r="D10" s="45" cm="1">
        <f t="array" ref="D10">ROUND(C10*'Tuning'!$B$16,1)</f>
        <v>4</v>
      </c>
      <c r="E10" s="30">
        <v>0.9</v>
      </c>
      <c r="F10" t="s" s="43">
        <v>348</v>
      </c>
      <c r="G10" s="60">
        <v>2</v>
      </c>
      <c r="H10" s="45" cm="1">
        <f t="array" ref="H10">D10+G10*H7</f>
        <v>20</v>
      </c>
      <c r="I10" s="56" cm="1">
        <f t="array" ref="I10">ROUND(H10*'Tuning'!$B$8,0)</f>
        <v>9</v>
      </c>
      <c r="J10" t="s" s="46">
        <v>131</v>
      </c>
      <c r="K10" t="s" s="47">
        <v>358</v>
      </c>
      <c r="L10" t="s" s="46">
        <v>138</v>
      </c>
      <c r="M10" t="s" s="46">
        <v>138</v>
      </c>
    </row>
    <row r="11" ht="13.65" customHeight="1">
      <c r="A11" t="s" s="65">
        <v>359</v>
      </c>
      <c r="B11" t="s" s="43">
        <v>360</v>
      </c>
      <c r="C11" s="27">
        <v>200</v>
      </c>
      <c r="D11" s="45" cm="1">
        <f t="array" ref="D11">ROUND(C11*'Tuning'!$B$16,1)</f>
        <v>200</v>
      </c>
      <c r="E11" s="30">
        <v>0.5</v>
      </c>
      <c r="F11" t="s" s="43">
        <v>356</v>
      </c>
      <c r="G11" s="60">
        <v>4</v>
      </c>
      <c r="H11" s="45" cm="1">
        <f t="array" ref="H11">D11+G11*H10</f>
        <v>280</v>
      </c>
      <c r="I11" s="56" cm="1">
        <f t="array" ref="I11">ROUND(H11*'Tuning'!$B$8,0)</f>
        <v>120</v>
      </c>
      <c r="J11" t="s" s="46">
        <v>131</v>
      </c>
      <c r="K11" t="s" s="47">
        <v>361</v>
      </c>
      <c r="L11" t="s" s="46">
        <v>138</v>
      </c>
      <c r="M11" t="s" s="46">
        <v>131</v>
      </c>
    </row>
    <row r="12" ht="13.65" customHeight="1">
      <c r="A12" t="s" s="65">
        <v>362</v>
      </c>
      <c r="B12" t="s" s="43">
        <v>363</v>
      </c>
      <c r="C12" s="27">
        <v>700</v>
      </c>
      <c r="D12" s="45" cm="1">
        <f t="array" ref="D12">ROUND(C12*'Tuning'!$B$16,1)</f>
        <v>700</v>
      </c>
      <c r="E12" s="30">
        <v>0.4</v>
      </c>
      <c r="F12" t="s" s="43">
        <v>359</v>
      </c>
      <c r="G12" s="60">
        <v>4</v>
      </c>
      <c r="H12" s="45" cm="1">
        <f t="array" ref="H12">D12+G12*H11</f>
        <v>1820</v>
      </c>
      <c r="I12" s="56" cm="1">
        <f t="array" ref="I12">ROUND(H12*'Tuning'!$B$8,0)</f>
        <v>783</v>
      </c>
      <c r="J12" t="s" s="46">
        <v>131</v>
      </c>
      <c r="K12" t="s" s="47">
        <v>364</v>
      </c>
      <c r="L12" t="s" s="46">
        <v>138</v>
      </c>
      <c r="M12" t="s" s="46">
        <v>131</v>
      </c>
    </row>
    <row r="13" ht="13.55" customHeight="1">
      <c r="A13" s="62"/>
      <c r="B13" s="49"/>
      <c r="C13" s="49"/>
      <c r="D13" s="49"/>
      <c r="E13" s="49"/>
      <c r="F13" s="49"/>
      <c r="G13" s="49"/>
      <c r="H13" s="49"/>
      <c r="I13" s="49"/>
      <c r="J13" s="49"/>
      <c r="K13" s="50"/>
      <c r="L13" s="62"/>
      <c r="M13" s="50"/>
    </row>
    <row r="14" ht="14.6" customHeight="1">
      <c r="A14" t="s" s="11">
        <v>365</v>
      </c>
      <c r="B14" s="6"/>
      <c r="C14" s="6"/>
      <c r="D14" s="6"/>
      <c r="E14" s="6"/>
      <c r="F14" s="6"/>
      <c r="G14" s="6"/>
      <c r="H14" s="6"/>
      <c r="I14" s="6"/>
      <c r="J14" s="6"/>
      <c r="K14" s="7"/>
      <c r="L14" s="8"/>
      <c r="M14" s="7"/>
    </row>
    <row r="15" ht="13.55" customHeight="1">
      <c r="A15" t="s" s="63">
        <v>366</v>
      </c>
      <c r="B15" s="16"/>
      <c r="C15" s="16"/>
      <c r="D15" s="16"/>
      <c r="E15" s="16"/>
      <c r="F15" s="16"/>
      <c r="G15" s="16"/>
      <c r="H15" s="16"/>
      <c r="I15" s="16"/>
      <c r="J15" s="16"/>
      <c r="K15" s="17"/>
      <c r="L15" s="72"/>
      <c r="M15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S48"/>
  <sheetViews>
    <sheetView workbookViewId="0" showGridLines="0" defaultGridColor="1"/>
  </sheetViews>
  <sheetFormatPr defaultColWidth="8.66667" defaultRowHeight="15" customHeight="1" outlineLevelRow="0" outlineLevelCol="0"/>
  <cols>
    <col min="1" max="7" width="7" style="73" customWidth="1"/>
    <col min="8" max="8" width="9" style="73" customWidth="1"/>
    <col min="9" max="9" width="7" style="73" customWidth="1"/>
    <col min="10" max="10" width="9" style="73" customWidth="1"/>
    <col min="11" max="12" width="13" style="73" customWidth="1"/>
    <col min="13" max="13" width="11" style="73" customWidth="1"/>
    <col min="14" max="14" width="15" style="73" customWidth="1"/>
    <col min="15" max="15" width="13" style="73" customWidth="1"/>
    <col min="16" max="16" width="12" style="73" customWidth="1"/>
    <col min="17" max="18" width="13" style="73" customWidth="1"/>
    <col min="19" max="19" width="15" style="73" customWidth="1"/>
    <col min="20" max="16384" width="8.67188" style="73" customWidth="1"/>
  </cols>
  <sheetData>
    <row r="1" ht="18.5" customHeight="1">
      <c r="A1" t="s" s="2">
        <v>367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</row>
    <row r="2" ht="13.65" customHeight="1">
      <c r="A2" t="s" s="5">
        <v>368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41"/>
    </row>
    <row r="4" ht="27.75" customHeight="1">
      <c r="A4" t="s" s="21">
        <v>369</v>
      </c>
      <c r="B4" t="s" s="21">
        <v>343</v>
      </c>
      <c r="C4" t="s" s="21">
        <v>370</v>
      </c>
      <c r="D4" t="s" s="21">
        <v>371</v>
      </c>
      <c r="E4" t="s" s="21">
        <v>372</v>
      </c>
      <c r="F4" t="s" s="21">
        <v>373</v>
      </c>
      <c r="G4" t="s" s="21">
        <v>374</v>
      </c>
      <c r="H4" t="s" s="21">
        <v>375</v>
      </c>
      <c r="I4" t="s" s="21">
        <v>376</v>
      </c>
      <c r="J4" t="s" s="21">
        <v>22</v>
      </c>
      <c r="K4" t="s" s="21">
        <v>377</v>
      </c>
      <c r="L4" t="s" s="21">
        <v>378</v>
      </c>
      <c r="M4" t="s" s="21">
        <v>379</v>
      </c>
      <c r="N4" t="s" s="21">
        <v>380</v>
      </c>
      <c r="O4" t="s" s="21">
        <v>381</v>
      </c>
      <c r="P4" t="s" s="21">
        <v>382</v>
      </c>
      <c r="Q4" t="s" s="21">
        <v>383</v>
      </c>
      <c r="R4" t="s" s="21">
        <v>384</v>
      </c>
      <c r="S4" t="s" s="21">
        <v>385</v>
      </c>
    </row>
    <row r="5" ht="13.65" customHeight="1">
      <c r="A5" s="56">
        <v>1</v>
      </c>
      <c r="B5" s="60">
        <v>17</v>
      </c>
      <c r="C5" s="60">
        <v>7</v>
      </c>
      <c r="D5" s="60">
        <v>0</v>
      </c>
      <c r="E5" s="60">
        <v>0</v>
      </c>
      <c r="F5" s="60">
        <v>0</v>
      </c>
      <c r="G5" s="60">
        <v>0</v>
      </c>
      <c r="H5" s="60">
        <v>0</v>
      </c>
      <c r="I5" s="60">
        <v>0</v>
      </c>
      <c r="J5" s="56" cm="1">
        <f t="array" ref="J5">SUM(B5:I5)</f>
        <v>24</v>
      </c>
      <c r="K5" s="74" cm="1">
        <f t="array" ref="K5">ROUND(POWER('Tuning'!$B$17,A5-1),3)</f>
        <v>1</v>
      </c>
      <c r="L5" s="57">
        <v>1.19</v>
      </c>
      <c r="M5" s="75" cm="1">
        <f t="array" ref="M5">ROUND((B5*'Enemies'!$H$5+C5*'Enemies'!$H$6+D5*'Enemies'!$H$7+E5*'Enemies'!$H$8+F5*'Enemies'!$H$9+G5*'Enemies'!$H$10+H5*'Enemies'!$H$11+I5*'Enemies'!$H$12)*K5,0)</f>
        <v>38</v>
      </c>
      <c r="N5" s="56" cm="1">
        <f t="array" ref="N5">ROUND(J5*L5+14,0)</f>
        <v>43</v>
      </c>
      <c r="O5" s="45" cm="1">
        <f t="array" ref="O5">IF(N5=0,0,ROUND(M5/N5,1))</f>
        <v>0.9</v>
      </c>
      <c r="P5" s="56" cm="1">
        <f t="array" ref="P5">ROUND(M5*'Tuning'!$B$8,0)</f>
        <v>16</v>
      </c>
      <c r="Q5" s="56" cm="1">
        <f t="array" ref="Q5">ROUND('Tuning'!$B$9+'Tuning'!$B$10*A5,0)</f>
        <v>61</v>
      </c>
      <c r="R5" s="56" cm="1">
        <f t="array" ref="R5">P5+Q5</f>
        <v>77</v>
      </c>
      <c r="S5" s="56" cm="1">
        <f t="array" ref="S5">'Tuning'!$B$6+R5</f>
        <v>527</v>
      </c>
    </row>
    <row r="6" ht="13.65" customHeight="1">
      <c r="A6" s="56">
        <v>2</v>
      </c>
      <c r="B6" s="60">
        <v>20</v>
      </c>
      <c r="C6" s="60">
        <v>8</v>
      </c>
      <c r="D6" s="60">
        <v>0</v>
      </c>
      <c r="E6" s="60">
        <v>0</v>
      </c>
      <c r="F6" s="60">
        <v>0</v>
      </c>
      <c r="G6" s="60">
        <v>0</v>
      </c>
      <c r="H6" s="60">
        <v>0</v>
      </c>
      <c r="I6" s="60">
        <v>0</v>
      </c>
      <c r="J6" s="56" cm="1">
        <f t="array" ref="J6">SUM(B6:I6)</f>
        <v>28</v>
      </c>
      <c r="K6" s="74" cm="1">
        <f t="array" ref="K6">ROUND(POWER('Tuning'!$B$17,A6-1),3)</f>
        <v>1.052</v>
      </c>
      <c r="L6" s="57">
        <v>1.17</v>
      </c>
      <c r="M6" s="75" cm="1">
        <f t="array" ref="M6">ROUND((B6*'Enemies'!$H$5+C6*'Enemies'!$H$6+D6*'Enemies'!$H$7+E6*'Enemies'!$H$8+F6*'Enemies'!$H$9+G6*'Enemies'!$H$10+H6*'Enemies'!$H$11+I6*'Enemies'!$H$12)*K6,0)</f>
        <v>46</v>
      </c>
      <c r="N6" s="56" cm="1">
        <f t="array" ref="N6">ROUND(J6*L6+14,0)</f>
        <v>47</v>
      </c>
      <c r="O6" s="45" cm="1">
        <f t="array" ref="O6">IF(N6=0,0,ROUND(M6/N6,1))</f>
        <v>1</v>
      </c>
      <c r="P6" s="56" cm="1">
        <f t="array" ref="P6">ROUND(M6*'Tuning'!$B$8,0)</f>
        <v>20</v>
      </c>
      <c r="Q6" s="56" cm="1">
        <f t="array" ref="Q6">ROUND('Tuning'!$B$9+'Tuning'!$B$10*A6,0)</f>
        <v>62</v>
      </c>
      <c r="R6" s="56" cm="1">
        <f t="array" ref="R6">P6+Q6</f>
        <v>82</v>
      </c>
      <c r="S6" s="56" cm="1">
        <f t="array" ref="S6">S5+R6</f>
        <v>609</v>
      </c>
    </row>
    <row r="7" ht="13.65" customHeight="1">
      <c r="A7" s="56">
        <v>3</v>
      </c>
      <c r="B7" s="60">
        <v>23</v>
      </c>
      <c r="C7" s="60">
        <v>9</v>
      </c>
      <c r="D7" s="60">
        <v>0</v>
      </c>
      <c r="E7" s="60">
        <v>0</v>
      </c>
      <c r="F7" s="60">
        <v>0</v>
      </c>
      <c r="G7" s="60">
        <v>0</v>
      </c>
      <c r="H7" s="60">
        <v>0</v>
      </c>
      <c r="I7" s="60">
        <v>0</v>
      </c>
      <c r="J7" s="56" cm="1">
        <f t="array" ref="J7">SUM(B7:I7)</f>
        <v>32</v>
      </c>
      <c r="K7" s="74" cm="1">
        <f t="array" ref="K7">ROUND(POWER('Tuning'!$B$17,A7-1),3)</f>
        <v>1.107</v>
      </c>
      <c r="L7" s="57">
        <v>1.16</v>
      </c>
      <c r="M7" s="75" cm="1">
        <f t="array" ref="M7">ROUND((B7*'Enemies'!$H$5+C7*'Enemies'!$H$6+D7*'Enemies'!$H$7+E7*'Enemies'!$H$8+F7*'Enemies'!$H$9+G7*'Enemies'!$H$10+H7*'Enemies'!$H$11+I7*'Enemies'!$H$12)*K7,0)</f>
        <v>55</v>
      </c>
      <c r="N7" s="56" cm="1">
        <f t="array" ref="N7">ROUND(J7*L7+14,0)</f>
        <v>51</v>
      </c>
      <c r="O7" s="45" cm="1">
        <f t="array" ref="O7">IF(N7=0,0,ROUND(M7/N7,1))</f>
        <v>1.1</v>
      </c>
      <c r="P7" s="56" cm="1">
        <f t="array" ref="P7">ROUND(M7*'Tuning'!$B$8,0)</f>
        <v>24</v>
      </c>
      <c r="Q7" s="56" cm="1">
        <f t="array" ref="Q7">ROUND('Tuning'!$B$9+'Tuning'!$B$10*A7,0)</f>
        <v>63</v>
      </c>
      <c r="R7" s="56" cm="1">
        <f t="array" ref="R7">P7+Q7</f>
        <v>87</v>
      </c>
      <c r="S7" s="56" cm="1">
        <f t="array" ref="S7">S6+R7</f>
        <v>696</v>
      </c>
    </row>
    <row r="8" ht="13.65" customHeight="1">
      <c r="A8" s="56">
        <v>4</v>
      </c>
      <c r="B8" s="60">
        <v>26</v>
      </c>
      <c r="C8" s="60">
        <v>10</v>
      </c>
      <c r="D8" s="60">
        <v>0</v>
      </c>
      <c r="E8" s="60">
        <v>0</v>
      </c>
      <c r="F8" s="60">
        <v>0</v>
      </c>
      <c r="G8" s="60">
        <v>0</v>
      </c>
      <c r="H8" s="60">
        <v>0</v>
      </c>
      <c r="I8" s="60">
        <v>0</v>
      </c>
      <c r="J8" s="56" cm="1">
        <f t="array" ref="J8">SUM(B8:I8)</f>
        <v>36</v>
      </c>
      <c r="K8" s="74" cm="1">
        <f t="array" ref="K8">ROUND(POWER('Tuning'!$B$17,A8-1),3)</f>
        <v>1.164</v>
      </c>
      <c r="L8" s="57">
        <v>1.14</v>
      </c>
      <c r="M8" s="75" cm="1">
        <f t="array" ref="M8">ROUND((B8*'Enemies'!$H$5+C8*'Enemies'!$H$6+D8*'Enemies'!$H$7+E8*'Enemies'!$H$8+F8*'Enemies'!$H$9+G8*'Enemies'!$H$10+H8*'Enemies'!$H$11+I8*'Enemies'!$H$12)*K8,0)</f>
        <v>65</v>
      </c>
      <c r="N8" s="56" cm="1">
        <f t="array" ref="N8">ROUND(J8*L8+14,0)</f>
        <v>55</v>
      </c>
      <c r="O8" s="45" cm="1">
        <f t="array" ref="O8">IF(N8=0,0,ROUND(M8/N8,1))</f>
        <v>1.2</v>
      </c>
      <c r="P8" s="56" cm="1">
        <f t="array" ref="P8">ROUND(M8*'Tuning'!$B$8,0)</f>
        <v>28</v>
      </c>
      <c r="Q8" s="56" cm="1">
        <f t="array" ref="Q8">ROUND('Tuning'!$B$9+'Tuning'!$B$10*A8,0)</f>
        <v>64</v>
      </c>
      <c r="R8" s="56" cm="1">
        <f t="array" ref="R8">P8+Q8</f>
        <v>92</v>
      </c>
      <c r="S8" s="56" cm="1">
        <f t="array" ref="S8">S7+R8</f>
        <v>788</v>
      </c>
    </row>
    <row r="9" ht="13.65" customHeight="1">
      <c r="A9" s="56">
        <v>5</v>
      </c>
      <c r="B9" s="60">
        <v>29</v>
      </c>
      <c r="C9" s="60">
        <v>11</v>
      </c>
      <c r="D9" s="60">
        <v>0</v>
      </c>
      <c r="E9" s="60">
        <v>0</v>
      </c>
      <c r="F9" s="60">
        <v>0</v>
      </c>
      <c r="G9" s="60">
        <v>0</v>
      </c>
      <c r="H9" s="60">
        <v>0</v>
      </c>
      <c r="I9" s="60">
        <v>0</v>
      </c>
      <c r="J9" s="56" cm="1">
        <f t="array" ref="J9">SUM(B9:I9)</f>
        <v>40</v>
      </c>
      <c r="K9" s="74" cm="1">
        <f t="array" ref="K9">ROUND(POWER('Tuning'!$B$17,A9-1),3)</f>
        <v>1.225</v>
      </c>
      <c r="L9" s="57">
        <v>1.13</v>
      </c>
      <c r="M9" s="75" cm="1">
        <f t="array" ref="M9">ROUND((B9*'Enemies'!$H$5+C9*'Enemies'!$H$6+D9*'Enemies'!$H$7+E9*'Enemies'!$H$8+F9*'Enemies'!$H$9+G9*'Enemies'!$H$10+H9*'Enemies'!$H$11+I9*'Enemies'!$H$12)*K9,0)</f>
        <v>76</v>
      </c>
      <c r="N9" s="56" cm="1">
        <f t="array" ref="N9">ROUND(J9*L9+14,0)</f>
        <v>59</v>
      </c>
      <c r="O9" s="45" cm="1">
        <f t="array" ref="O9">IF(N9=0,0,ROUND(M9/N9,1))</f>
        <v>1.3</v>
      </c>
      <c r="P9" s="56" cm="1">
        <f t="array" ref="P9">ROUND(M9*'Tuning'!$B$8,0)</f>
        <v>33</v>
      </c>
      <c r="Q9" s="56" cm="1">
        <f t="array" ref="Q9">ROUND('Tuning'!$B$9+'Tuning'!$B$10*A9,0)</f>
        <v>65</v>
      </c>
      <c r="R9" s="56" cm="1">
        <f t="array" ref="R9">P9+Q9</f>
        <v>98</v>
      </c>
      <c r="S9" s="56" cm="1">
        <f t="array" ref="S9">S8+R9</f>
        <v>886</v>
      </c>
    </row>
    <row r="10" ht="13.65" customHeight="1">
      <c r="A10" s="56">
        <v>6</v>
      </c>
      <c r="B10" s="60">
        <v>32</v>
      </c>
      <c r="C10" s="60">
        <v>12</v>
      </c>
      <c r="D10" s="60">
        <v>0</v>
      </c>
      <c r="E10" s="60">
        <v>0</v>
      </c>
      <c r="F10" s="60">
        <v>0</v>
      </c>
      <c r="G10" s="60">
        <v>0</v>
      </c>
      <c r="H10" s="60">
        <v>0</v>
      </c>
      <c r="I10" s="60">
        <v>0</v>
      </c>
      <c r="J10" s="56" cm="1">
        <f t="array" ref="J10">SUM(B10:I10)</f>
        <v>44</v>
      </c>
      <c r="K10" s="74" cm="1">
        <f t="array" ref="K10">ROUND(POWER('Tuning'!$B$17,A10-1),3)</f>
        <v>1.288</v>
      </c>
      <c r="L10" s="57">
        <v>1.12</v>
      </c>
      <c r="M10" s="75" cm="1">
        <f t="array" ref="M10">ROUND((B10*'Enemies'!$H$5+C10*'Enemies'!$H$6+D10*'Enemies'!$H$7+E10*'Enemies'!$H$8+F10*'Enemies'!$H$9+G10*'Enemies'!$H$10+H10*'Enemies'!$H$11+I10*'Enemies'!$H$12)*K10,0)</f>
        <v>88</v>
      </c>
      <c r="N10" s="56" cm="1">
        <f t="array" ref="N10">ROUND(J10*L10+14,0)</f>
        <v>63</v>
      </c>
      <c r="O10" s="45" cm="1">
        <f t="array" ref="O10">IF(N10=0,0,ROUND(M10/N10,1))</f>
        <v>1.4</v>
      </c>
      <c r="P10" s="56" cm="1">
        <f t="array" ref="P10">ROUND(M10*'Tuning'!$B$8,0)</f>
        <v>38</v>
      </c>
      <c r="Q10" s="56" cm="1">
        <f t="array" ref="Q10">ROUND('Tuning'!$B$9+'Tuning'!$B$10*A10,0)</f>
        <v>66</v>
      </c>
      <c r="R10" s="56" cm="1">
        <f t="array" ref="R10">P10+Q10</f>
        <v>104</v>
      </c>
      <c r="S10" s="56" cm="1">
        <f t="array" ref="S10">S9+R10</f>
        <v>990</v>
      </c>
    </row>
    <row r="11" ht="13.65" customHeight="1">
      <c r="A11" s="56">
        <v>7</v>
      </c>
      <c r="B11" s="60">
        <v>35</v>
      </c>
      <c r="C11" s="60">
        <v>13</v>
      </c>
      <c r="D11" s="60">
        <v>0</v>
      </c>
      <c r="E11" s="60">
        <v>0</v>
      </c>
      <c r="F11" s="60">
        <v>0</v>
      </c>
      <c r="G11" s="60">
        <v>0</v>
      </c>
      <c r="H11" s="60">
        <v>0</v>
      </c>
      <c r="I11" s="60">
        <v>0</v>
      </c>
      <c r="J11" s="56" cm="1">
        <f t="array" ref="J11">SUM(B11:I11)</f>
        <v>48</v>
      </c>
      <c r="K11" s="74" cm="1">
        <f t="array" ref="K11">ROUND(POWER('Tuning'!$B$17,A11-1),3)</f>
        <v>1.355</v>
      </c>
      <c r="L11" s="57">
        <v>1.1</v>
      </c>
      <c r="M11" s="75" cm="1">
        <f t="array" ref="M11">ROUND((B11*'Enemies'!$H$5+C11*'Enemies'!$H$6+D11*'Enemies'!$H$7+E11*'Enemies'!$H$8+F11*'Enemies'!$H$9+G11*'Enemies'!$H$10+H11*'Enemies'!$H$11+I11*'Enemies'!$H$12)*K11,0)</f>
        <v>100</v>
      </c>
      <c r="N11" s="56" cm="1">
        <f t="array" ref="N11">ROUND(J11*L11+14,0)</f>
        <v>67</v>
      </c>
      <c r="O11" s="45" cm="1">
        <f t="array" ref="O11">IF(N11=0,0,ROUND(M11/N11,1))</f>
        <v>1.5</v>
      </c>
      <c r="P11" s="56" cm="1">
        <f t="array" ref="P11">ROUND(M11*'Tuning'!$B$8,0)</f>
        <v>43</v>
      </c>
      <c r="Q11" s="56" cm="1">
        <f t="array" ref="Q11">ROUND('Tuning'!$B$9+'Tuning'!$B$10*A11,0)</f>
        <v>67</v>
      </c>
      <c r="R11" s="56" cm="1">
        <f t="array" ref="R11">P11+Q11</f>
        <v>110</v>
      </c>
      <c r="S11" s="56" cm="1">
        <f t="array" ref="S11">S10+R11</f>
        <v>1100</v>
      </c>
    </row>
    <row r="12" ht="13.65" customHeight="1">
      <c r="A12" s="56">
        <v>8</v>
      </c>
      <c r="B12" s="60">
        <v>37</v>
      </c>
      <c r="C12" s="60">
        <v>15</v>
      </c>
      <c r="D12" s="60">
        <v>0</v>
      </c>
      <c r="E12" s="60">
        <v>0</v>
      </c>
      <c r="F12" s="60">
        <v>0</v>
      </c>
      <c r="G12" s="60">
        <v>0</v>
      </c>
      <c r="H12" s="60">
        <v>0</v>
      </c>
      <c r="I12" s="60">
        <v>0</v>
      </c>
      <c r="J12" s="56" cm="1">
        <f t="array" ref="J12">SUM(B12:I12)</f>
        <v>52</v>
      </c>
      <c r="K12" s="74" cm="1">
        <f t="array" ref="K12">ROUND(POWER('Tuning'!$B$17,A12-1),3)</f>
        <v>1.426</v>
      </c>
      <c r="L12" s="57">
        <v>1.09</v>
      </c>
      <c r="M12" s="75" cm="1">
        <f t="array" ref="M12">ROUND((B12*'Enemies'!$H$5+C12*'Enemies'!$H$6+D12*'Enemies'!$H$7+E12*'Enemies'!$H$8+F12*'Enemies'!$H$9+G12*'Enemies'!$H$10+H12*'Enemies'!$H$11+I12*'Enemies'!$H$12)*K12,0)</f>
        <v>117</v>
      </c>
      <c r="N12" s="56" cm="1">
        <f t="array" ref="N12">ROUND(J12*L12+14,0)</f>
        <v>71</v>
      </c>
      <c r="O12" s="45" cm="1">
        <f t="array" ref="O12">IF(N12=0,0,ROUND(M12/N12,1))</f>
        <v>1.6</v>
      </c>
      <c r="P12" s="56" cm="1">
        <f t="array" ref="P12">ROUND(M12*'Tuning'!$B$8,0)</f>
        <v>50</v>
      </c>
      <c r="Q12" s="56" cm="1">
        <f t="array" ref="Q12">ROUND('Tuning'!$B$9+'Tuning'!$B$10*A12,0)</f>
        <v>68</v>
      </c>
      <c r="R12" s="56" cm="1">
        <f t="array" ref="R12">P12+Q12</f>
        <v>118</v>
      </c>
      <c r="S12" s="56" cm="1">
        <f t="array" ref="S12">S11+R12</f>
        <v>1218</v>
      </c>
    </row>
    <row r="13" ht="13.65" customHeight="1">
      <c r="A13" s="56">
        <v>9</v>
      </c>
      <c r="B13" s="60">
        <v>40</v>
      </c>
      <c r="C13" s="60">
        <v>16</v>
      </c>
      <c r="D13" s="60">
        <v>0</v>
      </c>
      <c r="E13" s="60">
        <v>0</v>
      </c>
      <c r="F13" s="60">
        <v>0</v>
      </c>
      <c r="G13" s="60">
        <v>0</v>
      </c>
      <c r="H13" s="60">
        <v>0</v>
      </c>
      <c r="I13" s="60">
        <v>0</v>
      </c>
      <c r="J13" s="56" cm="1">
        <f t="array" ref="J13">SUM(B13:I13)</f>
        <v>56</v>
      </c>
      <c r="K13" s="74" cm="1">
        <f t="array" ref="K13">ROUND(POWER('Tuning'!$B$17,A13-1),3)</f>
        <v>1.5</v>
      </c>
      <c r="L13" s="57">
        <v>1.07</v>
      </c>
      <c r="M13" s="75" cm="1">
        <f t="array" ref="M13">ROUND((B13*'Enemies'!$H$5+C13*'Enemies'!$H$6+D13*'Enemies'!$H$7+E13*'Enemies'!$H$8+F13*'Enemies'!$H$9+G13*'Enemies'!$H$10+H13*'Enemies'!$H$11+I13*'Enemies'!$H$12)*K13,0)</f>
        <v>132</v>
      </c>
      <c r="N13" s="56" cm="1">
        <f t="array" ref="N13">ROUND(J13*L13+14,0)</f>
        <v>74</v>
      </c>
      <c r="O13" s="45" cm="1">
        <f t="array" ref="O13">IF(N13=0,0,ROUND(M13/N13,1))</f>
        <v>1.8</v>
      </c>
      <c r="P13" s="56" cm="1">
        <f t="array" ref="P13">ROUND(M13*'Tuning'!$B$8,0)</f>
        <v>57</v>
      </c>
      <c r="Q13" s="56" cm="1">
        <f t="array" ref="Q13">ROUND('Tuning'!$B$9+'Tuning'!$B$10*A13,0)</f>
        <v>69</v>
      </c>
      <c r="R13" s="56" cm="1">
        <f t="array" ref="R13">P13+Q13</f>
        <v>126</v>
      </c>
      <c r="S13" s="56" cm="1">
        <f t="array" ref="S13">S12+R13</f>
        <v>1344</v>
      </c>
    </row>
    <row r="14" ht="13.65" customHeight="1">
      <c r="A14" s="56">
        <v>10</v>
      </c>
      <c r="B14" s="60">
        <v>43</v>
      </c>
      <c r="C14" s="60">
        <v>17</v>
      </c>
      <c r="D14" s="60">
        <v>0</v>
      </c>
      <c r="E14" s="60">
        <v>0</v>
      </c>
      <c r="F14" s="60">
        <v>0</v>
      </c>
      <c r="G14" s="60">
        <v>0</v>
      </c>
      <c r="H14" s="60">
        <v>0</v>
      </c>
      <c r="I14" s="60">
        <v>0</v>
      </c>
      <c r="J14" s="56" cm="1">
        <f t="array" ref="J14">SUM(B14:I14)</f>
        <v>60</v>
      </c>
      <c r="K14" s="74" cm="1">
        <f t="array" ref="K14">ROUND(POWER('Tuning'!$B$17,A14-1),3)</f>
        <v>1.578</v>
      </c>
      <c r="L14" s="57">
        <v>1.06</v>
      </c>
      <c r="M14" s="75" cm="1">
        <f t="array" ref="M14">ROUND((B14*'Enemies'!$H$5+C14*'Enemies'!$H$6+D14*'Enemies'!$H$7+E14*'Enemies'!$H$8+F14*'Enemies'!$H$9+G14*'Enemies'!$H$10+H14*'Enemies'!$H$11+I14*'Enemies'!$H$12)*K14,0)</f>
        <v>148</v>
      </c>
      <c r="N14" s="56" cm="1">
        <f t="array" ref="N14">ROUND(J14*L14+14,0)</f>
        <v>78</v>
      </c>
      <c r="O14" s="45" cm="1">
        <f t="array" ref="O14">IF(N14=0,0,ROUND(M14/N14,1))</f>
        <v>1.9</v>
      </c>
      <c r="P14" s="56" cm="1">
        <f t="array" ref="P14">ROUND(M14*'Tuning'!$B$8,0)</f>
        <v>64</v>
      </c>
      <c r="Q14" s="56" cm="1">
        <f t="array" ref="Q14">ROUND('Tuning'!$B$9+'Tuning'!$B$10*A14,0)</f>
        <v>70</v>
      </c>
      <c r="R14" s="56" cm="1">
        <f t="array" ref="R14">P14+Q14</f>
        <v>134</v>
      </c>
      <c r="S14" s="56" cm="1">
        <f t="array" ref="S14">S13+R14</f>
        <v>1478</v>
      </c>
    </row>
    <row r="15" ht="13.65" customHeight="1">
      <c r="A15" s="66">
        <v>11</v>
      </c>
      <c r="B15" s="76">
        <v>19</v>
      </c>
      <c r="C15" s="76">
        <v>16</v>
      </c>
      <c r="D15" s="76">
        <v>16</v>
      </c>
      <c r="E15" s="76">
        <v>8</v>
      </c>
      <c r="F15" s="76">
        <v>0</v>
      </c>
      <c r="G15" s="76">
        <v>5</v>
      </c>
      <c r="H15" s="76">
        <v>0</v>
      </c>
      <c r="I15" s="76">
        <v>0</v>
      </c>
      <c r="J15" s="66" cm="1">
        <f t="array" ref="J15">SUM(B15:I15)</f>
        <v>64</v>
      </c>
      <c r="K15" s="77" cm="1">
        <f t="array" ref="K15">ROUND(POWER('Tuning'!$B$17,A15-1),3)</f>
        <v>1.66</v>
      </c>
      <c r="L15" s="78">
        <v>1.05</v>
      </c>
      <c r="M15" s="79" cm="1">
        <f t="array" ref="M15">ROUND((B15*'Enemies'!$H$5+C15*'Enemies'!$H$6+D15*'Enemies'!$H$7+E15*'Enemies'!$H$8+F15*'Enemies'!$H$9+G15*'Enemies'!$H$10+H15*'Enemies'!$H$11+I15*'Enemies'!$H$12)*K15,0)</f>
        <v>742</v>
      </c>
      <c r="N15" s="66" cm="1">
        <f t="array" ref="N15">ROUND(J15*L15+14,0)</f>
        <v>81</v>
      </c>
      <c r="O15" s="67" cm="1">
        <f t="array" ref="O15">IF(N15=0,0,ROUND(M15/N15,1))</f>
        <v>9.199999999999999</v>
      </c>
      <c r="P15" s="66" cm="1">
        <f t="array" ref="P15">ROUND(M15*'Tuning'!$B$8,0)</f>
        <v>319</v>
      </c>
      <c r="Q15" s="66" cm="1">
        <f t="array" ref="Q15">ROUND('Tuning'!$B$9+'Tuning'!$B$10*A15,0)</f>
        <v>71</v>
      </c>
      <c r="R15" s="66" cm="1">
        <f t="array" ref="R15">P15+Q15</f>
        <v>390</v>
      </c>
      <c r="S15" s="66" cm="1">
        <f t="array" ref="S15">S14+R15</f>
        <v>1868</v>
      </c>
    </row>
    <row r="16" ht="13.65" customHeight="1">
      <c r="A16" s="56">
        <v>12</v>
      </c>
      <c r="B16" s="60">
        <v>20</v>
      </c>
      <c r="C16" s="60">
        <v>17</v>
      </c>
      <c r="D16" s="60">
        <v>17</v>
      </c>
      <c r="E16" s="60">
        <v>8</v>
      </c>
      <c r="F16" s="60">
        <v>0</v>
      </c>
      <c r="G16" s="60">
        <v>5</v>
      </c>
      <c r="H16" s="60">
        <v>0</v>
      </c>
      <c r="I16" s="60">
        <v>0</v>
      </c>
      <c r="J16" s="56" cm="1">
        <f t="array" ref="J16">SUM(B16:I16)</f>
        <v>67</v>
      </c>
      <c r="K16" s="74" cm="1">
        <f t="array" ref="K16">ROUND(POWER('Tuning'!$B$17,A16-1),3)</f>
        <v>1.747</v>
      </c>
      <c r="L16" s="57">
        <v>1.03</v>
      </c>
      <c r="M16" s="75" cm="1">
        <f t="array" ref="M16">ROUND((B16*'Enemies'!$H$5+C16*'Enemies'!$H$6+D16*'Enemies'!$H$7+E16*'Enemies'!$H$8+F16*'Enemies'!$H$9+G16*'Enemies'!$H$10+H16*'Enemies'!$H$11+I16*'Enemies'!$H$12)*K16,0)</f>
        <v>802</v>
      </c>
      <c r="N16" s="56" cm="1">
        <f t="array" ref="N16">ROUND(J16*L16+14,0)</f>
        <v>83</v>
      </c>
      <c r="O16" s="45" cm="1">
        <f t="array" ref="O16">IF(N16=0,0,ROUND(M16/N16,1))</f>
        <v>9.699999999999999</v>
      </c>
      <c r="P16" s="56" cm="1">
        <f t="array" ref="P16">ROUND(M16*'Tuning'!$B$8,0)</f>
        <v>345</v>
      </c>
      <c r="Q16" s="56" cm="1">
        <f t="array" ref="Q16">ROUND('Tuning'!$B$9+'Tuning'!$B$10*A16,0)</f>
        <v>72</v>
      </c>
      <c r="R16" s="56" cm="1">
        <f t="array" ref="R16">P16+Q16</f>
        <v>417</v>
      </c>
      <c r="S16" s="56" cm="1">
        <f t="array" ref="S16">S15+R16</f>
        <v>2285</v>
      </c>
    </row>
    <row r="17" ht="13.65" customHeight="1">
      <c r="A17" s="56">
        <v>13</v>
      </c>
      <c r="B17" s="60">
        <v>22</v>
      </c>
      <c r="C17" s="60">
        <v>18</v>
      </c>
      <c r="D17" s="60">
        <v>18</v>
      </c>
      <c r="E17" s="60">
        <v>9</v>
      </c>
      <c r="F17" s="60">
        <v>0</v>
      </c>
      <c r="G17" s="60">
        <v>6</v>
      </c>
      <c r="H17" s="60">
        <v>0</v>
      </c>
      <c r="I17" s="60">
        <v>0</v>
      </c>
      <c r="J17" s="56" cm="1">
        <f t="array" ref="J17">SUM(B17:I17)</f>
        <v>73</v>
      </c>
      <c r="K17" s="74" cm="1">
        <f t="array" ref="K17">ROUND(POWER('Tuning'!$B$17,A17-1),3)</f>
        <v>1.837</v>
      </c>
      <c r="L17" s="57">
        <v>1.02</v>
      </c>
      <c r="M17" s="75" cm="1">
        <f t="array" ref="M17">ROUND((B17*'Enemies'!$H$5+C17*'Enemies'!$H$6+D17*'Enemies'!$H$7+E17*'Enemies'!$H$8+F17*'Enemies'!$H$9+G17*'Enemies'!$H$10+H17*'Enemies'!$H$11+I17*'Enemies'!$H$12)*K17,0)</f>
        <v>939</v>
      </c>
      <c r="N17" s="56" cm="1">
        <f t="array" ref="N17">ROUND(J17*L17+14,0)</f>
        <v>88</v>
      </c>
      <c r="O17" s="45" cm="1">
        <f t="array" ref="O17">IF(N17=0,0,ROUND(M17/N17,1))</f>
        <v>10.7</v>
      </c>
      <c r="P17" s="56" cm="1">
        <f t="array" ref="P17">ROUND(M17*'Tuning'!$B$8,0)</f>
        <v>404</v>
      </c>
      <c r="Q17" s="56" cm="1">
        <f t="array" ref="Q17">ROUND('Tuning'!$B$9+'Tuning'!$B$10*A17,0)</f>
        <v>73</v>
      </c>
      <c r="R17" s="56" cm="1">
        <f t="array" ref="R17">P17+Q17</f>
        <v>477</v>
      </c>
      <c r="S17" s="56" cm="1">
        <f t="array" ref="S17">S16+R17</f>
        <v>2762</v>
      </c>
    </row>
    <row r="18" ht="13.65" customHeight="1">
      <c r="A18" s="56">
        <v>14</v>
      </c>
      <c r="B18" s="60">
        <v>23</v>
      </c>
      <c r="C18" s="60">
        <v>19</v>
      </c>
      <c r="D18" s="60">
        <v>19</v>
      </c>
      <c r="E18" s="60">
        <v>9</v>
      </c>
      <c r="F18" s="60">
        <v>0</v>
      </c>
      <c r="G18" s="60">
        <v>6</v>
      </c>
      <c r="H18" s="60">
        <v>0</v>
      </c>
      <c r="I18" s="60">
        <v>0</v>
      </c>
      <c r="J18" s="56" cm="1">
        <f t="array" ref="J18">SUM(B18:I18)</f>
        <v>76</v>
      </c>
      <c r="K18" s="74" cm="1">
        <f t="array" ref="K18">ROUND(POWER('Tuning'!$B$17,A18-1),3)</f>
        <v>1.933</v>
      </c>
      <c r="L18" s="57">
        <v>1</v>
      </c>
      <c r="M18" s="75" cm="1">
        <f t="array" ref="M18">ROUND((B18*'Enemies'!$H$5+C18*'Enemies'!$H$6+D18*'Enemies'!$H$7+E18*'Enemies'!$H$8+F18*'Enemies'!$H$9+G18*'Enemies'!$H$10+H18*'Enemies'!$H$11+I18*'Enemies'!$H$12)*K18,0)</f>
        <v>1011</v>
      </c>
      <c r="N18" s="56" cm="1">
        <f t="array" ref="N18">ROUND(J18*L18+14,0)</f>
        <v>90</v>
      </c>
      <c r="O18" s="45" cm="1">
        <f t="array" ref="O18">IF(N18=0,0,ROUND(M18/N18,1))</f>
        <v>11.2</v>
      </c>
      <c r="P18" s="56" cm="1">
        <f t="array" ref="P18">ROUND(M18*'Tuning'!$B$8,0)</f>
        <v>435</v>
      </c>
      <c r="Q18" s="56" cm="1">
        <f t="array" ref="Q18">ROUND('Tuning'!$B$9+'Tuning'!$B$10*A18,0)</f>
        <v>74</v>
      </c>
      <c r="R18" s="56" cm="1">
        <f t="array" ref="R18">P18+Q18</f>
        <v>509</v>
      </c>
      <c r="S18" s="56" cm="1">
        <f t="array" ref="S18">S17+R18</f>
        <v>3271</v>
      </c>
    </row>
    <row r="19" ht="13.65" customHeight="1">
      <c r="A19" s="56">
        <v>15</v>
      </c>
      <c r="B19" s="60">
        <v>24</v>
      </c>
      <c r="C19" s="60">
        <v>20</v>
      </c>
      <c r="D19" s="60">
        <v>20</v>
      </c>
      <c r="E19" s="60">
        <v>10</v>
      </c>
      <c r="F19" s="60">
        <v>0</v>
      </c>
      <c r="G19" s="60">
        <v>6</v>
      </c>
      <c r="H19" s="60">
        <v>0</v>
      </c>
      <c r="I19" s="60">
        <v>0</v>
      </c>
      <c r="J19" s="56" cm="1">
        <f t="array" ref="J19">SUM(B19:I19)</f>
        <v>80</v>
      </c>
      <c r="K19" s="74" cm="1">
        <f t="array" ref="K19">ROUND(POWER('Tuning'!$B$17,A19-1),3)</f>
        <v>2.033</v>
      </c>
      <c r="L19" s="57">
        <v>0.99</v>
      </c>
      <c r="M19" s="75" cm="1">
        <f t="array" ref="M19">ROUND((B19*'Enemies'!$H$5+C19*'Enemies'!$H$6+D19*'Enemies'!$H$7+E19*'Enemies'!$H$8+F19*'Enemies'!$H$9+G19*'Enemies'!$H$10+H19*'Enemies'!$H$11+I19*'Enemies'!$H$12)*K19,0)</f>
        <v>1126</v>
      </c>
      <c r="N19" s="56" cm="1">
        <f t="array" ref="N19">ROUND(J19*L19+14,0)</f>
        <v>93</v>
      </c>
      <c r="O19" s="45" cm="1">
        <f t="array" ref="O19">IF(N19=0,0,ROUND(M19/N19,1))</f>
        <v>12.1</v>
      </c>
      <c r="P19" s="56" cm="1">
        <f t="array" ref="P19">ROUND(M19*'Tuning'!$B$8,0)</f>
        <v>484</v>
      </c>
      <c r="Q19" s="56" cm="1">
        <f t="array" ref="Q19">ROUND('Tuning'!$B$9+'Tuning'!$B$10*A19,0)</f>
        <v>75</v>
      </c>
      <c r="R19" s="56" cm="1">
        <f t="array" ref="R19">P19+Q19</f>
        <v>559</v>
      </c>
      <c r="S19" s="56" cm="1">
        <f t="array" ref="S19">S18+R19</f>
        <v>3830</v>
      </c>
    </row>
    <row r="20" ht="13.65" customHeight="1">
      <c r="A20" s="56">
        <v>16</v>
      </c>
      <c r="B20" s="60">
        <v>25</v>
      </c>
      <c r="C20" s="60">
        <v>21</v>
      </c>
      <c r="D20" s="60">
        <v>21</v>
      </c>
      <c r="E20" s="60">
        <v>10</v>
      </c>
      <c r="F20" s="60">
        <v>0</v>
      </c>
      <c r="G20" s="60">
        <v>7</v>
      </c>
      <c r="H20" s="60">
        <v>0</v>
      </c>
      <c r="I20" s="60">
        <v>0</v>
      </c>
      <c r="J20" s="56" cm="1">
        <f t="array" ref="J20">SUM(B20:I20)</f>
        <v>84</v>
      </c>
      <c r="K20" s="74" cm="1">
        <f t="array" ref="K20">ROUND(POWER('Tuning'!$B$17,A20-1),3)</f>
        <v>2.139</v>
      </c>
      <c r="L20" s="57">
        <v>0.98</v>
      </c>
      <c r="M20" s="75" cm="1">
        <f t="array" ref="M20">ROUND((B20*'Enemies'!$H$5+C20*'Enemies'!$H$6+D20*'Enemies'!$H$7+E20*'Enemies'!$H$8+F20*'Enemies'!$H$9+G20*'Enemies'!$H$10+H20*'Enemies'!$H$11+I20*'Enemies'!$H$12)*K20,0)</f>
        <v>1253</v>
      </c>
      <c r="N20" s="56" cm="1">
        <f t="array" ref="N20">ROUND(J20*L20+14,0)</f>
        <v>96</v>
      </c>
      <c r="O20" s="45" cm="1">
        <f t="array" ref="O20">IF(N20=0,0,ROUND(M20/N20,1))</f>
        <v>13.1</v>
      </c>
      <c r="P20" s="56" cm="1">
        <f t="array" ref="P20">ROUND(M20*'Tuning'!$B$8,0)</f>
        <v>539</v>
      </c>
      <c r="Q20" s="56" cm="1">
        <f t="array" ref="Q20">ROUND('Tuning'!$B$9+'Tuning'!$B$10*A20,0)</f>
        <v>76</v>
      </c>
      <c r="R20" s="56" cm="1">
        <f t="array" ref="R20">P20+Q20</f>
        <v>615</v>
      </c>
      <c r="S20" s="56" cm="1">
        <f t="array" ref="S20">S19+R20</f>
        <v>4445</v>
      </c>
    </row>
    <row r="21" ht="13.65" customHeight="1">
      <c r="A21" s="56">
        <v>17</v>
      </c>
      <c r="B21" s="60">
        <v>26</v>
      </c>
      <c r="C21" s="60">
        <v>22</v>
      </c>
      <c r="D21" s="60">
        <v>22</v>
      </c>
      <c r="E21" s="60">
        <v>11</v>
      </c>
      <c r="F21" s="60">
        <v>0</v>
      </c>
      <c r="G21" s="60">
        <v>7</v>
      </c>
      <c r="H21" s="60">
        <v>0</v>
      </c>
      <c r="I21" s="60">
        <v>0</v>
      </c>
      <c r="J21" s="56" cm="1">
        <f t="array" ref="J21">SUM(B21:I21)</f>
        <v>88</v>
      </c>
      <c r="K21" s="74" cm="1">
        <f t="array" ref="K21">ROUND(POWER('Tuning'!$B$17,A21-1),3)</f>
        <v>2.25</v>
      </c>
      <c r="L21" s="57">
        <v>0.96</v>
      </c>
      <c r="M21" s="75" cm="1">
        <f t="array" ref="M21">ROUND((B21*'Enemies'!$H$5+C21*'Enemies'!$H$6+D21*'Enemies'!$H$7+E21*'Enemies'!$H$8+F21*'Enemies'!$H$9+G21*'Enemies'!$H$10+H21*'Enemies'!$H$11+I21*'Enemies'!$H$12)*K21,0)</f>
        <v>1388</v>
      </c>
      <c r="N21" s="56" cm="1">
        <f t="array" ref="N21">ROUND(J21*L21+14,0)</f>
        <v>98</v>
      </c>
      <c r="O21" s="45" cm="1">
        <f t="array" ref="O21">IF(N21=0,0,ROUND(M21/N21,1))</f>
        <v>14.2</v>
      </c>
      <c r="P21" s="56" cm="1">
        <f t="array" ref="P21">ROUND(M21*'Tuning'!$B$8,0)</f>
        <v>597</v>
      </c>
      <c r="Q21" s="56" cm="1">
        <f t="array" ref="Q21">ROUND('Tuning'!$B$9+'Tuning'!$B$10*A21,0)</f>
        <v>77</v>
      </c>
      <c r="R21" s="56" cm="1">
        <f t="array" ref="R21">P21+Q21</f>
        <v>674</v>
      </c>
      <c r="S21" s="56" cm="1">
        <f t="array" ref="S21">S20+R21</f>
        <v>5119</v>
      </c>
    </row>
    <row r="22" ht="13.65" customHeight="1">
      <c r="A22" s="56">
        <v>18</v>
      </c>
      <c r="B22" s="60">
        <v>28</v>
      </c>
      <c r="C22" s="60">
        <v>23</v>
      </c>
      <c r="D22" s="60">
        <v>23</v>
      </c>
      <c r="E22" s="60">
        <v>11</v>
      </c>
      <c r="F22" s="60">
        <v>0</v>
      </c>
      <c r="G22" s="60">
        <v>7</v>
      </c>
      <c r="H22" s="60">
        <v>0</v>
      </c>
      <c r="I22" s="60">
        <v>0</v>
      </c>
      <c r="J22" s="56" cm="1">
        <f t="array" ref="J22">SUM(B22:I22)</f>
        <v>92</v>
      </c>
      <c r="K22" s="74" cm="1">
        <f t="array" ref="K22">ROUND(POWER('Tuning'!$B$17,A22-1),3)</f>
        <v>2.367</v>
      </c>
      <c r="L22" s="57">
        <v>0.95</v>
      </c>
      <c r="M22" s="75" cm="1">
        <f t="array" ref="M22">ROUND((B22*'Enemies'!$H$5+C22*'Enemies'!$H$6+D22*'Enemies'!$H$7+E22*'Enemies'!$H$8+F22*'Enemies'!$H$9+G22*'Enemies'!$H$10+H22*'Enemies'!$H$11+I22*'Enemies'!$H$12)*K22,0)</f>
        <v>1491</v>
      </c>
      <c r="N22" s="56" cm="1">
        <f t="array" ref="N22">ROUND(J22*L22+14,0)</f>
        <v>101</v>
      </c>
      <c r="O22" s="45" cm="1">
        <f t="array" ref="O22">IF(N22=0,0,ROUND(M22/N22,1))</f>
        <v>14.8</v>
      </c>
      <c r="P22" s="56" cm="1">
        <f t="array" ref="P22">ROUND(M22*'Tuning'!$B$8,0)</f>
        <v>641</v>
      </c>
      <c r="Q22" s="56" cm="1">
        <f t="array" ref="Q22">ROUND('Tuning'!$B$9+'Tuning'!$B$10*A22,0)</f>
        <v>78</v>
      </c>
      <c r="R22" s="56" cm="1">
        <f t="array" ref="R22">P22+Q22</f>
        <v>719</v>
      </c>
      <c r="S22" s="56" cm="1">
        <f t="array" ref="S22">S21+R22</f>
        <v>5838</v>
      </c>
    </row>
    <row r="23" ht="13.65" customHeight="1">
      <c r="A23" s="56">
        <v>19</v>
      </c>
      <c r="B23" s="60">
        <v>29</v>
      </c>
      <c r="C23" s="60">
        <v>24</v>
      </c>
      <c r="D23" s="60">
        <v>24</v>
      </c>
      <c r="E23" s="60">
        <v>12</v>
      </c>
      <c r="F23" s="60">
        <v>0</v>
      </c>
      <c r="G23" s="60">
        <v>8</v>
      </c>
      <c r="H23" s="60">
        <v>0</v>
      </c>
      <c r="I23" s="60">
        <v>0</v>
      </c>
      <c r="J23" s="56" cm="1">
        <f t="array" ref="J23">SUM(B23:I23)</f>
        <v>97</v>
      </c>
      <c r="K23" s="74" cm="1">
        <f t="array" ref="K23">ROUND(POWER('Tuning'!$B$17,A23-1),3)</f>
        <v>2.49</v>
      </c>
      <c r="L23" s="57">
        <v>0.93</v>
      </c>
      <c r="M23" s="75" cm="1">
        <f t="array" ref="M23">ROUND((B23*'Enemies'!$H$5+C23*'Enemies'!$H$6+D23*'Enemies'!$H$7+E23*'Enemies'!$H$8+F23*'Enemies'!$H$9+G23*'Enemies'!$H$10+H23*'Enemies'!$H$11+I23*'Enemies'!$H$12)*K23,0)</f>
        <v>1696</v>
      </c>
      <c r="N23" s="56" cm="1">
        <f t="array" ref="N23">ROUND(J23*L23+14,0)</f>
        <v>104</v>
      </c>
      <c r="O23" s="45" cm="1">
        <f t="array" ref="O23">IF(N23=0,0,ROUND(M23/N23,1))</f>
        <v>16.3</v>
      </c>
      <c r="P23" s="56" cm="1">
        <f t="array" ref="P23">ROUND(M23*'Tuning'!$B$8,0)</f>
        <v>729</v>
      </c>
      <c r="Q23" s="56" cm="1">
        <f t="array" ref="Q23">ROUND('Tuning'!$B$9+'Tuning'!$B$10*A23,0)</f>
        <v>79</v>
      </c>
      <c r="R23" s="56" cm="1">
        <f t="array" ref="R23">P23+Q23</f>
        <v>808</v>
      </c>
      <c r="S23" s="56" cm="1">
        <f t="array" ref="S23">S22+R23</f>
        <v>6646</v>
      </c>
    </row>
    <row r="24" ht="13.65" customHeight="1">
      <c r="A24" s="56">
        <v>20</v>
      </c>
      <c r="B24" s="60">
        <v>30</v>
      </c>
      <c r="C24" s="60">
        <v>25</v>
      </c>
      <c r="D24" s="60">
        <v>25</v>
      </c>
      <c r="E24" s="60">
        <v>12</v>
      </c>
      <c r="F24" s="60">
        <v>0</v>
      </c>
      <c r="G24" s="60">
        <v>8</v>
      </c>
      <c r="H24" s="60">
        <v>0</v>
      </c>
      <c r="I24" s="60">
        <v>0</v>
      </c>
      <c r="J24" s="56" cm="1">
        <f t="array" ref="J24">SUM(B24:I24)</f>
        <v>100</v>
      </c>
      <c r="K24" s="74" cm="1">
        <f t="array" ref="K24">ROUND(POWER('Tuning'!$B$17,A24-1),3)</f>
        <v>2.62</v>
      </c>
      <c r="L24" s="57">
        <v>0.92</v>
      </c>
      <c r="M24" s="75" cm="1">
        <f t="array" ref="M24">ROUND((B24*'Enemies'!$H$5+C24*'Enemies'!$H$6+D24*'Enemies'!$H$7+E24*'Enemies'!$H$8+F24*'Enemies'!$H$9+G24*'Enemies'!$H$10+H24*'Enemies'!$H$11+I24*'Enemies'!$H$12)*K24,0)</f>
        <v>1816</v>
      </c>
      <c r="N24" s="56" cm="1">
        <f t="array" ref="N24">ROUND(J24*L24+14,0)</f>
        <v>106</v>
      </c>
      <c r="O24" s="45" cm="1">
        <f t="array" ref="O24">IF(N24=0,0,ROUND(M24/N24,1))</f>
        <v>17.1</v>
      </c>
      <c r="P24" s="56" cm="1">
        <f t="array" ref="P24">ROUND(M24*'Tuning'!$B$8,0)</f>
        <v>781</v>
      </c>
      <c r="Q24" s="56" cm="1">
        <f t="array" ref="Q24">ROUND('Tuning'!$B$9+'Tuning'!$B$10*A24,0)</f>
        <v>80</v>
      </c>
      <c r="R24" s="56" cm="1">
        <f t="array" ref="R24">P24+Q24</f>
        <v>861</v>
      </c>
      <c r="S24" s="56" cm="1">
        <f t="array" ref="S24">S23+R24</f>
        <v>7507</v>
      </c>
    </row>
    <row r="25" ht="13.65" customHeight="1">
      <c r="A25" s="66">
        <v>21</v>
      </c>
      <c r="B25" s="76">
        <v>17</v>
      </c>
      <c r="C25" s="76">
        <v>21</v>
      </c>
      <c r="D25" s="76">
        <v>25</v>
      </c>
      <c r="E25" s="76">
        <v>21</v>
      </c>
      <c r="F25" s="76">
        <v>12</v>
      </c>
      <c r="G25" s="76">
        <v>8</v>
      </c>
      <c r="H25" s="76">
        <v>0</v>
      </c>
      <c r="I25" s="76">
        <v>0</v>
      </c>
      <c r="J25" s="66" cm="1">
        <f t="array" ref="J25">SUM(B25:I25)</f>
        <v>104</v>
      </c>
      <c r="K25" s="77" cm="1">
        <f t="array" ref="K25">ROUND(POWER('Tuning'!$B$17,A25-1),3)</f>
        <v>2.756</v>
      </c>
      <c r="L25" s="78">
        <v>0.91</v>
      </c>
      <c r="M25" s="79" cm="1">
        <f t="array" ref="M25">ROUND((B25*'Enemies'!$H$5+C25*'Enemies'!$H$6+D25*'Enemies'!$H$7+E25*'Enemies'!$H$8+F25*'Enemies'!$H$9+G25*'Enemies'!$H$10+H25*'Enemies'!$H$11+I25*'Enemies'!$H$12)*K25,0)</f>
        <v>4330</v>
      </c>
      <c r="N25" s="66" cm="1">
        <f t="array" ref="N25">ROUND(J25*L25+14,0)</f>
        <v>109</v>
      </c>
      <c r="O25" s="67" cm="1">
        <f t="array" ref="O25">IF(N25=0,0,ROUND(M25/N25,1))</f>
        <v>39.7</v>
      </c>
      <c r="P25" s="66" cm="1">
        <f t="array" ref="P25">ROUND(M25*'Tuning'!$B$8,0)</f>
        <v>1862</v>
      </c>
      <c r="Q25" s="66" cm="1">
        <f t="array" ref="Q25">ROUND('Tuning'!$B$9+'Tuning'!$B$10*A25,0)</f>
        <v>81</v>
      </c>
      <c r="R25" s="66" cm="1">
        <f t="array" ref="R25">P25+Q25</f>
        <v>1943</v>
      </c>
      <c r="S25" s="66" cm="1">
        <f t="array" ref="S25">S24+R25</f>
        <v>9450</v>
      </c>
    </row>
    <row r="26" ht="13.65" customHeight="1">
      <c r="A26" s="56">
        <v>22</v>
      </c>
      <c r="B26" s="60">
        <v>17</v>
      </c>
      <c r="C26" s="60">
        <v>22</v>
      </c>
      <c r="D26" s="60">
        <v>26</v>
      </c>
      <c r="E26" s="60">
        <v>22</v>
      </c>
      <c r="F26" s="60">
        <v>13</v>
      </c>
      <c r="G26" s="60">
        <v>9</v>
      </c>
      <c r="H26" s="60">
        <v>0</v>
      </c>
      <c r="I26" s="60">
        <v>0</v>
      </c>
      <c r="J26" s="56" cm="1">
        <f t="array" ref="J26">SUM(B26:I26)</f>
        <v>109</v>
      </c>
      <c r="K26" s="74" cm="1">
        <f t="array" ref="K26">ROUND(POWER('Tuning'!$B$17,A26-1),3)</f>
        <v>2.9</v>
      </c>
      <c r="L26" s="57">
        <v>0.89</v>
      </c>
      <c r="M26" s="75" cm="1">
        <f t="array" ref="M26">ROUND((B26*'Enemies'!$H$5+C26*'Enemies'!$H$6+D26*'Enemies'!$H$7+E26*'Enemies'!$H$8+F26*'Enemies'!$H$9+G26*'Enemies'!$H$10+H26*'Enemies'!$H$11+I26*'Enemies'!$H$12)*K26,0)</f>
        <v>4878</v>
      </c>
      <c r="N26" s="56" cm="1">
        <f t="array" ref="N26">ROUND(J26*L26+14,0)</f>
        <v>111</v>
      </c>
      <c r="O26" s="45" cm="1">
        <f t="array" ref="O26">IF(N26=0,0,ROUND(M26/N26,1))</f>
        <v>43.9</v>
      </c>
      <c r="P26" s="56" cm="1">
        <f t="array" ref="P26">ROUND(M26*'Tuning'!$B$8,0)</f>
        <v>2098</v>
      </c>
      <c r="Q26" s="56" cm="1">
        <f t="array" ref="Q26">ROUND('Tuning'!$B$9+'Tuning'!$B$10*A26,0)</f>
        <v>82</v>
      </c>
      <c r="R26" s="56" cm="1">
        <f t="array" ref="R26">P26+Q26</f>
        <v>2180</v>
      </c>
      <c r="S26" s="56" cm="1">
        <f t="array" ref="S26">S25+R26</f>
        <v>11630</v>
      </c>
    </row>
    <row r="27" ht="13.65" customHeight="1">
      <c r="A27" s="56">
        <v>23</v>
      </c>
      <c r="B27" s="60">
        <v>18</v>
      </c>
      <c r="C27" s="60">
        <v>22</v>
      </c>
      <c r="D27" s="60">
        <v>27</v>
      </c>
      <c r="E27" s="60">
        <v>22</v>
      </c>
      <c r="F27" s="60">
        <v>13</v>
      </c>
      <c r="G27" s="60">
        <v>9</v>
      </c>
      <c r="H27" s="60">
        <v>0</v>
      </c>
      <c r="I27" s="60">
        <v>0</v>
      </c>
      <c r="J27" s="56" cm="1">
        <f t="array" ref="J27">SUM(B27:I27)</f>
        <v>111</v>
      </c>
      <c r="K27" s="74" cm="1">
        <f t="array" ref="K27">ROUND(POWER('Tuning'!$B$17,A27-1),3)</f>
        <v>3.05</v>
      </c>
      <c r="L27" s="57">
        <v>0.88</v>
      </c>
      <c r="M27" s="75" cm="1">
        <f t="array" ref="M27">ROUND((B27*'Enemies'!$H$5+C27*'Enemies'!$H$6+D27*'Enemies'!$H$7+E27*'Enemies'!$H$8+F27*'Enemies'!$H$9+G27*'Enemies'!$H$10+H27*'Enemies'!$H$11+I27*'Enemies'!$H$12)*K27,0)</f>
        <v>5158</v>
      </c>
      <c r="N27" s="56" cm="1">
        <f t="array" ref="N27">ROUND(J27*L27+14,0)</f>
        <v>112</v>
      </c>
      <c r="O27" s="45" cm="1">
        <f t="array" ref="O27">IF(N27=0,0,ROUND(M27/N27,1))</f>
        <v>46.1</v>
      </c>
      <c r="P27" s="56" cm="1">
        <f t="array" ref="P27">ROUND(M27*'Tuning'!$B$8,0)</f>
        <v>2218</v>
      </c>
      <c r="Q27" s="56" cm="1">
        <f t="array" ref="Q27">ROUND('Tuning'!$B$9+'Tuning'!$B$10*A27,0)</f>
        <v>83</v>
      </c>
      <c r="R27" s="56" cm="1">
        <f t="array" ref="R27">P27+Q27</f>
        <v>2301</v>
      </c>
      <c r="S27" s="56" cm="1">
        <f t="array" ref="S27">S26+R27</f>
        <v>13931</v>
      </c>
    </row>
    <row r="28" ht="13.65" customHeight="1">
      <c r="A28" s="56">
        <v>24</v>
      </c>
      <c r="B28" s="60">
        <v>19</v>
      </c>
      <c r="C28" s="60">
        <v>23</v>
      </c>
      <c r="D28" s="60">
        <v>28</v>
      </c>
      <c r="E28" s="60">
        <v>23</v>
      </c>
      <c r="F28" s="60">
        <v>14</v>
      </c>
      <c r="G28" s="60">
        <v>9</v>
      </c>
      <c r="H28" s="60">
        <v>0</v>
      </c>
      <c r="I28" s="60">
        <v>0</v>
      </c>
      <c r="J28" s="56" cm="1">
        <f t="array" ref="J28">SUM(B28:I28)</f>
        <v>116</v>
      </c>
      <c r="K28" s="74" cm="1">
        <f t="array" ref="K28">ROUND(POWER('Tuning'!$B$17,A28-1),3)</f>
        <v>3.209</v>
      </c>
      <c r="L28" s="57">
        <v>0.86</v>
      </c>
      <c r="M28" s="75" cm="1">
        <f t="array" ref="M28">ROUND((B28*'Enemies'!$H$5+C28*'Enemies'!$H$6+D28*'Enemies'!$H$7+E28*'Enemies'!$H$8+F28*'Enemies'!$H$9+G28*'Enemies'!$H$10+H28*'Enemies'!$H$11+I28*'Enemies'!$H$12)*K28,0)</f>
        <v>5722</v>
      </c>
      <c r="N28" s="56" cm="1">
        <f t="array" ref="N28">ROUND(J28*L28+14,0)</f>
        <v>114</v>
      </c>
      <c r="O28" s="45" cm="1">
        <f t="array" ref="O28">IF(N28=0,0,ROUND(M28/N28,1))</f>
        <v>50.2</v>
      </c>
      <c r="P28" s="56" cm="1">
        <f t="array" ref="P28">ROUND(M28*'Tuning'!$B$8,0)</f>
        <v>2460</v>
      </c>
      <c r="Q28" s="56" cm="1">
        <f t="array" ref="Q28">ROUND('Tuning'!$B$9+'Tuning'!$B$10*A28,0)</f>
        <v>84</v>
      </c>
      <c r="R28" s="56" cm="1">
        <f t="array" ref="R28">P28+Q28</f>
        <v>2544</v>
      </c>
      <c r="S28" s="56" cm="1">
        <f t="array" ref="S28">S27+R28</f>
        <v>16475</v>
      </c>
    </row>
    <row r="29" ht="13.65" customHeight="1">
      <c r="A29" s="56">
        <v>25</v>
      </c>
      <c r="B29" s="60">
        <v>19</v>
      </c>
      <c r="C29" s="60">
        <v>24</v>
      </c>
      <c r="D29" s="60">
        <v>29</v>
      </c>
      <c r="E29" s="60">
        <v>24</v>
      </c>
      <c r="F29" s="60">
        <v>14</v>
      </c>
      <c r="G29" s="60">
        <v>10</v>
      </c>
      <c r="H29" s="60">
        <v>0</v>
      </c>
      <c r="I29" s="60">
        <v>0</v>
      </c>
      <c r="J29" s="56" cm="1">
        <f t="array" ref="J29">SUM(B29:I29)</f>
        <v>120</v>
      </c>
      <c r="K29" s="74" cm="1">
        <f t="array" ref="K29">ROUND(POWER('Tuning'!$B$17,A29-1),3)</f>
        <v>3.376</v>
      </c>
      <c r="L29" s="57">
        <v>0.85</v>
      </c>
      <c r="M29" s="75" cm="1">
        <f t="array" ref="M29">ROUND((B29*'Enemies'!$H$5+C29*'Enemies'!$H$6+D29*'Enemies'!$H$7+E29*'Enemies'!$H$8+F29*'Enemies'!$H$9+G29*'Enemies'!$H$10+H29*'Enemies'!$H$11+I29*'Enemies'!$H$12)*K29,0)</f>
        <v>6188</v>
      </c>
      <c r="N29" s="56" cm="1">
        <f t="array" ref="N29">ROUND(J29*L29+14,0)</f>
        <v>116</v>
      </c>
      <c r="O29" s="45" cm="1">
        <f t="array" ref="O29">IF(N29=0,0,ROUND(M29/N29,1))</f>
        <v>53.3</v>
      </c>
      <c r="P29" s="56" cm="1">
        <f t="array" ref="P29">ROUND(M29*'Tuning'!$B$8,0)</f>
        <v>2661</v>
      </c>
      <c r="Q29" s="56" cm="1">
        <f t="array" ref="Q29">ROUND('Tuning'!$B$9+'Tuning'!$B$10*A29,0)</f>
        <v>85</v>
      </c>
      <c r="R29" s="56" cm="1">
        <f t="array" ref="R29">P29+Q29</f>
        <v>2746</v>
      </c>
      <c r="S29" s="56" cm="1">
        <f t="array" ref="S29">S28+R29</f>
        <v>19221</v>
      </c>
    </row>
    <row r="30" ht="13.65" customHeight="1">
      <c r="A30" s="56">
        <v>26</v>
      </c>
      <c r="B30" s="60">
        <v>20</v>
      </c>
      <c r="C30" s="60">
        <v>25</v>
      </c>
      <c r="D30" s="60">
        <v>30</v>
      </c>
      <c r="E30" s="60">
        <v>25</v>
      </c>
      <c r="F30" s="60">
        <v>15</v>
      </c>
      <c r="G30" s="60">
        <v>10</v>
      </c>
      <c r="H30" s="60">
        <v>0</v>
      </c>
      <c r="I30" s="60">
        <v>0</v>
      </c>
      <c r="J30" s="56" cm="1">
        <f t="array" ref="J30">SUM(B30:I30)</f>
        <v>125</v>
      </c>
      <c r="K30" s="74" cm="1">
        <f t="array" ref="K30">ROUND(POWER('Tuning'!$B$17,A30-1),3)</f>
        <v>3.551</v>
      </c>
      <c r="L30" s="57">
        <v>0.84</v>
      </c>
      <c r="M30" s="75" cm="1">
        <f t="array" ref="M30">ROUND((B30*'Enemies'!$H$5+C30*'Enemies'!$H$6+D30*'Enemies'!$H$7+E30*'Enemies'!$H$8+F30*'Enemies'!$H$9+G30*'Enemies'!$H$10+H30*'Enemies'!$H$11+I30*'Enemies'!$H$12)*K30,0)</f>
        <v>6836</v>
      </c>
      <c r="N30" s="56" cm="1">
        <f t="array" ref="N30">ROUND(J30*L30+14,0)</f>
        <v>119</v>
      </c>
      <c r="O30" s="45" cm="1">
        <f t="array" ref="O30">IF(N30=0,0,ROUND(M30/N30,1))</f>
        <v>57.4</v>
      </c>
      <c r="P30" s="56" cm="1">
        <f t="array" ref="P30">ROUND(M30*'Tuning'!$B$8,0)</f>
        <v>2939</v>
      </c>
      <c r="Q30" s="56" cm="1">
        <f t="array" ref="Q30">ROUND('Tuning'!$B$9+'Tuning'!$B$10*A30,0)</f>
        <v>86</v>
      </c>
      <c r="R30" s="56" cm="1">
        <f t="array" ref="R30">P30+Q30</f>
        <v>3025</v>
      </c>
      <c r="S30" s="56" cm="1">
        <f t="array" ref="S30">S29+R30</f>
        <v>22246</v>
      </c>
    </row>
    <row r="31" ht="13.65" customHeight="1">
      <c r="A31" s="56">
        <v>27</v>
      </c>
      <c r="B31" s="60">
        <v>20</v>
      </c>
      <c r="C31" s="60">
        <v>26</v>
      </c>
      <c r="D31" s="60">
        <v>31</v>
      </c>
      <c r="E31" s="60">
        <v>26</v>
      </c>
      <c r="F31" s="60">
        <v>15</v>
      </c>
      <c r="G31" s="60">
        <v>10</v>
      </c>
      <c r="H31" s="60">
        <v>0</v>
      </c>
      <c r="I31" s="60">
        <v>0</v>
      </c>
      <c r="J31" s="56" cm="1">
        <f t="array" ref="J31">SUM(B31:I31)</f>
        <v>128</v>
      </c>
      <c r="K31" s="74" cm="1">
        <f t="array" ref="K31">ROUND(POWER('Tuning'!$B$17,A31-1),3)</f>
        <v>3.736</v>
      </c>
      <c r="L31" s="57">
        <v>0.82</v>
      </c>
      <c r="M31" s="75" cm="1">
        <f t="array" ref="M31">ROUND((B31*'Enemies'!$H$5+C31*'Enemies'!$H$6+D31*'Enemies'!$H$7+E31*'Enemies'!$H$8+F31*'Enemies'!$H$9+G31*'Enemies'!$H$10+H31*'Enemies'!$H$11+I31*'Enemies'!$H$12)*K31,0)</f>
        <v>7304</v>
      </c>
      <c r="N31" s="56" cm="1">
        <f t="array" ref="N31">ROUND(J31*L31+14,0)</f>
        <v>119</v>
      </c>
      <c r="O31" s="45" cm="1">
        <f t="array" ref="O31">IF(N31=0,0,ROUND(M31/N31,1))</f>
        <v>61.4</v>
      </c>
      <c r="P31" s="56" cm="1">
        <f t="array" ref="P31">ROUND(M31*'Tuning'!$B$8,0)</f>
        <v>3141</v>
      </c>
      <c r="Q31" s="56" cm="1">
        <f t="array" ref="Q31">ROUND('Tuning'!$B$9+'Tuning'!$B$10*A31,0)</f>
        <v>87</v>
      </c>
      <c r="R31" s="56" cm="1">
        <f t="array" ref="R31">P31+Q31</f>
        <v>3228</v>
      </c>
      <c r="S31" s="56" cm="1">
        <f t="array" ref="S31">S30+R31</f>
        <v>25474</v>
      </c>
    </row>
    <row r="32" ht="13.65" customHeight="1">
      <c r="A32" s="56">
        <v>28</v>
      </c>
      <c r="B32" s="60">
        <v>21</v>
      </c>
      <c r="C32" s="60">
        <v>26</v>
      </c>
      <c r="D32" s="60">
        <v>31</v>
      </c>
      <c r="E32" s="60">
        <v>26</v>
      </c>
      <c r="F32" s="60">
        <v>16</v>
      </c>
      <c r="G32" s="60">
        <v>10</v>
      </c>
      <c r="H32" s="60">
        <v>0</v>
      </c>
      <c r="I32" s="60">
        <v>0</v>
      </c>
      <c r="J32" s="56" cm="1">
        <f t="array" ref="J32">SUM(B32:I32)</f>
        <v>130</v>
      </c>
      <c r="K32" s="74" cm="1">
        <f t="array" ref="K32">ROUND(POWER('Tuning'!$B$17,A32-1),3)</f>
        <v>3.93</v>
      </c>
      <c r="L32" s="57">
        <v>0.8100000000000001</v>
      </c>
      <c r="M32" s="75" cm="1">
        <f t="array" ref="M32">ROUND((B32*'Enemies'!$H$5+C32*'Enemies'!$H$6+D32*'Enemies'!$H$7+E32*'Enemies'!$H$8+F32*'Enemies'!$H$9+G32*'Enemies'!$H$10+H32*'Enemies'!$H$11+I32*'Enemies'!$H$12)*K32,0)</f>
        <v>7927</v>
      </c>
      <c r="N32" s="56" cm="1">
        <f t="array" ref="N32">ROUND(J32*L32+14,0)</f>
        <v>119</v>
      </c>
      <c r="O32" s="45" cm="1">
        <f t="array" ref="O32">IF(N32=0,0,ROUND(M32/N32,1))</f>
        <v>66.59999999999999</v>
      </c>
      <c r="P32" s="56" cm="1">
        <f t="array" ref="P32">ROUND(M32*'Tuning'!$B$8,0)</f>
        <v>3409</v>
      </c>
      <c r="Q32" s="56" cm="1">
        <f t="array" ref="Q32">ROUND('Tuning'!$B$9+'Tuning'!$B$10*A32,0)</f>
        <v>88</v>
      </c>
      <c r="R32" s="56" cm="1">
        <f t="array" ref="R32">P32+Q32</f>
        <v>3497</v>
      </c>
      <c r="S32" s="56" cm="1">
        <f t="array" ref="S32">S31+R32</f>
        <v>28971</v>
      </c>
    </row>
    <row r="33" ht="13.65" customHeight="1">
      <c r="A33" s="56">
        <v>29</v>
      </c>
      <c r="B33" s="60">
        <v>21</v>
      </c>
      <c r="C33" s="60">
        <v>26</v>
      </c>
      <c r="D33" s="60">
        <v>31</v>
      </c>
      <c r="E33" s="60">
        <v>26</v>
      </c>
      <c r="F33" s="60">
        <v>16</v>
      </c>
      <c r="G33" s="60">
        <v>10</v>
      </c>
      <c r="H33" s="60">
        <v>0</v>
      </c>
      <c r="I33" s="60">
        <v>0</v>
      </c>
      <c r="J33" s="56" cm="1">
        <f t="array" ref="J33">SUM(B33:I33)</f>
        <v>130</v>
      </c>
      <c r="K33" s="74" cm="1">
        <f t="array" ref="K33">ROUND(POWER('Tuning'!$B$17,A33-1),3)</f>
        <v>4.135</v>
      </c>
      <c r="L33" s="57">
        <v>0.79</v>
      </c>
      <c r="M33" s="75" cm="1">
        <f t="array" ref="M33">ROUND((B33*'Enemies'!$H$5+C33*'Enemies'!$H$6+D33*'Enemies'!$H$7+E33*'Enemies'!$H$8+F33*'Enemies'!$H$9+G33*'Enemies'!$H$10+H33*'Enemies'!$H$11+I33*'Enemies'!$H$12)*K33,0)</f>
        <v>8340</v>
      </c>
      <c r="N33" s="56" cm="1">
        <f t="array" ref="N33">ROUND(J33*L33+14,0)</f>
        <v>117</v>
      </c>
      <c r="O33" s="45" cm="1">
        <f t="array" ref="O33">IF(N33=0,0,ROUND(M33/N33,1))</f>
        <v>71.3</v>
      </c>
      <c r="P33" s="56" cm="1">
        <f t="array" ref="P33">ROUND(M33*'Tuning'!$B$8,0)</f>
        <v>3586</v>
      </c>
      <c r="Q33" s="56" cm="1">
        <f t="array" ref="Q33">ROUND('Tuning'!$B$9+'Tuning'!$B$10*A33,0)</f>
        <v>89</v>
      </c>
      <c r="R33" s="56" cm="1">
        <f t="array" ref="R33">P33+Q33</f>
        <v>3675</v>
      </c>
      <c r="S33" s="56" cm="1">
        <f t="array" ref="S33">S32+R33</f>
        <v>32646</v>
      </c>
    </row>
    <row r="34" ht="13.65" customHeight="1">
      <c r="A34" s="56">
        <v>30</v>
      </c>
      <c r="B34" s="60">
        <v>21</v>
      </c>
      <c r="C34" s="60">
        <v>26</v>
      </c>
      <c r="D34" s="60">
        <v>31</v>
      </c>
      <c r="E34" s="60">
        <v>26</v>
      </c>
      <c r="F34" s="60">
        <v>16</v>
      </c>
      <c r="G34" s="60">
        <v>10</v>
      </c>
      <c r="H34" s="60">
        <v>0</v>
      </c>
      <c r="I34" s="60">
        <v>0</v>
      </c>
      <c r="J34" s="56" cm="1">
        <f t="array" ref="J34">SUM(B34:I34)</f>
        <v>130</v>
      </c>
      <c r="K34" s="74" cm="1">
        <f t="array" ref="K34">ROUND(POWER('Tuning'!$B$17,A34-1),3)</f>
        <v>4.35</v>
      </c>
      <c r="L34" s="57">
        <v>0.78</v>
      </c>
      <c r="M34" s="75" cm="1">
        <f t="array" ref="M34">ROUND((B34*'Enemies'!$H$5+C34*'Enemies'!$H$6+D34*'Enemies'!$H$7+E34*'Enemies'!$H$8+F34*'Enemies'!$H$9+G34*'Enemies'!$H$10+H34*'Enemies'!$H$11+I34*'Enemies'!$H$12)*K34,0)</f>
        <v>8774</v>
      </c>
      <c r="N34" s="56" cm="1">
        <f t="array" ref="N34">ROUND(J34*L34+14,0)</f>
        <v>115</v>
      </c>
      <c r="O34" s="45" cm="1">
        <f t="array" ref="O34">IF(N34=0,0,ROUND(M34/N34,1))</f>
        <v>76.3</v>
      </c>
      <c r="P34" s="56" cm="1">
        <f t="array" ref="P34">ROUND(M34*'Tuning'!$B$8,0)</f>
        <v>3773</v>
      </c>
      <c r="Q34" s="56" cm="1">
        <f t="array" ref="Q34">ROUND('Tuning'!$B$9+'Tuning'!$B$10*A34,0)</f>
        <v>90</v>
      </c>
      <c r="R34" s="56" cm="1">
        <f t="array" ref="R34">P34+Q34</f>
        <v>3863</v>
      </c>
      <c r="S34" s="56" cm="1">
        <f t="array" ref="S34">S33+R34</f>
        <v>36509</v>
      </c>
    </row>
    <row r="35" ht="13.65" customHeight="1">
      <c r="A35" s="66">
        <v>31</v>
      </c>
      <c r="B35" s="76">
        <v>0</v>
      </c>
      <c r="C35" s="76">
        <v>16</v>
      </c>
      <c r="D35" s="76">
        <v>26</v>
      </c>
      <c r="E35" s="76">
        <v>31</v>
      </c>
      <c r="F35" s="76">
        <v>31</v>
      </c>
      <c r="G35" s="76">
        <v>18</v>
      </c>
      <c r="H35" s="76">
        <v>8</v>
      </c>
      <c r="I35" s="76">
        <v>0</v>
      </c>
      <c r="J35" s="66" cm="1">
        <f t="array" ref="J35">SUM(B35:I35)</f>
        <v>130</v>
      </c>
      <c r="K35" s="77" cm="1">
        <f t="array" ref="K35">ROUND(POWER('Tuning'!$B$17,A35-1),3)</f>
        <v>4.576</v>
      </c>
      <c r="L35" s="78">
        <v>0.77</v>
      </c>
      <c r="M35" s="79" cm="1">
        <f t="array" ref="M35">ROUND((B35*'Enemies'!$H$5+C35*'Enemies'!$H$6+D35*'Enemies'!$H$7+E35*'Enemies'!$H$8+F35*'Enemies'!$H$9+G35*'Enemies'!$H$10+H35*'Enemies'!$H$11+I35*'Enemies'!$H$12)*K35,0)</f>
        <v>24418</v>
      </c>
      <c r="N35" s="66" cm="1">
        <f t="array" ref="N35">ROUND(J35*L35+14,0)</f>
        <v>114</v>
      </c>
      <c r="O35" s="67" cm="1">
        <f t="array" ref="O35">IF(N35=0,0,ROUND(M35/N35,1))</f>
        <v>214.2</v>
      </c>
      <c r="P35" s="66" cm="1">
        <f t="array" ref="P35">ROUND(M35*'Tuning'!$B$8,0)</f>
        <v>10500</v>
      </c>
      <c r="Q35" s="66" cm="1">
        <f t="array" ref="Q35">ROUND('Tuning'!$B$9+'Tuning'!$B$10*A35,0)</f>
        <v>91</v>
      </c>
      <c r="R35" s="66" cm="1">
        <f t="array" ref="R35">P35+Q35</f>
        <v>10591</v>
      </c>
      <c r="S35" s="66" cm="1">
        <f t="array" ref="S35">S34+R35</f>
        <v>47100</v>
      </c>
    </row>
    <row r="36" ht="13.65" customHeight="1">
      <c r="A36" s="56">
        <v>32</v>
      </c>
      <c r="B36" s="60">
        <v>0</v>
      </c>
      <c r="C36" s="60">
        <v>16</v>
      </c>
      <c r="D36" s="60">
        <v>26</v>
      </c>
      <c r="E36" s="60">
        <v>31</v>
      </c>
      <c r="F36" s="60">
        <v>31</v>
      </c>
      <c r="G36" s="60">
        <v>18</v>
      </c>
      <c r="H36" s="60">
        <v>8</v>
      </c>
      <c r="I36" s="60">
        <v>0</v>
      </c>
      <c r="J36" s="56" cm="1">
        <f t="array" ref="J36">SUM(B36:I36)</f>
        <v>130</v>
      </c>
      <c r="K36" s="74" cm="1">
        <f t="array" ref="K36">ROUND(POWER('Tuning'!$B$17,A36-1),3)</f>
        <v>4.814</v>
      </c>
      <c r="L36" s="57">
        <v>0.75</v>
      </c>
      <c r="M36" s="75" cm="1">
        <f t="array" ref="M36">ROUND((B36*'Enemies'!$H$5+C36*'Enemies'!$H$6+D36*'Enemies'!$H$7+E36*'Enemies'!$H$8+F36*'Enemies'!$H$9+G36*'Enemies'!$H$10+H36*'Enemies'!$H$11+I36*'Enemies'!$H$12)*K36,0)</f>
        <v>25688</v>
      </c>
      <c r="N36" s="56" cm="1">
        <f t="array" ref="N36">ROUND(J36*L36+14,0)</f>
        <v>112</v>
      </c>
      <c r="O36" s="45" cm="1">
        <f t="array" ref="O36">IF(N36=0,0,ROUND(M36/N36,1))</f>
        <v>229.4</v>
      </c>
      <c r="P36" s="56" cm="1">
        <f t="array" ref="P36">ROUND(M36*'Tuning'!$B$8,0)</f>
        <v>11046</v>
      </c>
      <c r="Q36" s="56" cm="1">
        <f t="array" ref="Q36">ROUND('Tuning'!$B$9+'Tuning'!$B$10*A36,0)</f>
        <v>92</v>
      </c>
      <c r="R36" s="56" cm="1">
        <f t="array" ref="R36">P36+Q36</f>
        <v>11138</v>
      </c>
      <c r="S36" s="56" cm="1">
        <f t="array" ref="S36">S35+R36</f>
        <v>58238</v>
      </c>
    </row>
    <row r="37" ht="13.65" customHeight="1">
      <c r="A37" s="56">
        <v>33</v>
      </c>
      <c r="B37" s="60">
        <v>0</v>
      </c>
      <c r="C37" s="60">
        <v>16</v>
      </c>
      <c r="D37" s="60">
        <v>26</v>
      </c>
      <c r="E37" s="60">
        <v>31</v>
      </c>
      <c r="F37" s="60">
        <v>31</v>
      </c>
      <c r="G37" s="60">
        <v>18</v>
      </c>
      <c r="H37" s="60">
        <v>8</v>
      </c>
      <c r="I37" s="60">
        <v>0</v>
      </c>
      <c r="J37" s="56" cm="1">
        <f t="array" ref="J37">SUM(B37:I37)</f>
        <v>130</v>
      </c>
      <c r="K37" s="74" cm="1">
        <f t="array" ref="K37">ROUND(POWER('Tuning'!$B$17,A37-1),3)</f>
        <v>5.064</v>
      </c>
      <c r="L37" s="57">
        <v>0.74</v>
      </c>
      <c r="M37" s="75" cm="1">
        <f t="array" ref="M37">ROUND((B37*'Enemies'!$H$5+C37*'Enemies'!$H$6+D37*'Enemies'!$H$7+E37*'Enemies'!$H$8+F37*'Enemies'!$H$9+G37*'Enemies'!$H$10+H37*'Enemies'!$H$11+I37*'Enemies'!$H$12)*K37,0)</f>
        <v>27022</v>
      </c>
      <c r="N37" s="56" cm="1">
        <f t="array" ref="N37">ROUND(J37*L37+14,0)</f>
        <v>110</v>
      </c>
      <c r="O37" s="45" cm="1">
        <f t="array" ref="O37">IF(N37=0,0,ROUND(M37/N37,1))</f>
        <v>245.7</v>
      </c>
      <c r="P37" s="56" cm="1">
        <f t="array" ref="P37">ROUND(M37*'Tuning'!$B$8,0)</f>
        <v>11619</v>
      </c>
      <c r="Q37" s="56" cm="1">
        <f t="array" ref="Q37">ROUND('Tuning'!$B$9+'Tuning'!$B$10*A37,0)</f>
        <v>93</v>
      </c>
      <c r="R37" s="56" cm="1">
        <f t="array" ref="R37">P37+Q37</f>
        <v>11712</v>
      </c>
      <c r="S37" s="56" cm="1">
        <f t="array" ref="S37">S36+R37</f>
        <v>69950</v>
      </c>
    </row>
    <row r="38" ht="13.65" customHeight="1">
      <c r="A38" s="56">
        <v>34</v>
      </c>
      <c r="B38" s="60">
        <v>0</v>
      </c>
      <c r="C38" s="60">
        <v>16</v>
      </c>
      <c r="D38" s="60">
        <v>26</v>
      </c>
      <c r="E38" s="60">
        <v>31</v>
      </c>
      <c r="F38" s="60">
        <v>31</v>
      </c>
      <c r="G38" s="60">
        <v>18</v>
      </c>
      <c r="H38" s="60">
        <v>8</v>
      </c>
      <c r="I38" s="60">
        <v>0</v>
      </c>
      <c r="J38" s="56" cm="1">
        <f t="array" ref="J38">SUM(B38:I38)</f>
        <v>130</v>
      </c>
      <c r="K38" s="74" cm="1">
        <f t="array" ref="K38">ROUND(POWER('Tuning'!$B$17,A38-1),3)</f>
        <v>5.327</v>
      </c>
      <c r="L38" s="57">
        <v>0.72</v>
      </c>
      <c r="M38" s="75" cm="1">
        <f t="array" ref="M38">ROUND((B38*'Enemies'!$H$5+C38*'Enemies'!$H$6+D38*'Enemies'!$H$7+E38*'Enemies'!$H$8+F38*'Enemies'!$H$9+G38*'Enemies'!$H$10+H38*'Enemies'!$H$11+I38*'Enemies'!$H$12)*K38,0)</f>
        <v>28425</v>
      </c>
      <c r="N38" s="56" cm="1">
        <f t="array" ref="N38">ROUND(J38*L38+14,0)</f>
        <v>108</v>
      </c>
      <c r="O38" s="45" cm="1">
        <f t="array" ref="O38">IF(N38=0,0,ROUND(M38/N38,1))</f>
        <v>263.2</v>
      </c>
      <c r="P38" s="56" cm="1">
        <f t="array" ref="P38">ROUND(M38*'Tuning'!$B$8,0)</f>
        <v>12223</v>
      </c>
      <c r="Q38" s="56" cm="1">
        <f t="array" ref="Q38">ROUND('Tuning'!$B$9+'Tuning'!$B$10*A38,0)</f>
        <v>94</v>
      </c>
      <c r="R38" s="56" cm="1">
        <f t="array" ref="R38">P38+Q38</f>
        <v>12317</v>
      </c>
      <c r="S38" s="56" cm="1">
        <f t="array" ref="S38">S37+R38</f>
        <v>82267</v>
      </c>
    </row>
    <row r="39" ht="13.65" customHeight="1">
      <c r="A39" s="56">
        <v>35</v>
      </c>
      <c r="B39" s="60">
        <v>0</v>
      </c>
      <c r="C39" s="60">
        <v>16</v>
      </c>
      <c r="D39" s="60">
        <v>26</v>
      </c>
      <c r="E39" s="60">
        <v>31</v>
      </c>
      <c r="F39" s="60">
        <v>31</v>
      </c>
      <c r="G39" s="60">
        <v>18</v>
      </c>
      <c r="H39" s="60">
        <v>8</v>
      </c>
      <c r="I39" s="60">
        <v>0</v>
      </c>
      <c r="J39" s="56" cm="1">
        <f t="array" ref="J39">SUM(B39:I39)</f>
        <v>130</v>
      </c>
      <c r="K39" s="74" cm="1">
        <f t="array" ref="K39">ROUND(POWER('Tuning'!$B$17,A39-1),3)</f>
        <v>5.604</v>
      </c>
      <c r="L39" s="57">
        <v>0.71</v>
      </c>
      <c r="M39" s="75" cm="1">
        <f t="array" ref="M39">ROUND((B39*'Enemies'!$H$5+C39*'Enemies'!$H$6+D39*'Enemies'!$H$7+E39*'Enemies'!$H$8+F39*'Enemies'!$H$9+G39*'Enemies'!$H$10+H39*'Enemies'!$H$11+I39*'Enemies'!$H$12)*K39,0)</f>
        <v>29903</v>
      </c>
      <c r="N39" s="56" cm="1">
        <f t="array" ref="N39">ROUND(J39*L39+14,0)</f>
        <v>106</v>
      </c>
      <c r="O39" s="45" cm="1">
        <f t="array" ref="O39">IF(N39=0,0,ROUND(M39/N39,1))</f>
        <v>282.1</v>
      </c>
      <c r="P39" s="56" cm="1">
        <f t="array" ref="P39">ROUND(M39*'Tuning'!$B$8,0)</f>
        <v>12858</v>
      </c>
      <c r="Q39" s="56" cm="1">
        <f t="array" ref="Q39">ROUND('Tuning'!$B$9+'Tuning'!$B$10*A39,0)</f>
        <v>95</v>
      </c>
      <c r="R39" s="56" cm="1">
        <f t="array" ref="R39">P39+Q39</f>
        <v>12953</v>
      </c>
      <c r="S39" s="56" cm="1">
        <f t="array" ref="S39">S38+R39</f>
        <v>95220</v>
      </c>
    </row>
    <row r="40" ht="13.65" customHeight="1">
      <c r="A40" s="56">
        <v>36</v>
      </c>
      <c r="B40" s="60">
        <v>0</v>
      </c>
      <c r="C40" s="60">
        <v>16</v>
      </c>
      <c r="D40" s="60">
        <v>26</v>
      </c>
      <c r="E40" s="60">
        <v>31</v>
      </c>
      <c r="F40" s="60">
        <v>31</v>
      </c>
      <c r="G40" s="60">
        <v>18</v>
      </c>
      <c r="H40" s="60">
        <v>8</v>
      </c>
      <c r="I40" s="60">
        <v>0</v>
      </c>
      <c r="J40" s="56" cm="1">
        <f t="array" ref="J40">SUM(B40:I40)</f>
        <v>130</v>
      </c>
      <c r="K40" s="74" cm="1">
        <f t="array" ref="K40">ROUND(POWER('Tuning'!$B$17,A40-1),3)</f>
        <v>5.896</v>
      </c>
      <c r="L40" s="57">
        <v>0.7</v>
      </c>
      <c r="M40" s="75" cm="1">
        <f t="array" ref="M40">ROUND((B40*'Enemies'!$H$5+C40*'Enemies'!$H$6+D40*'Enemies'!$H$7+E40*'Enemies'!$H$8+F40*'Enemies'!$H$9+G40*'Enemies'!$H$10+H40*'Enemies'!$H$11+I40*'Enemies'!$H$12)*K40,0)</f>
        <v>31461</v>
      </c>
      <c r="N40" s="56" cm="1">
        <f t="array" ref="N40">ROUND(J40*L40+14,0)</f>
        <v>105</v>
      </c>
      <c r="O40" s="45" cm="1">
        <f t="array" ref="O40">IF(N40=0,0,ROUND(M40/N40,1))</f>
        <v>299.6</v>
      </c>
      <c r="P40" s="56" cm="1">
        <f t="array" ref="P40">ROUND(M40*'Tuning'!$B$8,0)</f>
        <v>13528</v>
      </c>
      <c r="Q40" s="56" cm="1">
        <f t="array" ref="Q40">ROUND('Tuning'!$B$9+'Tuning'!$B$10*A40,0)</f>
        <v>96</v>
      </c>
      <c r="R40" s="56" cm="1">
        <f t="array" ref="R40">P40+Q40</f>
        <v>13624</v>
      </c>
      <c r="S40" s="56" cm="1">
        <f t="array" ref="S40">S39+R40</f>
        <v>108844</v>
      </c>
    </row>
    <row r="41" ht="13.65" customHeight="1">
      <c r="A41" s="56">
        <v>37</v>
      </c>
      <c r="B41" s="60">
        <v>0</v>
      </c>
      <c r="C41" s="60">
        <v>16</v>
      </c>
      <c r="D41" s="60">
        <v>26</v>
      </c>
      <c r="E41" s="60">
        <v>31</v>
      </c>
      <c r="F41" s="60">
        <v>31</v>
      </c>
      <c r="G41" s="60">
        <v>18</v>
      </c>
      <c r="H41" s="60">
        <v>8</v>
      </c>
      <c r="I41" s="60">
        <v>0</v>
      </c>
      <c r="J41" s="56" cm="1">
        <f t="array" ref="J41">SUM(B41:I41)</f>
        <v>130</v>
      </c>
      <c r="K41" s="74" cm="1">
        <f t="array" ref="K41">ROUND(POWER('Tuning'!$B$17,A41-1),3)</f>
        <v>6.202</v>
      </c>
      <c r="L41" s="57">
        <v>0.68</v>
      </c>
      <c r="M41" s="75" cm="1">
        <f t="array" ref="M41">ROUND((B41*'Enemies'!$H$5+C41*'Enemies'!$H$6+D41*'Enemies'!$H$7+E41*'Enemies'!$H$8+F41*'Enemies'!$H$9+G41*'Enemies'!$H$10+H41*'Enemies'!$H$11+I41*'Enemies'!$H$12)*K41,0)</f>
        <v>33094</v>
      </c>
      <c r="N41" s="56" cm="1">
        <f t="array" ref="N41">ROUND(J41*L41+14,0)</f>
        <v>102</v>
      </c>
      <c r="O41" s="45" cm="1">
        <f t="array" ref="O41">IF(N41=0,0,ROUND(M41/N41,1))</f>
        <v>324.5</v>
      </c>
      <c r="P41" s="56" cm="1">
        <f t="array" ref="P41">ROUND(M41*'Tuning'!$B$8,0)</f>
        <v>14230</v>
      </c>
      <c r="Q41" s="56" cm="1">
        <f t="array" ref="Q41">ROUND('Tuning'!$B$9+'Tuning'!$B$10*A41,0)</f>
        <v>97</v>
      </c>
      <c r="R41" s="56" cm="1">
        <f t="array" ref="R41">P41+Q41</f>
        <v>14327</v>
      </c>
      <c r="S41" s="56" cm="1">
        <f t="array" ref="S41">S40+R41</f>
        <v>123171</v>
      </c>
    </row>
    <row r="42" ht="13.65" customHeight="1">
      <c r="A42" s="56">
        <v>38</v>
      </c>
      <c r="B42" s="60">
        <v>0</v>
      </c>
      <c r="C42" s="60">
        <v>16</v>
      </c>
      <c r="D42" s="60">
        <v>26</v>
      </c>
      <c r="E42" s="60">
        <v>31</v>
      </c>
      <c r="F42" s="60">
        <v>31</v>
      </c>
      <c r="G42" s="60">
        <v>18</v>
      </c>
      <c r="H42" s="60">
        <v>8</v>
      </c>
      <c r="I42" s="60">
        <v>0</v>
      </c>
      <c r="J42" s="56" cm="1">
        <f t="array" ref="J42">SUM(B42:I42)</f>
        <v>130</v>
      </c>
      <c r="K42" s="74" cm="1">
        <f t="array" ref="K42">ROUND(POWER('Tuning'!$B$17,A42-1),3)</f>
        <v>6.525</v>
      </c>
      <c r="L42" s="57">
        <v>0.67</v>
      </c>
      <c r="M42" s="75" cm="1">
        <f t="array" ref="M42">ROUND((B42*'Enemies'!$H$5+C42*'Enemies'!$H$6+D42*'Enemies'!$H$7+E42*'Enemies'!$H$8+F42*'Enemies'!$H$9+G42*'Enemies'!$H$10+H42*'Enemies'!$H$11+I42*'Enemies'!$H$12)*K42,0)</f>
        <v>34817</v>
      </c>
      <c r="N42" s="56" cm="1">
        <f t="array" ref="N42">ROUND(J42*L42+14,0)</f>
        <v>101</v>
      </c>
      <c r="O42" s="45" cm="1">
        <f t="array" ref="O42">IF(N42=0,0,ROUND(M42/N42,1))</f>
        <v>344.7</v>
      </c>
      <c r="P42" s="56" cm="1">
        <f t="array" ref="P42">ROUND(M42*'Tuning'!$B$8,0)</f>
        <v>14971</v>
      </c>
      <c r="Q42" s="56" cm="1">
        <f t="array" ref="Q42">ROUND('Tuning'!$B$9+'Tuning'!$B$10*A42,0)</f>
        <v>98</v>
      </c>
      <c r="R42" s="56" cm="1">
        <f t="array" ref="R42">P42+Q42</f>
        <v>15069</v>
      </c>
      <c r="S42" s="56" cm="1">
        <f t="array" ref="S42">S41+R42</f>
        <v>138240</v>
      </c>
    </row>
    <row r="43" ht="13.65" customHeight="1">
      <c r="A43" s="56">
        <v>39</v>
      </c>
      <c r="B43" s="60">
        <v>0</v>
      </c>
      <c r="C43" s="60">
        <v>16</v>
      </c>
      <c r="D43" s="60">
        <v>26</v>
      </c>
      <c r="E43" s="60">
        <v>31</v>
      </c>
      <c r="F43" s="60">
        <v>31</v>
      </c>
      <c r="G43" s="60">
        <v>18</v>
      </c>
      <c r="H43" s="60">
        <v>8</v>
      </c>
      <c r="I43" s="60">
        <v>0</v>
      </c>
      <c r="J43" s="56" cm="1">
        <f t="array" ref="J43">SUM(B43:I43)</f>
        <v>130</v>
      </c>
      <c r="K43" s="74" cm="1">
        <f t="array" ref="K43">ROUND(POWER('Tuning'!$B$17,A43-1),3)</f>
        <v>6.864</v>
      </c>
      <c r="L43" s="57">
        <v>0.65</v>
      </c>
      <c r="M43" s="75" cm="1">
        <f t="array" ref="M43">ROUND((B43*'Enemies'!$H$5+C43*'Enemies'!$H$6+D43*'Enemies'!$H$7+E43*'Enemies'!$H$8+F43*'Enemies'!$H$9+G43*'Enemies'!$H$10+H43*'Enemies'!$H$11+I43*'Enemies'!$H$12)*K43,0)</f>
        <v>36626</v>
      </c>
      <c r="N43" s="56" cm="1">
        <f t="array" ref="N43">ROUND(J43*L43+14,0)</f>
        <v>99</v>
      </c>
      <c r="O43" s="45" cm="1">
        <f t="array" ref="O43">IF(N43=0,0,ROUND(M43/N43,1))</f>
        <v>370</v>
      </c>
      <c r="P43" s="56" cm="1">
        <f t="array" ref="P43">ROUND(M43*'Tuning'!$B$8,0)</f>
        <v>15749</v>
      </c>
      <c r="Q43" s="56" cm="1">
        <f t="array" ref="Q43">ROUND('Tuning'!$B$9+'Tuning'!$B$10*A43,0)</f>
        <v>99</v>
      </c>
      <c r="R43" s="56" cm="1">
        <f t="array" ref="R43">P43+Q43</f>
        <v>15848</v>
      </c>
      <c r="S43" s="56" cm="1">
        <f t="array" ref="S43">S42+R43</f>
        <v>154088</v>
      </c>
    </row>
    <row r="44" ht="13.65" customHeight="1">
      <c r="A44" s="66">
        <v>40</v>
      </c>
      <c r="B44" s="76">
        <v>0</v>
      </c>
      <c r="C44" s="76">
        <v>16</v>
      </c>
      <c r="D44" s="76">
        <v>26</v>
      </c>
      <c r="E44" s="76">
        <v>31</v>
      </c>
      <c r="F44" s="76">
        <v>31</v>
      </c>
      <c r="G44" s="76">
        <v>18</v>
      </c>
      <c r="H44" s="76">
        <v>8</v>
      </c>
      <c r="I44" s="76">
        <v>1</v>
      </c>
      <c r="J44" s="66" cm="1">
        <f t="array" ref="J44">SUM(B44:I44)</f>
        <v>131</v>
      </c>
      <c r="K44" s="77" cm="1">
        <f t="array" ref="K44">ROUND(POWER('Tuning'!$B$17,A44-1),3)</f>
        <v>7.221</v>
      </c>
      <c r="L44" s="78">
        <v>0.64</v>
      </c>
      <c r="M44" s="79" cm="1">
        <f t="array" ref="M44">ROUND((B44*'Enemies'!$H$5+C44*'Enemies'!$H$6+D44*'Enemies'!$H$7+E44*'Enemies'!$H$8+F44*'Enemies'!$H$9+G44*'Enemies'!$H$10+H44*'Enemies'!$H$11+I44*'Enemies'!$H$12)*K44,0)</f>
        <v>51673</v>
      </c>
      <c r="N44" s="66" cm="1">
        <f t="array" ref="N44">ROUND(J44*L44+14,0)</f>
        <v>98</v>
      </c>
      <c r="O44" s="67" cm="1">
        <f t="array" ref="O44">IF(N44=0,0,ROUND(M44/N44,1))</f>
        <v>527.3</v>
      </c>
      <c r="P44" s="66" cm="1">
        <f t="array" ref="P44">ROUND(M44*'Tuning'!$B$8,0)</f>
        <v>22219</v>
      </c>
      <c r="Q44" s="66" cm="1">
        <f t="array" ref="Q44">ROUND('Tuning'!$B$9+'Tuning'!$B$10*A44,0)</f>
        <v>100</v>
      </c>
      <c r="R44" s="66" cm="1">
        <f t="array" ref="R44">P44+Q44</f>
        <v>22319</v>
      </c>
      <c r="S44" s="66" cm="1">
        <f t="array" ref="S44">S43+R44</f>
        <v>176407</v>
      </c>
    </row>
    <row r="45" ht="13.55" customHeight="1">
      <c r="A45" s="62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50"/>
    </row>
    <row r="46" ht="13.55" customHeight="1">
      <c r="A46" t="s" s="80">
        <v>386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</row>
    <row r="47" ht="13.55" customHeight="1">
      <c r="A47" t="s" s="80">
        <v>387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</row>
    <row r="48" ht="13.55" customHeight="1">
      <c r="A48" t="s" s="70">
        <v>388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I55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81" customWidth="1"/>
    <col min="2" max="2" width="14" style="81" customWidth="1"/>
    <col min="3" max="3" width="10" style="81" customWidth="1"/>
    <col min="4" max="5" width="14" style="81" customWidth="1"/>
    <col min="6" max="6" width="16" style="81" customWidth="1"/>
    <col min="7" max="8" width="14" style="81" customWidth="1"/>
    <col min="9" max="9" width="12" style="81" customWidth="1"/>
    <col min="10" max="16384" width="8.67188" style="81" customWidth="1"/>
  </cols>
  <sheetData>
    <row r="1" ht="18.5" customHeight="1">
      <c r="A1" t="s" s="2">
        <v>389</v>
      </c>
      <c r="B1" s="3"/>
      <c r="C1" s="3"/>
      <c r="D1" s="3"/>
      <c r="E1" s="3"/>
      <c r="F1" s="3"/>
      <c r="G1" s="3"/>
      <c r="H1" s="3"/>
      <c r="I1" s="4"/>
    </row>
    <row r="2" ht="13.65" customHeight="1">
      <c r="A2" t="s" s="5">
        <v>390</v>
      </c>
      <c r="B2" s="6"/>
      <c r="C2" s="6"/>
      <c r="D2" s="6"/>
      <c r="E2" s="6"/>
      <c r="F2" s="6"/>
      <c r="G2" s="6"/>
      <c r="H2" s="6"/>
      <c r="I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41"/>
    </row>
    <row r="4" ht="27.75" customHeight="1">
      <c r="A4" t="s" s="21">
        <v>369</v>
      </c>
      <c r="B4" t="s" s="21">
        <v>381</v>
      </c>
      <c r="C4" t="s" s="21">
        <v>391</v>
      </c>
      <c r="D4" t="s" s="21">
        <v>159</v>
      </c>
      <c r="E4" t="s" s="21">
        <v>392</v>
      </c>
      <c r="F4" t="s" s="21">
        <v>385</v>
      </c>
      <c r="G4" t="s" s="21">
        <v>393</v>
      </c>
      <c r="H4" t="s" s="21">
        <v>394</v>
      </c>
      <c r="I4" t="s" s="21">
        <v>395</v>
      </c>
    </row>
    <row r="5" ht="13.65" customHeight="1">
      <c r="A5" s="56">
        <v>1</v>
      </c>
      <c r="B5" s="82" cm="1">
        <f t="array" ref="B5">'Rounds'!O5</f>
        <v>0.9</v>
      </c>
      <c r="C5" s="45" cm="1">
        <f t="array" ref="C5">MIN(5,A5/'Tuning'!$B$32)</f>
        <v>0.125</v>
      </c>
      <c r="D5" s="45" cm="1">
        <f t="array" ref="D5">ROUND('Towers'!$C$11*POWER('Tuning'!$B$12/'Tuning'!$B$13,C5),1)</f>
        <v>68.3</v>
      </c>
      <c r="E5" s="56" cm="1">
        <f t="array" ref="E5">ROUND(B5*D5/'Tuning'!$B$31,0)</f>
        <v>102</v>
      </c>
      <c r="F5" s="75" cm="1">
        <f t="array" ref="F5">'Rounds'!S5</f>
        <v>527</v>
      </c>
      <c r="G5" s="56" cm="1">
        <f t="array" ref="G5">ROUND(F5*'Tuning'!$B$30,0)</f>
        <v>395</v>
      </c>
      <c r="H5" s="83" cm="1">
        <f t="array" ref="H5">IF(E5=0,0,G5/E5)</f>
        <v>3.87254901960784</v>
      </c>
      <c r="I5" t="str" s="84" cm="1">
        <f t="array" ref="I5">IF(H5&lt;1,"TIGHT",IF(H5&lt;2,"OK","EASY"))</f>
        <v>EASY</v>
      </c>
    </row>
    <row r="6" ht="13.65" customHeight="1">
      <c r="A6" s="56">
        <v>2</v>
      </c>
      <c r="B6" s="82" cm="1">
        <f t="array" ref="B6">'Rounds'!O6</f>
        <v>1</v>
      </c>
      <c r="C6" s="45" cm="1">
        <f t="array" ref="C6">MIN(5,A6/'Tuning'!$B$32)</f>
        <v>0.25</v>
      </c>
      <c r="D6" s="45" cm="1">
        <f t="array" ref="D6">ROUND('Towers'!$C$11*POWER('Tuning'!$B$12/'Tuning'!$B$13,C6),1)</f>
        <v>69.90000000000001</v>
      </c>
      <c r="E6" s="56" cm="1">
        <f t="array" ref="E6">ROUND(B6*D6/'Tuning'!$B$31,0)</f>
        <v>117</v>
      </c>
      <c r="F6" s="75" cm="1">
        <f t="array" ref="F6">'Rounds'!S6</f>
        <v>609</v>
      </c>
      <c r="G6" s="56" cm="1">
        <f t="array" ref="G6">ROUND(F6*'Tuning'!$B$30,0)</f>
        <v>457</v>
      </c>
      <c r="H6" s="83" cm="1">
        <f t="array" ref="H6">IF(E6=0,0,G6/E6)</f>
        <v>3.90598290598291</v>
      </c>
      <c r="I6" t="str" s="84" cm="1">
        <f t="array" ref="I6">IF(H6&lt;1,"TIGHT",IF(H6&lt;2,"OK","EASY"))</f>
        <v>EASY</v>
      </c>
    </row>
    <row r="7" ht="13.65" customHeight="1">
      <c r="A7" s="56">
        <v>3</v>
      </c>
      <c r="B7" s="82" cm="1">
        <f t="array" ref="B7">'Rounds'!O7</f>
        <v>1.1</v>
      </c>
      <c r="C7" s="45" cm="1">
        <f t="array" ref="C7">MIN(5,A7/'Tuning'!$B$32)</f>
        <v>0.375</v>
      </c>
      <c r="D7" s="45" cm="1">
        <f t="array" ref="D7">ROUND('Towers'!$C$11*POWER('Tuning'!$B$12/'Tuning'!$B$13,C7),1)</f>
        <v>71.59999999999999</v>
      </c>
      <c r="E7" s="56" cm="1">
        <f t="array" ref="E7">ROUND(B7*D7/'Tuning'!$B$31,0)</f>
        <v>131</v>
      </c>
      <c r="F7" s="75" cm="1">
        <f t="array" ref="F7">'Rounds'!S7</f>
        <v>696</v>
      </c>
      <c r="G7" s="56" cm="1">
        <f t="array" ref="G7">ROUND(F7*'Tuning'!$B$30,0)</f>
        <v>522</v>
      </c>
      <c r="H7" s="83" cm="1">
        <f t="array" ref="H7">IF(E7=0,0,G7/E7)</f>
        <v>3.98473282442748</v>
      </c>
      <c r="I7" t="str" s="84" cm="1">
        <f t="array" ref="I7">IF(H7&lt;1,"TIGHT",IF(H7&lt;2,"OK","EASY"))</f>
        <v>EASY</v>
      </c>
    </row>
    <row r="8" ht="13.65" customHeight="1">
      <c r="A8" s="56">
        <v>4</v>
      </c>
      <c r="B8" s="82" cm="1">
        <f t="array" ref="B8">'Rounds'!O8</f>
        <v>1.2</v>
      </c>
      <c r="C8" s="45" cm="1">
        <f t="array" ref="C8">MIN(5,A8/'Tuning'!$B$32)</f>
        <v>0.5</v>
      </c>
      <c r="D8" s="45" cm="1">
        <f t="array" ref="D8">ROUND('Towers'!$C$11*POWER('Tuning'!$B$12/'Tuning'!$B$13,C8),1)</f>
        <v>73.3</v>
      </c>
      <c r="E8" s="56" cm="1">
        <f t="array" ref="E8">ROUND(B8*D8/'Tuning'!$B$31,0)</f>
        <v>147</v>
      </c>
      <c r="F8" s="75" cm="1">
        <f t="array" ref="F8">'Rounds'!S8</f>
        <v>788</v>
      </c>
      <c r="G8" s="56" cm="1">
        <f t="array" ref="G8">ROUND(F8*'Tuning'!$B$30,0)</f>
        <v>591</v>
      </c>
      <c r="H8" s="83" cm="1">
        <f t="array" ref="H8">IF(E8=0,0,G8/E8)</f>
        <v>4.02040816326531</v>
      </c>
      <c r="I8" t="str" s="84" cm="1">
        <f t="array" ref="I8">IF(H8&lt;1,"TIGHT",IF(H8&lt;2,"OK","EASY"))</f>
        <v>EASY</v>
      </c>
    </row>
    <row r="9" ht="13.65" customHeight="1">
      <c r="A9" s="56">
        <v>5</v>
      </c>
      <c r="B9" s="82" cm="1">
        <f t="array" ref="B9">'Rounds'!O9</f>
        <v>1.3</v>
      </c>
      <c r="C9" s="45" cm="1">
        <f t="array" ref="C9">MIN(5,A9/'Tuning'!$B$32)</f>
        <v>0.625</v>
      </c>
      <c r="D9" s="45" cm="1">
        <f t="array" ref="D9">ROUND('Towers'!$C$11*POWER('Tuning'!$B$12/'Tuning'!$B$13,C9),1)</f>
        <v>75.09999999999999</v>
      </c>
      <c r="E9" s="56" cm="1">
        <f t="array" ref="E9">ROUND(B9*D9/'Tuning'!$B$31,0)</f>
        <v>163</v>
      </c>
      <c r="F9" s="75" cm="1">
        <f t="array" ref="F9">'Rounds'!S9</f>
        <v>886</v>
      </c>
      <c r="G9" s="56" cm="1">
        <f t="array" ref="G9">ROUND(F9*'Tuning'!$B$30,0)</f>
        <v>665</v>
      </c>
      <c r="H9" s="83" cm="1">
        <f t="array" ref="H9">IF(E9=0,0,G9/E9)</f>
        <v>4.07975460122699</v>
      </c>
      <c r="I9" t="str" s="84" cm="1">
        <f t="array" ref="I9">IF(H9&lt;1,"TIGHT",IF(H9&lt;2,"OK","EASY"))</f>
        <v>EASY</v>
      </c>
    </row>
    <row r="10" ht="13.65" customHeight="1">
      <c r="A10" s="56">
        <v>6</v>
      </c>
      <c r="B10" s="82" cm="1">
        <f t="array" ref="B10">'Rounds'!O10</f>
        <v>1.4</v>
      </c>
      <c r="C10" s="45" cm="1">
        <f t="array" ref="C10">MIN(5,A10/'Tuning'!$B$32)</f>
        <v>0.75</v>
      </c>
      <c r="D10" s="45" cm="1">
        <f t="array" ref="D10">ROUND('Towers'!$C$11*POWER('Tuning'!$B$12/'Tuning'!$B$13,C10),1)</f>
        <v>76.90000000000001</v>
      </c>
      <c r="E10" s="56" cm="1">
        <f t="array" ref="E10">ROUND(B10*D10/'Tuning'!$B$31,0)</f>
        <v>179</v>
      </c>
      <c r="F10" s="75" cm="1">
        <f t="array" ref="F10">'Rounds'!S10</f>
        <v>990</v>
      </c>
      <c r="G10" s="56" cm="1">
        <f t="array" ref="G10">ROUND(F10*'Tuning'!$B$30,0)</f>
        <v>743</v>
      </c>
      <c r="H10" s="83" cm="1">
        <f t="array" ref="H10">IF(E10=0,0,G10/E10)</f>
        <v>4.15083798882682</v>
      </c>
      <c r="I10" t="str" s="84" cm="1">
        <f t="array" ref="I10">IF(H10&lt;1,"TIGHT",IF(H10&lt;2,"OK","EASY"))</f>
        <v>EASY</v>
      </c>
    </row>
    <row r="11" ht="13.65" customHeight="1">
      <c r="A11" s="56">
        <v>7</v>
      </c>
      <c r="B11" s="82" cm="1">
        <f t="array" ref="B11">'Rounds'!O11</f>
        <v>1.5</v>
      </c>
      <c r="C11" s="45" cm="1">
        <f t="array" ref="C11">MIN(5,A11/'Tuning'!$B$32)</f>
        <v>0.875</v>
      </c>
      <c r="D11" s="45" cm="1">
        <f t="array" ref="D11">ROUND('Towers'!$C$11*POWER('Tuning'!$B$12/'Tuning'!$B$13,C11),1)</f>
        <v>78.8</v>
      </c>
      <c r="E11" s="56" cm="1">
        <f t="array" ref="E11">ROUND(B11*D11/'Tuning'!$B$31,0)</f>
        <v>197</v>
      </c>
      <c r="F11" s="75" cm="1">
        <f t="array" ref="F11">'Rounds'!S11</f>
        <v>1100</v>
      </c>
      <c r="G11" s="56" cm="1">
        <f t="array" ref="G11">ROUND(F11*'Tuning'!$B$30,0)</f>
        <v>825</v>
      </c>
      <c r="H11" s="83" cm="1">
        <f t="array" ref="H11">IF(E11=0,0,G11/E11)</f>
        <v>4.18781725888325</v>
      </c>
      <c r="I11" t="str" s="84" cm="1">
        <f t="array" ref="I11">IF(H11&lt;1,"TIGHT",IF(H11&lt;2,"OK","EASY"))</f>
        <v>EASY</v>
      </c>
    </row>
    <row r="12" ht="13.65" customHeight="1">
      <c r="A12" s="56">
        <v>8</v>
      </c>
      <c r="B12" s="82" cm="1">
        <f t="array" ref="B12">'Rounds'!O12</f>
        <v>1.6</v>
      </c>
      <c r="C12" s="45" cm="1">
        <f t="array" ref="C12">MIN(5,A12/'Tuning'!$B$32)</f>
        <v>1</v>
      </c>
      <c r="D12" s="45" cm="1">
        <f t="array" ref="D12">ROUND('Towers'!$C$11*POWER('Tuning'!$B$12/'Tuning'!$B$13,C12),1)</f>
        <v>80.7</v>
      </c>
      <c r="E12" s="56" cm="1">
        <f t="array" ref="E12">ROUND(B12*D12/'Tuning'!$B$31,0)</f>
        <v>215</v>
      </c>
      <c r="F12" s="75" cm="1">
        <f t="array" ref="F12">'Rounds'!S12</f>
        <v>1218</v>
      </c>
      <c r="G12" s="56" cm="1">
        <f t="array" ref="G12">ROUND(F12*'Tuning'!$B$30,0)</f>
        <v>914</v>
      </c>
      <c r="H12" s="83" cm="1">
        <f t="array" ref="H12">IF(E12=0,0,G12/E12)</f>
        <v>4.25116279069767</v>
      </c>
      <c r="I12" t="str" s="84" cm="1">
        <f t="array" ref="I12">IF(H12&lt;1,"TIGHT",IF(H12&lt;2,"OK","EASY"))</f>
        <v>EASY</v>
      </c>
    </row>
    <row r="13" ht="13.65" customHeight="1">
      <c r="A13" s="56">
        <v>9</v>
      </c>
      <c r="B13" s="82" cm="1">
        <f t="array" ref="B13">'Rounds'!O13</f>
        <v>1.8</v>
      </c>
      <c r="C13" s="45" cm="1">
        <f t="array" ref="C13">MIN(5,A13/'Tuning'!$B$32)</f>
        <v>1.125</v>
      </c>
      <c r="D13" s="45" cm="1">
        <f t="array" ref="D13">ROUND('Towers'!$C$11*POWER('Tuning'!$B$12/'Tuning'!$B$13,C13),1)</f>
        <v>82.7</v>
      </c>
      <c r="E13" s="56" cm="1">
        <f t="array" ref="E13">ROUND(B13*D13/'Tuning'!$B$31,0)</f>
        <v>248</v>
      </c>
      <c r="F13" s="75" cm="1">
        <f t="array" ref="F13">'Rounds'!S13</f>
        <v>1344</v>
      </c>
      <c r="G13" s="56" cm="1">
        <f t="array" ref="G13">ROUND(F13*'Tuning'!$B$30,0)</f>
        <v>1008</v>
      </c>
      <c r="H13" s="83" cm="1">
        <f t="array" ref="H13">IF(E13=0,0,G13/E13)</f>
        <v>4.06451612903226</v>
      </c>
      <c r="I13" t="str" s="84" cm="1">
        <f t="array" ref="I13">IF(H13&lt;1,"TIGHT",IF(H13&lt;2,"OK","EASY"))</f>
        <v>EASY</v>
      </c>
    </row>
    <row r="14" ht="13.65" customHeight="1">
      <c r="A14" s="56">
        <v>10</v>
      </c>
      <c r="B14" s="82" cm="1">
        <f t="array" ref="B14">'Rounds'!O14</f>
        <v>1.9</v>
      </c>
      <c r="C14" s="45" cm="1">
        <f t="array" ref="C14">MIN(5,A14/'Tuning'!$B$32)</f>
        <v>1.25</v>
      </c>
      <c r="D14" s="45" cm="1">
        <f t="array" ref="D14">ROUND('Towers'!$C$11*POWER('Tuning'!$B$12/'Tuning'!$B$13,C14),1)</f>
        <v>84.59999999999999</v>
      </c>
      <c r="E14" s="56" cm="1">
        <f t="array" ref="E14">ROUND(B14*D14/'Tuning'!$B$31,0)</f>
        <v>268</v>
      </c>
      <c r="F14" s="75" cm="1">
        <f t="array" ref="F14">'Rounds'!S14</f>
        <v>1478</v>
      </c>
      <c r="G14" s="56" cm="1">
        <f t="array" ref="G14">ROUND(F14*'Tuning'!$B$30,0)</f>
        <v>1109</v>
      </c>
      <c r="H14" s="83" cm="1">
        <f t="array" ref="H14">IF(E14=0,0,G14/E14)</f>
        <v>4.13805970149254</v>
      </c>
      <c r="I14" t="str" s="84" cm="1">
        <f t="array" ref="I14">IF(H14&lt;1,"TIGHT",IF(H14&lt;2,"OK","EASY"))</f>
        <v>EASY</v>
      </c>
    </row>
    <row r="15" ht="13.65" customHeight="1">
      <c r="A15" s="66">
        <v>11</v>
      </c>
      <c r="B15" s="85" cm="1">
        <f t="array" ref="B15">'Rounds'!O15</f>
        <v>9.199999999999999</v>
      </c>
      <c r="C15" s="67" cm="1">
        <f t="array" ref="C15">MIN(5,A15/'Tuning'!$B$32)</f>
        <v>1.375</v>
      </c>
      <c r="D15" s="67" cm="1">
        <f t="array" ref="D15">ROUND('Towers'!$C$11*POWER('Tuning'!$B$12/'Tuning'!$B$13,C15),1)</f>
        <v>86.7</v>
      </c>
      <c r="E15" s="66" cm="1">
        <f t="array" ref="E15">ROUND(B15*D15/'Tuning'!$B$31,0)</f>
        <v>1329</v>
      </c>
      <c r="F15" s="79" cm="1">
        <f t="array" ref="F15">'Rounds'!S15</f>
        <v>1868</v>
      </c>
      <c r="G15" s="66" cm="1">
        <f t="array" ref="G15">ROUND(F15*'Tuning'!$B$30,0)</f>
        <v>1401</v>
      </c>
      <c r="H15" s="86" cm="1">
        <f t="array" ref="H15">IF(E15=0,0,G15/E15)</f>
        <v>1.05417607223476</v>
      </c>
      <c r="I15" t="str" s="87" cm="1">
        <f t="array" ref="I15">IF(H15&lt;1,"TIGHT",IF(H15&lt;2,"OK","EASY"))</f>
        <v>OK</v>
      </c>
    </row>
    <row r="16" ht="13.65" customHeight="1">
      <c r="A16" s="56">
        <v>12</v>
      </c>
      <c r="B16" s="82" cm="1">
        <f t="array" ref="B16">'Rounds'!O16</f>
        <v>9.699999999999999</v>
      </c>
      <c r="C16" s="45" cm="1">
        <f t="array" ref="C16">MIN(5,A16/'Tuning'!$B$32)</f>
        <v>1.5</v>
      </c>
      <c r="D16" s="45" cm="1">
        <f t="array" ref="D16">ROUND('Towers'!$C$11*POWER('Tuning'!$B$12/'Tuning'!$B$13,C16),1)</f>
        <v>88.8</v>
      </c>
      <c r="E16" s="56" cm="1">
        <f t="array" ref="E16">ROUND(B16*D16/'Tuning'!$B$31,0)</f>
        <v>1436</v>
      </c>
      <c r="F16" s="75" cm="1">
        <f t="array" ref="F16">'Rounds'!S16</f>
        <v>2285</v>
      </c>
      <c r="G16" s="56" cm="1">
        <f t="array" ref="G16">ROUND(F16*'Tuning'!$B$30,0)</f>
        <v>1714</v>
      </c>
      <c r="H16" s="83" cm="1">
        <f t="array" ref="H16">IF(E16=0,0,G16/E16)</f>
        <v>1.19359331476323</v>
      </c>
      <c r="I16" t="str" s="84" cm="1">
        <f t="array" ref="I16">IF(H16&lt;1,"TIGHT",IF(H16&lt;2,"OK","EASY"))</f>
        <v>OK</v>
      </c>
    </row>
    <row r="17" ht="13.65" customHeight="1">
      <c r="A17" s="56">
        <v>13</v>
      </c>
      <c r="B17" s="82" cm="1">
        <f t="array" ref="B17">'Rounds'!O17</f>
        <v>10.7</v>
      </c>
      <c r="C17" s="45" cm="1">
        <f t="array" ref="C17">MIN(5,A17/'Tuning'!$B$32)</f>
        <v>1.625</v>
      </c>
      <c r="D17" s="45" cm="1">
        <f t="array" ref="D17">ROUND('Towers'!$C$11*POWER('Tuning'!$B$12/'Tuning'!$B$13,C17),1)</f>
        <v>90.90000000000001</v>
      </c>
      <c r="E17" s="56" cm="1">
        <f t="array" ref="E17">ROUND(B17*D17/'Tuning'!$B$31,0)</f>
        <v>1621</v>
      </c>
      <c r="F17" s="75" cm="1">
        <f t="array" ref="F17">'Rounds'!S17</f>
        <v>2762</v>
      </c>
      <c r="G17" s="56" cm="1">
        <f t="array" ref="G17">ROUND(F17*'Tuning'!$B$30,0)</f>
        <v>2072</v>
      </c>
      <c r="H17" s="83" cm="1">
        <f t="array" ref="H17">IF(E17=0,0,G17/E17)</f>
        <v>1.27822331893893</v>
      </c>
      <c r="I17" t="str" s="84" cm="1">
        <f t="array" ref="I17">IF(H17&lt;1,"TIGHT",IF(H17&lt;2,"OK","EASY"))</f>
        <v>OK</v>
      </c>
    </row>
    <row r="18" ht="13.65" customHeight="1">
      <c r="A18" s="56">
        <v>14</v>
      </c>
      <c r="B18" s="82" cm="1">
        <f t="array" ref="B18">'Rounds'!O18</f>
        <v>11.2</v>
      </c>
      <c r="C18" s="45" cm="1">
        <f t="array" ref="C18">MIN(5,A18/'Tuning'!$B$32)</f>
        <v>1.75</v>
      </c>
      <c r="D18" s="45" cm="1">
        <f t="array" ref="D18">ROUND('Towers'!$C$11*POWER('Tuning'!$B$12/'Tuning'!$B$13,C18),1)</f>
        <v>93.09999999999999</v>
      </c>
      <c r="E18" s="56" cm="1">
        <f t="array" ref="E18">ROUND(B18*D18/'Tuning'!$B$31,0)</f>
        <v>1738</v>
      </c>
      <c r="F18" s="75" cm="1">
        <f t="array" ref="F18">'Rounds'!S18</f>
        <v>3271</v>
      </c>
      <c r="G18" s="56" cm="1">
        <f t="array" ref="G18">ROUND(F18*'Tuning'!$B$30,0)</f>
        <v>2453</v>
      </c>
      <c r="H18" s="83" cm="1">
        <f t="array" ref="H18">IF(E18=0,0,G18/E18)</f>
        <v>1.41139240506329</v>
      </c>
      <c r="I18" t="str" s="84" cm="1">
        <f t="array" ref="I18">IF(H18&lt;1,"TIGHT",IF(H18&lt;2,"OK","EASY"))</f>
        <v>OK</v>
      </c>
    </row>
    <row r="19" ht="13.65" customHeight="1">
      <c r="A19" s="56">
        <v>15</v>
      </c>
      <c r="B19" s="82" cm="1">
        <f t="array" ref="B19">'Rounds'!O19</f>
        <v>12.1</v>
      </c>
      <c r="C19" s="45" cm="1">
        <f t="array" ref="C19">MIN(5,A19/'Tuning'!$B$32)</f>
        <v>1.875</v>
      </c>
      <c r="D19" s="45" cm="1">
        <f t="array" ref="D19">ROUND('Towers'!$C$11*POWER('Tuning'!$B$12/'Tuning'!$B$13,C19),1)</f>
        <v>95.40000000000001</v>
      </c>
      <c r="E19" s="56" cm="1">
        <f t="array" ref="E19">ROUND(B19*D19/'Tuning'!$B$31,0)</f>
        <v>1924</v>
      </c>
      <c r="F19" s="75" cm="1">
        <f t="array" ref="F19">'Rounds'!S19</f>
        <v>3830</v>
      </c>
      <c r="G19" s="56" cm="1">
        <f t="array" ref="G19">ROUND(F19*'Tuning'!$B$30,0)</f>
        <v>2873</v>
      </c>
      <c r="H19" s="83" cm="1">
        <f t="array" ref="H19">IF(E19=0,0,G19/E19)</f>
        <v>1.49324324324324</v>
      </c>
      <c r="I19" t="str" s="84" cm="1">
        <f t="array" ref="I19">IF(H19&lt;1,"TIGHT",IF(H19&lt;2,"OK","EASY"))</f>
        <v>OK</v>
      </c>
    </row>
    <row r="20" ht="13.65" customHeight="1">
      <c r="A20" s="56">
        <v>16</v>
      </c>
      <c r="B20" s="82" cm="1">
        <f t="array" ref="B20">'Rounds'!O20</f>
        <v>13.1</v>
      </c>
      <c r="C20" s="45" cm="1">
        <f t="array" ref="C20">MIN(5,A20/'Tuning'!$B$32)</f>
        <v>2</v>
      </c>
      <c r="D20" s="45" cm="1">
        <f t="array" ref="D20">ROUND('Towers'!$C$11*POWER('Tuning'!$B$12/'Tuning'!$B$13,C20),1)</f>
        <v>97.7</v>
      </c>
      <c r="E20" s="56" cm="1">
        <f t="array" ref="E20">ROUND(B20*D20/'Tuning'!$B$31,0)</f>
        <v>2133</v>
      </c>
      <c r="F20" s="75" cm="1">
        <f t="array" ref="F20">'Rounds'!S20</f>
        <v>4445</v>
      </c>
      <c r="G20" s="56" cm="1">
        <f t="array" ref="G20">ROUND(F20*'Tuning'!$B$30,0)</f>
        <v>3334</v>
      </c>
      <c r="H20" s="83" cm="1">
        <f t="array" ref="H20">IF(E20=0,0,G20/E20)</f>
        <v>1.56305672761369</v>
      </c>
      <c r="I20" t="str" s="84" cm="1">
        <f t="array" ref="I20">IF(H20&lt;1,"TIGHT",IF(H20&lt;2,"OK","EASY"))</f>
        <v>OK</v>
      </c>
    </row>
    <row r="21" ht="13.65" customHeight="1">
      <c r="A21" s="56">
        <v>17</v>
      </c>
      <c r="B21" s="82" cm="1">
        <f t="array" ref="B21">'Rounds'!O21</f>
        <v>14.2</v>
      </c>
      <c r="C21" s="45" cm="1">
        <f t="array" ref="C21">MIN(5,A21/'Tuning'!$B$32)</f>
        <v>2.125</v>
      </c>
      <c r="D21" s="45" cm="1">
        <f t="array" ref="D21">ROUND('Towers'!$C$11*POWER('Tuning'!$B$12/'Tuning'!$B$13,C21),1)</f>
        <v>100.1</v>
      </c>
      <c r="E21" s="56" cm="1">
        <f t="array" ref="E21">ROUND(B21*D21/'Tuning'!$B$31,0)</f>
        <v>2369</v>
      </c>
      <c r="F21" s="75" cm="1">
        <f t="array" ref="F21">'Rounds'!S21</f>
        <v>5119</v>
      </c>
      <c r="G21" s="56" cm="1">
        <f t="array" ref="G21">ROUND(F21*'Tuning'!$B$30,0)</f>
        <v>3839</v>
      </c>
      <c r="H21" s="83" cm="1">
        <f t="array" ref="H21">IF(E21=0,0,G21/E21)</f>
        <v>1.62051498522583</v>
      </c>
      <c r="I21" t="str" s="84" cm="1">
        <f t="array" ref="I21">IF(H21&lt;1,"TIGHT",IF(H21&lt;2,"OK","EASY"))</f>
        <v>OK</v>
      </c>
    </row>
    <row r="22" ht="13.65" customHeight="1">
      <c r="A22" s="56">
        <v>18</v>
      </c>
      <c r="B22" s="82" cm="1">
        <f t="array" ref="B22">'Rounds'!O22</f>
        <v>14.8</v>
      </c>
      <c r="C22" s="45" cm="1">
        <f t="array" ref="C22">MIN(5,A22/'Tuning'!$B$32)</f>
        <v>2.25</v>
      </c>
      <c r="D22" s="45" cm="1">
        <f t="array" ref="D22">ROUND('Towers'!$C$11*POWER('Tuning'!$B$12/'Tuning'!$B$13,C22),1)</f>
        <v>102.5</v>
      </c>
      <c r="E22" s="56" cm="1">
        <f t="array" ref="E22">ROUND(B22*D22/'Tuning'!$B$31,0)</f>
        <v>2528</v>
      </c>
      <c r="F22" s="75" cm="1">
        <f t="array" ref="F22">'Rounds'!S22</f>
        <v>5838</v>
      </c>
      <c r="G22" s="56" cm="1">
        <f t="array" ref="G22">ROUND(F22*'Tuning'!$B$30,0)</f>
        <v>4379</v>
      </c>
      <c r="H22" s="83" cm="1">
        <f t="array" ref="H22">IF(E22=0,0,G22/E22)</f>
        <v>1.73219936708861</v>
      </c>
      <c r="I22" t="str" s="84" cm="1">
        <f t="array" ref="I22">IF(H22&lt;1,"TIGHT",IF(H22&lt;2,"OK","EASY"))</f>
        <v>OK</v>
      </c>
    </row>
    <row r="23" ht="13.65" customHeight="1">
      <c r="A23" s="56">
        <v>19</v>
      </c>
      <c r="B23" s="82" cm="1">
        <f t="array" ref="B23">'Rounds'!O23</f>
        <v>16.3</v>
      </c>
      <c r="C23" s="45" cm="1">
        <f t="array" ref="C23">MIN(5,A23/'Tuning'!$B$32)</f>
        <v>2.375</v>
      </c>
      <c r="D23" s="45" cm="1">
        <f t="array" ref="D23">ROUND('Towers'!$C$11*POWER('Tuning'!$B$12/'Tuning'!$B$13,C23),1)</f>
        <v>104.9</v>
      </c>
      <c r="E23" s="56" cm="1">
        <f t="array" ref="E23">ROUND(B23*D23/'Tuning'!$B$31,0)</f>
        <v>2850</v>
      </c>
      <c r="F23" s="75" cm="1">
        <f t="array" ref="F23">'Rounds'!S23</f>
        <v>6646</v>
      </c>
      <c r="G23" s="56" cm="1">
        <f t="array" ref="G23">ROUND(F23*'Tuning'!$B$30,0)</f>
        <v>4985</v>
      </c>
      <c r="H23" s="83" cm="1">
        <f t="array" ref="H23">IF(E23=0,0,G23/E23)</f>
        <v>1.74912280701754</v>
      </c>
      <c r="I23" t="str" s="84" cm="1">
        <f t="array" ref="I23">IF(H23&lt;1,"TIGHT",IF(H23&lt;2,"OK","EASY"))</f>
        <v>OK</v>
      </c>
    </row>
    <row r="24" ht="13.65" customHeight="1">
      <c r="A24" s="56">
        <v>20</v>
      </c>
      <c r="B24" s="82" cm="1">
        <f t="array" ref="B24">'Rounds'!O24</f>
        <v>17.1</v>
      </c>
      <c r="C24" s="45" cm="1">
        <f t="array" ref="C24">MIN(5,A24/'Tuning'!$B$32)</f>
        <v>2.5</v>
      </c>
      <c r="D24" s="45" cm="1">
        <f t="array" ref="D24">ROUND('Towers'!$C$11*POWER('Tuning'!$B$12/'Tuning'!$B$13,C24),1)</f>
        <v>107.5</v>
      </c>
      <c r="E24" s="56" cm="1">
        <f t="array" ref="E24">ROUND(B24*D24/'Tuning'!$B$31,0)</f>
        <v>3064</v>
      </c>
      <c r="F24" s="75" cm="1">
        <f t="array" ref="F24">'Rounds'!S24</f>
        <v>7507</v>
      </c>
      <c r="G24" s="56" cm="1">
        <f t="array" ref="G24">ROUND(F24*'Tuning'!$B$30,0)</f>
        <v>5630</v>
      </c>
      <c r="H24" s="83" cm="1">
        <f t="array" ref="H24">IF(E24=0,0,G24/E24)</f>
        <v>1.83746736292428</v>
      </c>
      <c r="I24" t="str" s="84" cm="1">
        <f t="array" ref="I24">IF(H24&lt;1,"TIGHT",IF(H24&lt;2,"OK","EASY"))</f>
        <v>OK</v>
      </c>
    </row>
    <row r="25" ht="13.65" customHeight="1">
      <c r="A25" s="66">
        <v>21</v>
      </c>
      <c r="B25" s="85" cm="1">
        <f t="array" ref="B25">'Rounds'!O25</f>
        <v>39.7</v>
      </c>
      <c r="C25" s="67" cm="1">
        <f t="array" ref="C25">MIN(5,A25/'Tuning'!$B$32)</f>
        <v>2.625</v>
      </c>
      <c r="D25" s="67" cm="1">
        <f t="array" ref="D25">ROUND('Towers'!$C$11*POWER('Tuning'!$B$12/'Tuning'!$B$13,C25),1)</f>
        <v>110.1</v>
      </c>
      <c r="E25" s="66" cm="1">
        <f t="array" ref="E25">ROUND(B25*D25/'Tuning'!$B$31,0)</f>
        <v>7285</v>
      </c>
      <c r="F25" s="79" cm="1">
        <f t="array" ref="F25">'Rounds'!S25</f>
        <v>9450</v>
      </c>
      <c r="G25" s="66" cm="1">
        <f t="array" ref="G25">ROUND(F25*'Tuning'!$B$30,0)</f>
        <v>7088</v>
      </c>
      <c r="H25" s="86" cm="1">
        <f t="array" ref="H25">IF(E25=0,0,G25/E25)</f>
        <v>0.972958133150309</v>
      </c>
      <c r="I25" t="str" s="87" cm="1">
        <f t="array" ref="I25">IF(H25&lt;1,"TIGHT",IF(H25&lt;2,"OK","EASY"))</f>
        <v>TIGHT</v>
      </c>
    </row>
    <row r="26" ht="13.65" customHeight="1">
      <c r="A26" s="56">
        <v>22</v>
      </c>
      <c r="B26" s="82" cm="1">
        <f t="array" ref="B26">'Rounds'!O26</f>
        <v>43.9</v>
      </c>
      <c r="C26" s="45" cm="1">
        <f t="array" ref="C26">MIN(5,A26/'Tuning'!$B$32)</f>
        <v>2.75</v>
      </c>
      <c r="D26" s="45" cm="1">
        <f t="array" ref="D26">ROUND('Towers'!$C$11*POWER('Tuning'!$B$12/'Tuning'!$B$13,C26),1)</f>
        <v>112.7</v>
      </c>
      <c r="E26" s="56" cm="1">
        <f t="array" ref="E26">ROUND(B26*D26/'Tuning'!$B$31,0)</f>
        <v>8246</v>
      </c>
      <c r="F26" s="75" cm="1">
        <f t="array" ref="F26">'Rounds'!S26</f>
        <v>11630</v>
      </c>
      <c r="G26" s="56" cm="1">
        <f t="array" ref="G26">ROUND(F26*'Tuning'!$B$30,0)</f>
        <v>8723</v>
      </c>
      <c r="H26" s="83" cm="1">
        <f t="array" ref="H26">IF(E26=0,0,G26/E26)</f>
        <v>1.05784622847441</v>
      </c>
      <c r="I26" t="str" s="84" cm="1">
        <f t="array" ref="I26">IF(H26&lt;1,"TIGHT",IF(H26&lt;2,"OK","EASY"))</f>
        <v>OK</v>
      </c>
    </row>
    <row r="27" ht="13.65" customHeight="1">
      <c r="A27" s="56">
        <v>23</v>
      </c>
      <c r="B27" s="82" cm="1">
        <f t="array" ref="B27">'Rounds'!O27</f>
        <v>46.1</v>
      </c>
      <c r="C27" s="45" cm="1">
        <f t="array" ref="C27">MIN(5,A27/'Tuning'!$B$32)</f>
        <v>2.875</v>
      </c>
      <c r="D27" s="45" cm="1">
        <f t="array" ref="D27">ROUND('Towers'!$C$11*POWER('Tuning'!$B$12/'Tuning'!$B$13,C27),1)</f>
        <v>115.5</v>
      </c>
      <c r="E27" s="56" cm="1">
        <f t="array" ref="E27">ROUND(B27*D27/'Tuning'!$B$31,0)</f>
        <v>8874</v>
      </c>
      <c r="F27" s="75" cm="1">
        <f t="array" ref="F27">'Rounds'!S27</f>
        <v>13931</v>
      </c>
      <c r="G27" s="56" cm="1">
        <f t="array" ref="G27">ROUND(F27*'Tuning'!$B$30,0)</f>
        <v>10448</v>
      </c>
      <c r="H27" s="83" cm="1">
        <f t="array" ref="H27">IF(E27=0,0,G27/E27)</f>
        <v>1.17737209826459</v>
      </c>
      <c r="I27" t="str" s="84" cm="1">
        <f t="array" ref="I27">IF(H27&lt;1,"TIGHT",IF(H27&lt;2,"OK","EASY"))</f>
        <v>OK</v>
      </c>
    </row>
    <row r="28" ht="13.65" customHeight="1">
      <c r="A28" s="56">
        <v>24</v>
      </c>
      <c r="B28" s="82" cm="1">
        <f t="array" ref="B28">'Rounds'!O28</f>
        <v>50.2</v>
      </c>
      <c r="C28" s="45" cm="1">
        <f t="array" ref="C28">MIN(5,A28/'Tuning'!$B$32)</f>
        <v>3</v>
      </c>
      <c r="D28" s="45" cm="1">
        <f t="array" ref="D28">ROUND('Towers'!$C$11*POWER('Tuning'!$B$12/'Tuning'!$B$13,C28),1)</f>
        <v>118.3</v>
      </c>
      <c r="E28" s="56" cm="1">
        <f t="array" ref="E28">ROUND(B28*D28/'Tuning'!$B$31,0)</f>
        <v>9898</v>
      </c>
      <c r="F28" s="75" cm="1">
        <f t="array" ref="F28">'Rounds'!S28</f>
        <v>16475</v>
      </c>
      <c r="G28" s="56" cm="1">
        <f t="array" ref="G28">ROUND(F28*'Tuning'!$B$30,0)</f>
        <v>12356</v>
      </c>
      <c r="H28" s="83" cm="1">
        <f t="array" ref="H28">IF(E28=0,0,G28/E28)</f>
        <v>1.24833299656496</v>
      </c>
      <c r="I28" t="str" s="84" cm="1">
        <f t="array" ref="I28">IF(H28&lt;1,"TIGHT",IF(H28&lt;2,"OK","EASY"))</f>
        <v>OK</v>
      </c>
    </row>
    <row r="29" ht="13.65" customHeight="1">
      <c r="A29" s="56">
        <v>25</v>
      </c>
      <c r="B29" s="82" cm="1">
        <f t="array" ref="B29">'Rounds'!O29</f>
        <v>53.3</v>
      </c>
      <c r="C29" s="45" cm="1">
        <f t="array" ref="C29">MIN(5,A29/'Tuning'!$B$32)</f>
        <v>3.125</v>
      </c>
      <c r="D29" s="45" cm="1">
        <f t="array" ref="D29">ROUND('Towers'!$C$11*POWER('Tuning'!$B$12/'Tuning'!$B$13,C29),1)</f>
        <v>121.1</v>
      </c>
      <c r="E29" s="56" cm="1">
        <f t="array" ref="E29">ROUND(B29*D29/'Tuning'!$B$31,0)</f>
        <v>10758</v>
      </c>
      <c r="F29" s="75" cm="1">
        <f t="array" ref="F29">'Rounds'!S29</f>
        <v>19221</v>
      </c>
      <c r="G29" s="56" cm="1">
        <f t="array" ref="G29">ROUND(F29*'Tuning'!$B$30,0)</f>
        <v>14416</v>
      </c>
      <c r="H29" s="83" cm="1">
        <f t="array" ref="H29">IF(E29=0,0,G29/E29)</f>
        <v>1.34002602714259</v>
      </c>
      <c r="I29" t="str" s="84" cm="1">
        <f t="array" ref="I29">IF(H29&lt;1,"TIGHT",IF(H29&lt;2,"OK","EASY"))</f>
        <v>OK</v>
      </c>
    </row>
    <row r="30" ht="13.65" customHeight="1">
      <c r="A30" s="56">
        <v>26</v>
      </c>
      <c r="B30" s="82" cm="1">
        <f t="array" ref="B30">'Rounds'!O30</f>
        <v>57.4</v>
      </c>
      <c r="C30" s="45" cm="1">
        <f t="array" ref="C30">MIN(5,A30/'Tuning'!$B$32)</f>
        <v>3.25</v>
      </c>
      <c r="D30" s="45" cm="1">
        <f t="array" ref="D30">ROUND('Towers'!$C$11*POWER('Tuning'!$B$12/'Tuning'!$B$13,C30),1)</f>
        <v>124</v>
      </c>
      <c r="E30" s="56" cm="1">
        <f t="array" ref="E30">ROUND(B30*D30/'Tuning'!$B$31,0)</f>
        <v>11863</v>
      </c>
      <c r="F30" s="75" cm="1">
        <f t="array" ref="F30">'Rounds'!S30</f>
        <v>22246</v>
      </c>
      <c r="G30" s="56" cm="1">
        <f t="array" ref="G30">ROUND(F30*'Tuning'!$B$30,0)</f>
        <v>16685</v>
      </c>
      <c r="H30" s="83" cm="1">
        <f t="array" ref="H30">IF(E30=0,0,G30/E30)</f>
        <v>1.40647391047796</v>
      </c>
      <c r="I30" t="str" s="84" cm="1">
        <f t="array" ref="I30">IF(H30&lt;1,"TIGHT",IF(H30&lt;2,"OK","EASY"))</f>
        <v>OK</v>
      </c>
    </row>
    <row r="31" ht="13.65" customHeight="1">
      <c r="A31" s="56">
        <v>27</v>
      </c>
      <c r="B31" s="82" cm="1">
        <f t="array" ref="B31">'Rounds'!O31</f>
        <v>61.4</v>
      </c>
      <c r="C31" s="45" cm="1">
        <f t="array" ref="C31">MIN(5,A31/'Tuning'!$B$32)</f>
        <v>3.375</v>
      </c>
      <c r="D31" s="45" cm="1">
        <f t="array" ref="D31">ROUND('Towers'!$C$11*POWER('Tuning'!$B$12/'Tuning'!$B$13,C31),1)</f>
        <v>127</v>
      </c>
      <c r="E31" s="56" cm="1">
        <f t="array" ref="E31">ROUND(B31*D31/'Tuning'!$B$31,0)</f>
        <v>12996</v>
      </c>
      <c r="F31" s="75" cm="1">
        <f t="array" ref="F31">'Rounds'!S31</f>
        <v>25474</v>
      </c>
      <c r="G31" s="56" cm="1">
        <f t="array" ref="G31">ROUND(F31*'Tuning'!$B$30,0)</f>
        <v>19106</v>
      </c>
      <c r="H31" s="83" cm="1">
        <f t="array" ref="H31">IF(E31=0,0,G31/E31)</f>
        <v>1.47014465989535</v>
      </c>
      <c r="I31" t="str" s="84" cm="1">
        <f t="array" ref="I31">IF(H31&lt;1,"TIGHT",IF(H31&lt;2,"OK","EASY"))</f>
        <v>OK</v>
      </c>
    </row>
    <row r="32" ht="13.65" customHeight="1">
      <c r="A32" s="56">
        <v>28</v>
      </c>
      <c r="B32" s="82" cm="1">
        <f t="array" ref="B32">'Rounds'!O32</f>
        <v>66.59999999999999</v>
      </c>
      <c r="C32" s="45" cm="1">
        <f t="array" ref="C32">MIN(5,A32/'Tuning'!$B$32)</f>
        <v>3.5</v>
      </c>
      <c r="D32" s="45" cm="1">
        <f t="array" ref="D32">ROUND('Towers'!$C$11*POWER('Tuning'!$B$12/'Tuning'!$B$13,C32),1)</f>
        <v>130.1</v>
      </c>
      <c r="E32" s="56" cm="1">
        <f t="array" ref="E32">ROUND(B32*D32/'Tuning'!$B$31,0)</f>
        <v>14441</v>
      </c>
      <c r="F32" s="75" cm="1">
        <f t="array" ref="F32">'Rounds'!S32</f>
        <v>28971</v>
      </c>
      <c r="G32" s="56" cm="1">
        <f t="array" ref="G32">ROUND(F32*'Tuning'!$B$30,0)</f>
        <v>21728</v>
      </c>
      <c r="H32" s="83" cm="1">
        <f t="array" ref="H32">IF(E32=0,0,G32/E32)</f>
        <v>1.50460494425594</v>
      </c>
      <c r="I32" t="str" s="84" cm="1">
        <f t="array" ref="I32">IF(H32&lt;1,"TIGHT",IF(H32&lt;2,"OK","EASY"))</f>
        <v>OK</v>
      </c>
    </row>
    <row r="33" ht="13.65" customHeight="1">
      <c r="A33" s="56">
        <v>29</v>
      </c>
      <c r="B33" s="82" cm="1">
        <f t="array" ref="B33">'Rounds'!O33</f>
        <v>71.3</v>
      </c>
      <c r="C33" s="45" cm="1">
        <f t="array" ref="C33">MIN(5,A33/'Tuning'!$B$32)</f>
        <v>3.625</v>
      </c>
      <c r="D33" s="45" cm="1">
        <f t="array" ref="D33">ROUND('Towers'!$C$11*POWER('Tuning'!$B$12/'Tuning'!$B$13,C33),1)</f>
        <v>133.3</v>
      </c>
      <c r="E33" s="56" cm="1">
        <f t="array" ref="E33">ROUND(B33*D33/'Tuning'!$B$31,0)</f>
        <v>15840</v>
      </c>
      <c r="F33" s="75" cm="1">
        <f t="array" ref="F33">'Rounds'!S33</f>
        <v>32646</v>
      </c>
      <c r="G33" s="56" cm="1">
        <f t="array" ref="G33">ROUND(F33*'Tuning'!$B$30,0)</f>
        <v>24485</v>
      </c>
      <c r="H33" s="83" cm="1">
        <f t="array" ref="H33">IF(E33=0,0,G33/E33)</f>
        <v>1.5457702020202</v>
      </c>
      <c r="I33" t="str" s="84" cm="1">
        <f t="array" ref="I33">IF(H33&lt;1,"TIGHT",IF(H33&lt;2,"OK","EASY"))</f>
        <v>OK</v>
      </c>
    </row>
    <row r="34" ht="13.65" customHeight="1">
      <c r="A34" s="56">
        <v>30</v>
      </c>
      <c r="B34" s="82" cm="1">
        <f t="array" ref="B34">'Rounds'!O34</f>
        <v>76.3</v>
      </c>
      <c r="C34" s="45" cm="1">
        <f t="array" ref="C34">MIN(5,A34/'Tuning'!$B$32)</f>
        <v>3.75</v>
      </c>
      <c r="D34" s="45" cm="1">
        <f t="array" ref="D34">ROUND('Towers'!$C$11*POWER('Tuning'!$B$12/'Tuning'!$B$13,C34),1)</f>
        <v>136.5</v>
      </c>
      <c r="E34" s="56" cm="1">
        <f t="array" ref="E34">ROUND(B34*D34/'Tuning'!$B$31,0)</f>
        <v>17358</v>
      </c>
      <c r="F34" s="75" cm="1">
        <f t="array" ref="F34">'Rounds'!S34</f>
        <v>36509</v>
      </c>
      <c r="G34" s="56" cm="1">
        <f t="array" ref="G34">ROUND(F34*'Tuning'!$B$30,0)</f>
        <v>27382</v>
      </c>
      <c r="H34" s="83" cm="1">
        <f t="array" ref="H34">IF(E34=0,0,G34/E34)</f>
        <v>1.57748588547068</v>
      </c>
      <c r="I34" t="str" s="84" cm="1">
        <f t="array" ref="I34">IF(H34&lt;1,"TIGHT",IF(H34&lt;2,"OK","EASY"))</f>
        <v>OK</v>
      </c>
    </row>
    <row r="35" ht="13.65" customHeight="1">
      <c r="A35" s="66">
        <v>31</v>
      </c>
      <c r="B35" s="85" cm="1">
        <f t="array" ref="B35">'Rounds'!O35</f>
        <v>214.2</v>
      </c>
      <c r="C35" s="67" cm="1">
        <f t="array" ref="C35">MIN(5,A35/'Tuning'!$B$32)</f>
        <v>3.875</v>
      </c>
      <c r="D35" s="67" cm="1">
        <f t="array" ref="D35">ROUND('Towers'!$C$11*POWER('Tuning'!$B$12/'Tuning'!$B$13,C35),1)</f>
        <v>139.8</v>
      </c>
      <c r="E35" s="66" cm="1">
        <f t="array" ref="E35">ROUND(B35*D35/'Tuning'!$B$31,0)</f>
        <v>49909</v>
      </c>
      <c r="F35" s="79" cm="1">
        <f t="array" ref="F35">'Rounds'!S35</f>
        <v>47100</v>
      </c>
      <c r="G35" s="66" cm="1">
        <f t="array" ref="G35">ROUND(F35*'Tuning'!$B$30,0)</f>
        <v>35325</v>
      </c>
      <c r="H35" s="86" cm="1">
        <f t="array" ref="H35">IF(E35=0,0,G35/E35)</f>
        <v>0.707788174477549</v>
      </c>
      <c r="I35" t="str" s="87" cm="1">
        <f t="array" ref="I35">IF(H35&lt;1,"TIGHT",IF(H35&lt;2,"OK","EASY"))</f>
        <v>TIGHT</v>
      </c>
    </row>
    <row r="36" ht="13.65" customHeight="1">
      <c r="A36" s="56">
        <v>32</v>
      </c>
      <c r="B36" s="82" cm="1">
        <f t="array" ref="B36">'Rounds'!O36</f>
        <v>229.4</v>
      </c>
      <c r="C36" s="45" cm="1">
        <f t="array" ref="C36">MIN(5,A36/'Tuning'!$B$32)</f>
        <v>4</v>
      </c>
      <c r="D36" s="45" cm="1">
        <f t="array" ref="D36">ROUND('Towers'!$C$11*POWER('Tuning'!$B$12/'Tuning'!$B$13,C36),1)</f>
        <v>143.2</v>
      </c>
      <c r="E36" s="56" cm="1">
        <f t="array" ref="E36">ROUND(B36*D36/'Tuning'!$B$31,0)</f>
        <v>54750</v>
      </c>
      <c r="F36" s="75" cm="1">
        <f t="array" ref="F36">'Rounds'!S36</f>
        <v>58238</v>
      </c>
      <c r="G36" s="56" cm="1">
        <f t="array" ref="G36">ROUND(F36*'Tuning'!$B$30,0)</f>
        <v>43679</v>
      </c>
      <c r="H36" s="83" cm="1">
        <f t="array" ref="H36">IF(E36=0,0,G36/E36)</f>
        <v>0.7977899543379</v>
      </c>
      <c r="I36" t="str" s="84" cm="1">
        <f t="array" ref="I36">IF(H36&lt;1,"TIGHT",IF(H36&lt;2,"OK","EASY"))</f>
        <v>TIGHT</v>
      </c>
    </row>
    <row r="37" ht="13.65" customHeight="1">
      <c r="A37" s="56">
        <v>33</v>
      </c>
      <c r="B37" s="82" cm="1">
        <f t="array" ref="B37">'Rounds'!O37</f>
        <v>245.7</v>
      </c>
      <c r="C37" s="45" cm="1">
        <f t="array" ref="C37">MIN(5,A37/'Tuning'!$B$32)</f>
        <v>4.125</v>
      </c>
      <c r="D37" s="45" cm="1">
        <f t="array" ref="D37">ROUND('Towers'!$C$11*POWER('Tuning'!$B$12/'Tuning'!$B$13,C37),1)</f>
        <v>146.6</v>
      </c>
      <c r="E37" s="56" cm="1">
        <f t="array" ref="E37">ROUND(B37*D37/'Tuning'!$B$31,0)</f>
        <v>60033</v>
      </c>
      <c r="F37" s="75" cm="1">
        <f t="array" ref="F37">'Rounds'!S37</f>
        <v>69950</v>
      </c>
      <c r="G37" s="56" cm="1">
        <f t="array" ref="G37">ROUND(F37*'Tuning'!$B$30,0)</f>
        <v>52463</v>
      </c>
      <c r="H37" s="83" cm="1">
        <f t="array" ref="H37">IF(E37=0,0,G37/E37)</f>
        <v>0.873902686855563</v>
      </c>
      <c r="I37" t="str" s="84" cm="1">
        <f t="array" ref="I37">IF(H37&lt;1,"TIGHT",IF(H37&lt;2,"OK","EASY"))</f>
        <v>TIGHT</v>
      </c>
    </row>
    <row r="38" ht="13.65" customHeight="1">
      <c r="A38" s="56">
        <v>34</v>
      </c>
      <c r="B38" s="82" cm="1">
        <f t="array" ref="B38">'Rounds'!O38</f>
        <v>263.2</v>
      </c>
      <c r="C38" s="45" cm="1">
        <f t="array" ref="C38">MIN(5,A38/'Tuning'!$B$32)</f>
        <v>4.25</v>
      </c>
      <c r="D38" s="45" cm="1">
        <f t="array" ref="D38">ROUND('Towers'!$C$11*POWER('Tuning'!$B$12/'Tuning'!$B$13,C38),1)</f>
        <v>150.2</v>
      </c>
      <c r="E38" s="56" cm="1">
        <f t="array" ref="E38">ROUND(B38*D38/'Tuning'!$B$31,0)</f>
        <v>65888</v>
      </c>
      <c r="F38" s="75" cm="1">
        <f t="array" ref="F38">'Rounds'!S38</f>
        <v>82267</v>
      </c>
      <c r="G38" s="56" cm="1">
        <f t="array" ref="G38">ROUND(F38*'Tuning'!$B$30,0)</f>
        <v>61700</v>
      </c>
      <c r="H38" s="83" cm="1">
        <f t="array" ref="H38">IF(E38=0,0,G38/E38)</f>
        <v>0.936437591063623</v>
      </c>
      <c r="I38" t="str" s="84" cm="1">
        <f t="array" ref="I38">IF(H38&lt;1,"TIGHT",IF(H38&lt;2,"OK","EASY"))</f>
        <v>TIGHT</v>
      </c>
    </row>
    <row r="39" ht="13.65" customHeight="1">
      <c r="A39" s="56">
        <v>35</v>
      </c>
      <c r="B39" s="82" cm="1">
        <f t="array" ref="B39">'Rounds'!O39</f>
        <v>282.1</v>
      </c>
      <c r="C39" s="45" cm="1">
        <f t="array" ref="C39">MIN(5,A39/'Tuning'!$B$32)</f>
        <v>4.375</v>
      </c>
      <c r="D39" s="45" cm="1">
        <f t="array" ref="D39">ROUND('Towers'!$C$11*POWER('Tuning'!$B$12/'Tuning'!$B$13,C39),1)</f>
        <v>153.8</v>
      </c>
      <c r="E39" s="56" cm="1">
        <f t="array" ref="E39">ROUND(B39*D39/'Tuning'!$B$31,0)</f>
        <v>72312</v>
      </c>
      <c r="F39" s="75" cm="1">
        <f t="array" ref="F39">'Rounds'!S39</f>
        <v>95220</v>
      </c>
      <c r="G39" s="56" cm="1">
        <f t="array" ref="G39">ROUND(F39*'Tuning'!$B$30,0)</f>
        <v>71415</v>
      </c>
      <c r="H39" s="83" cm="1">
        <f t="array" ref="H39">IF(E39=0,0,G39/E39)</f>
        <v>0.987595419847328</v>
      </c>
      <c r="I39" t="str" s="84" cm="1">
        <f t="array" ref="I39">IF(H39&lt;1,"TIGHT",IF(H39&lt;2,"OK","EASY"))</f>
        <v>TIGHT</v>
      </c>
    </row>
    <row r="40" ht="13.65" customHeight="1">
      <c r="A40" s="56">
        <v>36</v>
      </c>
      <c r="B40" s="82" cm="1">
        <f t="array" ref="B40">'Rounds'!O40</f>
        <v>299.6</v>
      </c>
      <c r="C40" s="45" cm="1">
        <f t="array" ref="C40">MIN(5,A40/'Tuning'!$B$32)</f>
        <v>4.5</v>
      </c>
      <c r="D40" s="45" cm="1">
        <f t="array" ref="D40">ROUND('Towers'!$C$11*POWER('Tuning'!$B$12/'Tuning'!$B$13,C40),1)</f>
        <v>157.5</v>
      </c>
      <c r="E40" s="56" cm="1">
        <f t="array" ref="E40">ROUND(B40*D40/'Tuning'!$B$31,0)</f>
        <v>78645</v>
      </c>
      <c r="F40" s="75" cm="1">
        <f t="array" ref="F40">'Rounds'!S40</f>
        <v>108844</v>
      </c>
      <c r="G40" s="56" cm="1">
        <f t="array" ref="G40">ROUND(F40*'Tuning'!$B$30,0)</f>
        <v>81633</v>
      </c>
      <c r="H40" s="83" cm="1">
        <f t="array" ref="H40">IF(E40=0,0,G40/E40)</f>
        <v>1.03799351516307</v>
      </c>
      <c r="I40" t="str" s="84" cm="1">
        <f t="array" ref="I40">IF(H40&lt;1,"TIGHT",IF(H40&lt;2,"OK","EASY"))</f>
        <v>OK</v>
      </c>
    </row>
    <row r="41" ht="13.65" customHeight="1">
      <c r="A41" s="56">
        <v>37</v>
      </c>
      <c r="B41" s="82" cm="1">
        <f t="array" ref="B41">'Rounds'!O41</f>
        <v>324.5</v>
      </c>
      <c r="C41" s="45" cm="1">
        <f t="array" ref="C41">MIN(5,A41/'Tuning'!$B$32)</f>
        <v>4.625</v>
      </c>
      <c r="D41" s="45" cm="1">
        <f t="array" ref="D41">ROUND('Towers'!$C$11*POWER('Tuning'!$B$12/'Tuning'!$B$13,C41),1)</f>
        <v>161.3</v>
      </c>
      <c r="E41" s="56" cm="1">
        <f t="array" ref="E41">ROUND(B41*D41/'Tuning'!$B$31,0)</f>
        <v>87236</v>
      </c>
      <c r="F41" s="75" cm="1">
        <f t="array" ref="F41">'Rounds'!S41</f>
        <v>123171</v>
      </c>
      <c r="G41" s="56" cm="1">
        <f t="array" ref="G41">ROUND(F41*'Tuning'!$B$30,0)</f>
        <v>92378</v>
      </c>
      <c r="H41" s="83" cm="1">
        <f t="array" ref="H41">IF(E41=0,0,G41/E41)</f>
        <v>1.0589435554129</v>
      </c>
      <c r="I41" t="str" s="84" cm="1">
        <f t="array" ref="I41">IF(H41&lt;1,"TIGHT",IF(H41&lt;2,"OK","EASY"))</f>
        <v>OK</v>
      </c>
    </row>
    <row r="42" ht="13.65" customHeight="1">
      <c r="A42" s="56">
        <v>38</v>
      </c>
      <c r="B42" s="82" cm="1">
        <f t="array" ref="B42">'Rounds'!O42</f>
        <v>344.7</v>
      </c>
      <c r="C42" s="45" cm="1">
        <f t="array" ref="C42">MIN(5,A42/'Tuning'!$B$32)</f>
        <v>4.75</v>
      </c>
      <c r="D42" s="45" cm="1">
        <f t="array" ref="D42">ROUND('Towers'!$C$11*POWER('Tuning'!$B$12/'Tuning'!$B$13,C42),1)</f>
        <v>165.2</v>
      </c>
      <c r="E42" s="56" cm="1">
        <f t="array" ref="E42">ROUND(B42*D42/'Tuning'!$B$31,0)</f>
        <v>94907</v>
      </c>
      <c r="F42" s="75" cm="1">
        <f t="array" ref="F42">'Rounds'!S42</f>
        <v>138240</v>
      </c>
      <c r="G42" s="56" cm="1">
        <f t="array" ref="G42">ROUND(F42*'Tuning'!$B$30,0)</f>
        <v>103680</v>
      </c>
      <c r="H42" s="83" cm="1">
        <f t="array" ref="H42">IF(E42=0,0,G42/E42)</f>
        <v>1.09243786022106</v>
      </c>
      <c r="I42" t="str" s="84" cm="1">
        <f t="array" ref="I42">IF(H42&lt;1,"TIGHT",IF(H42&lt;2,"OK","EASY"))</f>
        <v>OK</v>
      </c>
    </row>
    <row r="43" ht="13.65" customHeight="1">
      <c r="A43" s="56">
        <v>39</v>
      </c>
      <c r="B43" s="82" cm="1">
        <f t="array" ref="B43">'Rounds'!O43</f>
        <v>370</v>
      </c>
      <c r="C43" s="45" cm="1">
        <f t="array" ref="C43">MIN(5,A43/'Tuning'!$B$32)</f>
        <v>4.875</v>
      </c>
      <c r="D43" s="45" cm="1">
        <f t="array" ref="D43">ROUND('Towers'!$C$11*POWER('Tuning'!$B$12/'Tuning'!$B$13,C43),1)</f>
        <v>169.2</v>
      </c>
      <c r="E43" s="56" cm="1">
        <f t="array" ref="E43">ROUND(B43*D43/'Tuning'!$B$31,0)</f>
        <v>104340</v>
      </c>
      <c r="F43" s="75" cm="1">
        <f t="array" ref="F43">'Rounds'!S43</f>
        <v>154088</v>
      </c>
      <c r="G43" s="56" cm="1">
        <f t="array" ref="G43">ROUND(F43*'Tuning'!$B$30,0)</f>
        <v>115566</v>
      </c>
      <c r="H43" s="83" cm="1">
        <f t="array" ref="H43">IF(E43=0,0,G43/E43)</f>
        <v>1.1075905692927</v>
      </c>
      <c r="I43" t="str" s="84" cm="1">
        <f t="array" ref="I43">IF(H43&lt;1,"TIGHT",IF(H43&lt;2,"OK","EASY"))</f>
        <v>OK</v>
      </c>
    </row>
    <row r="44" ht="13.65" customHeight="1">
      <c r="A44" s="66">
        <v>40</v>
      </c>
      <c r="B44" s="85" cm="1">
        <f t="array" ref="B44">'Rounds'!O44</f>
        <v>527.3</v>
      </c>
      <c r="C44" s="67" cm="1">
        <f t="array" ref="C44">MIN(5,A44/'Tuning'!$B$32)</f>
        <v>5</v>
      </c>
      <c r="D44" s="67" cm="1">
        <f t="array" ref="D44">ROUND('Towers'!$C$11*POWER('Tuning'!$B$12/'Tuning'!$B$13,C44),1)</f>
        <v>173.3</v>
      </c>
      <c r="E44" s="66" cm="1">
        <f t="array" ref="E44">ROUND(B44*D44/'Tuning'!$B$31,0)</f>
        <v>152302</v>
      </c>
      <c r="F44" s="79" cm="1">
        <f t="array" ref="F44">'Rounds'!S44</f>
        <v>176407</v>
      </c>
      <c r="G44" s="66" cm="1">
        <f t="array" ref="G44">ROUND(F44*'Tuning'!$B$30,0)</f>
        <v>132305</v>
      </c>
      <c r="H44" s="86" cm="1">
        <f t="array" ref="H44">IF(E44=0,0,G44/E44)</f>
        <v>0.868701658546835</v>
      </c>
      <c r="I44" t="str" s="87" cm="1">
        <f t="array" ref="I44">IF(H44&lt;1,"TIGHT",IF(H44&lt;2,"OK","EASY"))</f>
        <v>TIGHT</v>
      </c>
    </row>
    <row r="45" ht="13.55" customHeight="1">
      <c r="A45" s="62"/>
      <c r="B45" s="49"/>
      <c r="C45" s="49"/>
      <c r="D45" s="49"/>
      <c r="E45" s="49"/>
      <c r="F45" s="49"/>
      <c r="G45" s="49"/>
      <c r="H45" s="49"/>
      <c r="I45" s="50"/>
    </row>
    <row r="46" ht="14.6" customHeight="1">
      <c r="A46" t="s" s="11">
        <v>399</v>
      </c>
      <c r="B46" s="6"/>
      <c r="C46" s="6"/>
      <c r="D46" s="6"/>
      <c r="E46" s="6"/>
      <c r="F46" s="6"/>
      <c r="G46" s="6"/>
      <c r="H46" s="6"/>
      <c r="I46" s="7"/>
    </row>
    <row r="47" ht="13.55" customHeight="1">
      <c r="A47" t="s" s="88">
        <v>400</v>
      </c>
      <c r="B47" s="6"/>
      <c r="C47" s="6"/>
      <c r="D47" s="6"/>
      <c r="E47" s="6"/>
      <c r="F47" s="6"/>
      <c r="G47" s="6"/>
      <c r="H47" s="6"/>
      <c r="I47" s="7"/>
    </row>
    <row r="48" ht="13.55" customHeight="1">
      <c r="A48" s="89"/>
      <c r="B48" s="6"/>
      <c r="C48" s="6"/>
      <c r="D48" s="6"/>
      <c r="E48" s="6"/>
      <c r="F48" s="6"/>
      <c r="G48" s="6"/>
      <c r="H48" s="6"/>
      <c r="I48" s="7"/>
    </row>
    <row r="49" ht="13.55" customHeight="1">
      <c r="A49" t="s" s="88">
        <v>401</v>
      </c>
      <c r="B49" s="6"/>
      <c r="C49" s="6"/>
      <c r="D49" s="6"/>
      <c r="E49" s="6"/>
      <c r="F49" s="6"/>
      <c r="G49" s="6"/>
      <c r="H49" s="6"/>
      <c r="I49" s="7"/>
    </row>
    <row r="50" ht="13.55" customHeight="1">
      <c r="A50" t="s" s="88">
        <v>402</v>
      </c>
      <c r="B50" s="6"/>
      <c r="C50" s="6"/>
      <c r="D50" s="6"/>
      <c r="E50" s="6"/>
      <c r="F50" s="6"/>
      <c r="G50" s="6"/>
      <c r="H50" s="6"/>
      <c r="I50" s="7"/>
    </row>
    <row r="51" ht="13.55" customHeight="1">
      <c r="A51" t="s" s="88">
        <v>403</v>
      </c>
      <c r="B51" s="6"/>
      <c r="C51" s="6"/>
      <c r="D51" s="6"/>
      <c r="E51" s="6"/>
      <c r="F51" s="6"/>
      <c r="G51" s="6"/>
      <c r="H51" s="6"/>
      <c r="I51" s="7"/>
    </row>
    <row r="52" ht="13.55" customHeight="1">
      <c r="A52" s="89"/>
      <c r="B52" s="6"/>
      <c r="C52" s="6"/>
      <c r="D52" s="6"/>
      <c r="E52" s="6"/>
      <c r="F52" s="6"/>
      <c r="G52" s="6"/>
      <c r="H52" s="6"/>
      <c r="I52" s="7"/>
    </row>
    <row r="53" ht="14.6" customHeight="1">
      <c r="A53" t="s" s="11">
        <v>404</v>
      </c>
      <c r="B53" s="6"/>
      <c r="C53" s="6"/>
      <c r="D53" s="6"/>
      <c r="E53" s="6"/>
      <c r="F53" s="6"/>
      <c r="G53" s="6"/>
      <c r="H53" s="6"/>
      <c r="I53" s="7"/>
    </row>
    <row r="54" ht="13.55" customHeight="1">
      <c r="A54" t="s" s="88">
        <v>405</v>
      </c>
      <c r="B54" s="6"/>
      <c r="C54" s="6"/>
      <c r="D54" s="6"/>
      <c r="E54" s="6"/>
      <c r="F54" s="6"/>
      <c r="G54" s="6"/>
      <c r="H54" s="6"/>
      <c r="I54" s="7"/>
    </row>
    <row r="55" ht="13.55" customHeight="1">
      <c r="A55" t="s" s="63">
        <v>406</v>
      </c>
      <c r="B55" s="16"/>
      <c r="C55" s="16"/>
      <c r="D55" s="16"/>
      <c r="E55" s="16"/>
      <c r="F55" s="16"/>
      <c r="G55" s="16"/>
      <c r="H55" s="16"/>
      <c r="I55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