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  <sheet name="Hunter Stats" sheetId="17" state="visible" r:id="rId17"/>
    <sheet name="Hunter Kit" sheetId="18" state="visible" r:id="rId18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7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  <xf numFmtId="0" fontId="6" fillId="4" borderId="0" pivotButton="0" quotePrefix="0" xfId="0"/>
    <xf numFmtId="49" fontId="5" fillId="2" borderId="0" pivotButton="0" quotePrefix="0" xfId="0"/>
    <xf numFmtId="4" fontId="8" fillId="5" borderId="0" pivotButton="0" quotePrefix="0" xfId="0"/>
    <xf numFmtId="49" fontId="9" fillId="2" borderId="0" pivotButton="0" quotePrefix="0" xfId="0"/>
    <xf numFmtId="0" fontId="3" fillId="0" borderId="0" pivotButton="0" quotePrefix="0" xfId="0"/>
    <xf numFmtId="0" fontId="7" fillId="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5000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50000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25000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15000</v>
      </c>
      <c r="C154" s="102" t="inlineStr">
        <is>
          <t>Amber each player stakes (exporter: 10,000-20,000)</t>
        </is>
      </c>
    </row>
    <row r="155">
      <c r="A155" s="100" t="inlineStr">
        <is>
          <t>Team win payout</t>
        </is>
      </c>
      <c r="B155" s="101" t="n">
        <v>50000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5000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60000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30000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10000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5000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  <row r="230">
      <c r="A230" s="81" t="inlineStr">
        <is>
          <t>BONE TOTEM</t>
        </is>
      </c>
    </row>
    <row r="231">
      <c r="A231" s="81" t="inlineStr">
        <is>
          <t>Totem charge (Bones)</t>
        </is>
      </c>
      <c r="B231" s="81" t="n">
        <v>3</v>
      </c>
      <c r="C231" s="81" t="inlineStr">
        <is>
          <t>pops (a dino losing a size) inside a Bone Totem's range that fill it (x Charge needed x; Shared/Totem)</t>
        </is>
      </c>
    </row>
    <row r="232">
      <c r="A232" s="81" t="inlineStr">
        <is>
          <t>Roar breaks</t>
        </is>
      </c>
      <c r="B232" s="81" t="n">
        <v>2</v>
      </c>
      <c r="C232" s="81" t="inlineStr">
        <is>
          <t>sizes the Spirit Roar may drop on each dino it hits (a Size breaks tier raises it)</t>
        </is>
      </c>
    </row>
    <row r="233">
      <c r="A233" s="81" t="inlineStr">
        <is>
          <t>Fear knockback (studs)</t>
        </is>
      </c>
      <c r="B233" s="81" t="n">
        <v>8</v>
      </c>
      <c r="C233" s="81" t="inlineStr">
        <is>
          <t>the most the roar knocks a small dino back (Fear: Knockback (studs); never a boss)</t>
        </is>
      </c>
    </row>
    <row r="234">
      <c r="A234" s="81" t="inlineStr">
        <is>
          <t>Shatter strip (s)</t>
        </is>
      </c>
      <c r="B234" s="81" t="n">
        <v>4</v>
      </c>
      <c r="C234" s="81" t="inlineStr">
        <is>
          <t>s a dino hit by a Shatter Roar stays unarmoured (bosses half, as Strip (s))</t>
        </is>
      </c>
    </row>
    <row r="235">
      <c r="A235" s="81" t="inlineStr">
        <is>
          <t>Skull x</t>
        </is>
      </c>
      <c r="B235" s="81" t="n">
        <v>0.6</v>
      </c>
      <c r="C235" s="81" t="inlineStr">
        <is>
          <t>x the roar's damage for each Skull Storm skull (one dino each, breaks 1)</t>
        </is>
      </c>
    </row>
    <row r="236">
      <c r="A236" s="81" t="inlineStr">
        <is>
          <t>Spirit hunters</t>
        </is>
      </c>
      <c r="B236" s="81" t="n">
        <v>3</v>
      </c>
      <c r="C236" s="81" t="inlineStr">
        <is>
          <t>ghost hunters a full Spirit Hunters totem calls</t>
        </is>
      </c>
    </row>
    <row r="237">
      <c r="A237" s="81" t="inlineStr">
        <is>
          <t>Spirit hunter damage</t>
        </is>
      </c>
      <c r="B237" s="81" t="n">
        <v>8</v>
      </c>
      <c r="C237" s="81" t="inlineStr">
        <is>
          <t>a ghost hunter's shot (x the team's level)</t>
        </is>
      </c>
    </row>
    <row r="238">
      <c r="A238" s="81" t="inlineStr">
        <is>
          <t>Spirit hunter rate</t>
        </is>
      </c>
      <c r="B238" s="81" t="n">
        <v>2</v>
      </c>
      <c r="C238" s="81" t="inlineStr">
        <is>
          <t>shots a second per ghost hunter</t>
        </is>
      </c>
    </row>
    <row r="239">
      <c r="A239" s="81" t="inlineStr">
        <is>
          <t>Spirit (s)</t>
        </is>
      </c>
      <c r="B239" s="81" t="n">
        <v>6</v>
      </c>
      <c r="C239" s="81" t="inlineStr">
        <is>
          <t>s the ghost hunters stay</t>
        </is>
      </c>
    </row>
    <row r="240">
      <c r="A240" s="81" t="inlineStr">
        <is>
          <t>Full buff (s)</t>
        </is>
      </c>
      <c r="B240" s="81" t="n">
        <v>6</v>
      </c>
      <c r="C240" s="81" t="inlineStr">
        <is>
          <t>s War Paint's hunter buff lasts after a full charge</t>
        </is>
      </c>
    </row>
    <row r="241">
      <c r="A241" s="81" t="inlineStr">
        <is>
          <t>Finisher %</t>
        </is>
      </c>
      <c r="B241" s="81" t="n">
        <v>25</v>
      </c>
      <c r="C241" s="81" t="inlineStr">
        <is>
          <t>Finishing Roar: a boss in range dropping below this % of its HP gets one free roar (once per boss)</t>
        </is>
      </c>
    </row>
    <row r="242">
      <c r="A242" s="81" t="inlineStr">
        <is>
          <t>Treasure cash</t>
        </is>
      </c>
      <c r="B242" s="81" t="n">
        <v>1500</v>
      </c>
      <c r="C242" s="81" t="inlineStr">
        <is>
          <t>Ancient Treasure: the first full charge of the match also drops a chest worth this</t>
        </is>
      </c>
    </row>
    <row r="244">
      <c r="A244" s="81" t="inlineStr">
        <is>
          <t>SPOTTER BLIMP</t>
        </is>
      </c>
    </row>
    <row r="245">
      <c r="A245" s="81" t="inlineStr">
        <is>
          <t>Blimp speed (studs/s)</t>
        </is>
      </c>
      <c r="B245" s="81" t="n">
        <v>40</v>
      </c>
      <c r="C245" s="81" t="inlineStr">
        <is>
          <t>the blimp's flying speed along its side's track (x Blimp speed x); a lap = spawn end to exit end and back (Shared/Blimp)</t>
        </is>
      </c>
    </row>
    <row r="246">
      <c r="A246" s="81" t="inlineStr">
        <is>
          <t>Paratrooper HP</t>
        </is>
      </c>
      <c r="B246" s="81" t="n">
        <v>80</v>
      </c>
      <c r="C246" s="81" t="inlineStr">
        <is>
          <t>a Paratroopers ranger's HP (the 9g walker, fight mode)</t>
        </is>
      </c>
    </row>
    <row r="247">
      <c r="A247" s="81" t="inlineStr">
        <is>
          <t>Paratrooper damage</t>
        </is>
      </c>
      <c r="B247" s="81" t="n">
        <v>40</v>
      </c>
      <c r="C247" s="81" t="inlineStr">
        <is>
          <t>a paratrooper's shot (x the team's level)</t>
        </is>
      </c>
    </row>
    <row r="248">
      <c r="A248" s="81" t="inlineStr">
        <is>
          <t>Paratrooper rate</t>
        </is>
      </c>
      <c r="B248" s="81" t="n">
        <v>1.5</v>
      </c>
      <c r="C248" s="81" t="inlineStr">
        <is>
          <t>shots a second per paratrooper</t>
        </is>
      </c>
    </row>
    <row r="249">
      <c r="A249" s="81" t="inlineStr">
        <is>
          <t>Paratrooper reach</t>
        </is>
      </c>
      <c r="B249" s="81" t="n">
        <v>14</v>
      </c>
      <c r="C249" s="81" t="inlineStr">
        <is>
          <t>studs: paratroopers hunt dinos within this of where they land</t>
        </is>
      </c>
    </row>
    <row r="250">
      <c r="A250" s="81" t="inlineStr">
        <is>
          <t>Paratrooper speed</t>
        </is>
      </c>
      <c r="B250" s="81" t="n">
        <v>14</v>
      </c>
      <c r="C250" s="81" t="inlineStr">
        <is>
          <t>studs/s a paratrooper walks</t>
        </is>
      </c>
    </row>
    <row r="251">
      <c r="A251" s="81" t="inlineStr">
        <is>
          <t>Hook max sizes</t>
        </is>
      </c>
      <c r="B251" s="81" t="n">
        <v>2</v>
      </c>
      <c r="C251" s="81" t="inlineStr">
        <is>
          <t>Sky Hook takes only a non-boss dino with at most this many sizes left</t>
        </is>
      </c>
    </row>
    <row r="253">
      <c r="A253" s="81" t="inlineStr">
        <is>
          <t>METEOR BEACON</t>
        </is>
      </c>
    </row>
    <row r="254">
      <c r="A254" s="81" t="inlineStr">
        <is>
          <t>Bunch radius (studs)</t>
        </is>
      </c>
      <c r="B254" s="81" t="n">
        <v>8</v>
      </c>
      <c r="C254" s="81" t="inlineStr">
        <is>
          <t>studs: a meteor aims at the track point with the most dinos within this (a boss counts 3; Shared/Meteor)</t>
        </is>
      </c>
    </row>
    <row r="255">
      <c r="A255" s="81" t="inlineStr">
        <is>
          <t>Strike warning (s)</t>
        </is>
      </c>
      <c r="B255" s="81" t="n">
        <v>1</v>
      </c>
      <c r="C255" s="81" t="inlineStr">
        <is>
          <t>s the red warning ring shows before a meteor lands</t>
        </is>
      </c>
    </row>
    <row r="256">
      <c r="A256" s="81" t="inlineStr">
        <is>
          <t>Crater radius</t>
        </is>
      </c>
      <c r="B256" s="81" t="n">
        <v>6</v>
      </c>
      <c r="C256" s="81" t="inlineStr">
        <is>
          <t>studs: the burning crater a strike's densest-point meteor leaves</t>
        </is>
      </c>
    </row>
    <row r="257">
      <c r="A257" s="81" t="inlineStr">
        <is>
          <t>Crater (s)</t>
        </is>
      </c>
      <c r="B257" s="81" t="n">
        <v>5</v>
      </c>
      <c r="C257" s="81" t="inlineStr">
        <is>
          <t>s a crater lasts when the build sets no Crater (s)</t>
        </is>
      </c>
    </row>
    <row r="258">
      <c r="A258" s="81" t="inlineStr">
        <is>
          <t>Crater burn DPS</t>
        </is>
      </c>
      <c r="B258" s="81" t="n">
        <v>10</v>
      </c>
      <c r="C258" s="81" t="inlineStr">
        <is>
          <t>a crater's burn a second when the build sets no Burn DPS (x the team's level)</t>
        </is>
      </c>
    </row>
    <row r="259">
      <c r="A259" s="81" t="inlineStr">
        <is>
          <t>Small meteor x</t>
        </is>
      </c>
      <c r="B259" s="81" t="n">
        <v>0.6</v>
      </c>
      <c r="C259" s="81" t="inlineStr">
        <is>
          <t>x the meteor's damage for each small meteor (Sky Rocks, Endless Rain, Starfall)</t>
        </is>
      </c>
    </row>
    <row r="260">
      <c r="A260" s="81" t="inlineStr">
        <is>
          <t>Small splash x</t>
        </is>
      </c>
      <c r="B260" s="81" t="n">
        <v>0.7</v>
      </c>
      <c r="C260" s="81" t="inlineStr">
        <is>
          <t>x the splash radius for each small meteor</t>
        </is>
      </c>
    </row>
    <row r="261">
      <c r="A261" s="81" t="inlineStr">
        <is>
          <t>Extinction min bunch</t>
        </is>
      </c>
      <c r="B261" s="81" t="n">
        <v>6</v>
      </c>
      <c r="C261" s="81" t="inlineStr">
        <is>
          <t>Extinction Event fires itself on a boss or this many dinos in the bunch (else at the last spawn)</t>
        </is>
      </c>
    </row>
    <row r="262">
      <c r="A262" s="81" t="inlineStr">
        <is>
          <t>Extinction x</t>
        </is>
      </c>
      <c r="B262" s="81" t="n">
        <v>3</v>
      </c>
      <c r="C262" s="81" t="inlineStr">
        <is>
          <t>x the meteor's damage on every dino on your side (Extinction Event, once per round played)</t>
        </is>
      </c>
    </row>
    <row r="263">
      <c r="A263" s="81" t="inlineStr">
        <is>
          <t>Extinction breaks</t>
        </is>
      </c>
      <c r="B263" s="81" t="n">
        <v>4</v>
      </c>
      <c r="C263" s="81" t="inlineStr">
        <is>
          <t>sizes the Extinction Event breaks on the densest bunch's dinos (the rest break 1)</t>
        </is>
      </c>
    </row>
    <row r="264">
      <c r="A264" s="81" t="inlineStr">
        <is>
          <t>Starfall meteors</t>
        </is>
      </c>
      <c r="B264" s="81" t="n">
        <v>20</v>
      </c>
      <c r="C264" s="81" t="inlineStr">
        <is>
          <t>Starfall: small meteors on the densest points across your side, in place of the strike</t>
        </is>
      </c>
    </row>
    <row r="265">
      <c r="A265" s="81" t="inlineStr">
        <is>
          <t>Fire line gap (studs)</t>
        </is>
      </c>
      <c r="B265" s="81" t="n">
        <v>30</v>
      </c>
      <c r="C265" s="81" t="inlineStr">
        <is>
          <t>Fire Line: craters this close along the track join into one burning strip while both last</t>
        </is>
      </c>
    </row>
    <row r="266">
      <c r="A266" s="81" t="inlineStr">
        <is>
          <t>Streak length (studs)</t>
        </is>
      </c>
      <c r="B266" s="81" t="n">
        <v>10</v>
      </c>
      <c r="C266" s="81" t="inlineStr">
        <is>
          <t>Cinder Trail: each small meteor leaves a burning strip this long for 3 s</t>
        </is>
      </c>
    </row>
    <row r="268">
      <c r="A268" s="81" t="inlineStr">
        <is>
          <t>VOLCANO VENT</t>
        </is>
      </c>
    </row>
    <row r="269">
      <c r="A269" s="81" t="inlineStr">
        <is>
          <t>Flow length (studs)</t>
        </is>
      </c>
      <c r="B269" s="81" t="n">
        <v>24</v>
      </c>
      <c r="C269" s="81" t="inlineStr">
        <is>
          <t>studs of track a Volcano Vent's lava covers, centred on the track point nearest it (x Flow length x; Shared/Vent)</t>
        </is>
      </c>
    </row>
    <row r="270">
      <c r="A270" s="81" t="inlineStr">
        <is>
          <t>Flow (s)</t>
        </is>
      </c>
      <c r="B270" s="81" t="n">
        <v>6</v>
      </c>
      <c r="C270" s="81" t="inlineStr">
        <is>
          <t>s the lava stays down when the build sets no Flow (s)</t>
        </is>
      </c>
    </row>
    <row r="271">
      <c r="A271" s="81" t="inlineStr">
        <is>
          <t>Flow burn DPS</t>
        </is>
      </c>
      <c r="B271" s="81" t="n">
        <v>8</v>
      </c>
      <c r="C271" s="81" t="inlineStr">
        <is>
          <t>lava burn a second on each dino in it (x Damage x x the team's level)</t>
        </is>
      </c>
    </row>
    <row r="272">
      <c r="A272" s="81" t="inlineStr">
        <is>
          <t>Flow shove (studs/s)</t>
        </is>
      </c>
      <c r="B272" s="81" t="n">
        <v>3</v>
      </c>
      <c r="C272" s="81" t="inlineStr">
        <is>
          <t>studs a second the lava shoves a dino off its path (not a slow; bosses aren't shoved)</t>
        </is>
      </c>
    </row>
    <row r="273">
      <c r="A273" s="81" t="inlineStr">
        <is>
          <t>Shove max (studs)</t>
        </is>
      </c>
      <c r="B273" s="81" t="n">
        <v>4</v>
      </c>
      <c r="C273" s="81" t="inlineStr">
        <is>
          <t>the furthest the lava shoves a dino off its path (it walks back after the flow)</t>
        </is>
      </c>
    </row>
    <row r="274">
      <c r="A274" s="81" t="inlineStr">
        <is>
          <t>Geyser x</t>
        </is>
      </c>
      <c r="B274" s="81" t="n">
        <v>0.3</v>
      </c>
      <c r="C274" s="81" t="inlineStr">
        <is>
          <t>x the eruption's damage for a Geyser burst between eruptions</t>
        </is>
      </c>
    </row>
    <row r="275">
      <c r="A275" s="81" t="inlineStr">
        <is>
          <t>Crust (s)</t>
        </is>
      </c>
      <c r="B275" s="81" t="n">
        <v>6</v>
      </c>
      <c r="C275" s="81" t="inlineStr">
        <is>
          <t>s a flow's stretch stays crust after the lava (Obsidian)</t>
        </is>
      </c>
    </row>
    <row r="276">
      <c r="A276" s="81" t="inlineStr">
        <is>
          <t>Crust slow %</t>
        </is>
      </c>
      <c r="B276" s="81" t="n">
        <v>30</v>
      </c>
      <c r="C276" s="81" t="inlineStr">
        <is>
          <t>dinos on the crust are slowed this much</t>
        </is>
      </c>
    </row>
    <row r="277">
      <c r="A277" s="81" t="inlineStr">
        <is>
          <t>Lava bomb x</t>
        </is>
      </c>
      <c r="B277" s="81" t="n">
        <v>0.5</v>
      </c>
      <c r="C277" s="81" t="inlineStr">
        <is>
          <t>x the eruption's damage for each Lava Bombs bomb</t>
        </is>
      </c>
    </row>
    <row r="278">
      <c r="A278" s="81" t="inlineStr">
        <is>
          <t>Lava bombs</t>
        </is>
      </c>
      <c r="B278" s="81" t="n">
        <v>6</v>
      </c>
      <c r="C278" s="81" t="inlineStr">
        <is>
          <t>bombs Lava Bombs throws at the biggest dinos in range each eruption</t>
        </is>
      </c>
    </row>
    <row r="279">
      <c r="A279" s="81" t="inlineStr">
        <is>
          <t>Extra vent x</t>
        </is>
      </c>
      <c r="B279" s="81" t="n">
        <v>0.5</v>
      </c>
      <c r="C279" s="81" t="inlineStr">
        <is>
          <t>Ring of Fire: each small vent's eruption, x the main one's size</t>
        </is>
      </c>
    </row>
    <row r="280">
      <c r="A280" s="81" t="inlineStr">
        <is>
          <t>Supervolcano (s)</t>
        </is>
      </c>
      <c r="B280" s="81" t="n">
        <v>4</v>
      </c>
      <c r="C280" s="81" t="inlineStr">
        <is>
          <t>Supervolcano: once per round played every dino on your side is in lava this long</t>
        </is>
      </c>
    </row>
    <row r="281">
      <c r="A281" s="81" t="inlineStr">
        <is>
          <t>Ash (s)</t>
        </is>
      </c>
      <c r="B281" s="81" t="n">
        <v>5</v>
      </c>
      <c r="C281" s="81" t="inlineStr">
        <is>
          <t>Ash Blanket: s the ash after each eruption makes dinos on your side miss throws</t>
        </is>
      </c>
    </row>
    <row r="283">
      <c r="A283" s="81" t="inlineStr">
        <is>
          <t>RANGER STATION</t>
        </is>
      </c>
    </row>
    <row r="284">
      <c r="A284" s="81" t="inlineStr">
        <is>
          <t>Ranger HP</t>
        </is>
      </c>
      <c r="B284" s="81" t="n">
        <v>100</v>
      </c>
    </row>
    <row r="285">
      <c r="A285" s="81" t="inlineStr">
        <is>
          <t>Ranger speed</t>
        </is>
      </c>
      <c r="B285" s="81" t="n">
        <v>16</v>
      </c>
    </row>
    <row r="286">
      <c r="A286" s="81" t="inlineStr">
        <is>
          <t>Ranger reach</t>
        </is>
      </c>
      <c r="B286" s="81" t="n">
        <v>14</v>
      </c>
    </row>
    <row r="287">
      <c r="A287" s="81" t="inlineStr">
        <is>
          <t>Ranger retreat HP share</t>
        </is>
      </c>
      <c r="B287" s="81" t="n">
        <v>0.3</v>
      </c>
    </row>
    <row r="288">
      <c r="A288" s="81" t="inlineStr">
        <is>
          <t>Ranger respawn (s)</t>
        </is>
      </c>
      <c r="B288" s="81" t="n">
        <v>10</v>
      </c>
    </row>
    <row r="289">
      <c r="A289" s="81" t="inlineStr">
        <is>
          <t>Cabin heal (HP/s)</t>
        </is>
      </c>
      <c r="B289" s="81" t="n">
        <v>20</v>
      </c>
    </row>
    <row r="290">
      <c r="A290" s="81" t="inlineStr">
        <is>
          <t>Ranger leash x</t>
        </is>
      </c>
      <c r="B290" s="81" t="n">
        <v>1</v>
      </c>
    </row>
    <row r="291">
      <c r="A291" s="81" t="inlineStr">
        <is>
          <t>Max posts</t>
        </is>
      </c>
      <c r="B291" s="81" t="n">
        <v>3</v>
      </c>
    </row>
    <row r="292">
      <c r="A292" s="81" t="inlineStr">
        <is>
          <t>Trap every (s)</t>
        </is>
      </c>
      <c r="B292" s="81" t="n">
        <v>8</v>
      </c>
    </row>
    <row r="293">
      <c r="A293" s="81" t="inlineStr">
        <is>
          <t>Trap slow %</t>
        </is>
      </c>
      <c r="B293" s="81" t="n">
        <v>40</v>
      </c>
    </row>
    <row r="294">
      <c r="A294" s="81" t="inlineStr">
        <is>
          <t>Trap slow (s)</t>
        </is>
      </c>
      <c r="B294" s="81" t="n">
        <v>2</v>
      </c>
    </row>
    <row r="295">
      <c r="A295" s="81" t="inlineStr">
        <is>
          <t>Trap reach (studs)</t>
        </is>
      </c>
      <c r="B295" s="81" t="n">
        <v>3</v>
      </c>
    </row>
    <row r="296">
      <c r="A296" s="81" t="inlineStr">
        <is>
          <t>Trap line traps</t>
        </is>
      </c>
      <c r="B296" s="81" t="n">
        <v>6</v>
      </c>
    </row>
    <row r="297">
      <c r="A297" s="81" t="inlineStr">
        <is>
          <t>Heavy x</t>
        </is>
      </c>
      <c r="B297" s="81" t="n">
        <v>3</v>
      </c>
    </row>
    <row r="298">
      <c r="A298" s="81" t="inlineStr">
        <is>
          <t>Legend x</t>
        </is>
      </c>
      <c r="B298" s="81" t="n">
        <v>3</v>
      </c>
    </row>
    <row r="299">
      <c r="A299" s="81" t="inlineStr">
        <is>
          <t>Legend HP x</t>
        </is>
      </c>
      <c r="B299" s="81" t="n">
        <v>3</v>
      </c>
    </row>
    <row r="300">
      <c r="A300" s="81" t="inlineStr">
        <is>
          <t>Legend dart every (s)</t>
        </is>
      </c>
      <c r="B300" s="81" t="n">
        <v>12</v>
      </c>
    </row>
    <row r="301">
      <c r="A301" s="81" t="inlineStr">
        <is>
          <t>Legend dart mark %</t>
        </is>
      </c>
      <c r="B301" s="81" t="n">
        <v>25</v>
      </c>
    </row>
    <row r="302">
      <c r="A302" s="81" t="inlineStr">
        <is>
          <t>Legend dart (s)</t>
        </is>
      </c>
      <c r="B302" s="81" t="n">
        <v>8</v>
      </c>
    </row>
    <row r="303">
      <c r="A303" s="81" t="inlineStr">
        <is>
          <t>Jeep speed</t>
        </is>
      </c>
      <c r="B303" s="81" t="n">
        <v>20</v>
      </c>
    </row>
    <row r="304">
      <c r="A304" s="81" t="inlineStr">
        <is>
          <t>Ranger guard reach (studs)</t>
        </is>
      </c>
      <c r="B304" s="81" t="n">
        <v>10</v>
      </c>
    </row>
    <row r="305">
      <c r="A305" s="81" t="inlineStr">
        <is>
          <t>Walker cap total</t>
        </is>
      </c>
      <c r="B305" s="81" t="n">
        <v>96</v>
      </c>
      <c r="C305" s="81" t="inlineStr">
        <is>
          <t>walkers out on the whole server: a side's cap = min(Walker cap per side, max(8, floor(this / sides))); co-op and 2-3 camps keep 24, a 10-camp Bone Rush 9 each; walkers never count toward the dino cap (Shared/Walker.sideCap, #354)</t>
        </is>
      </c>
    </row>
    <row r="306">
      <c r="A306" s="81" t="inlineStr">
        <is>
          <t>Co-op leak cap share</t>
        </is>
      </c>
      <c r="B306" s="81" t="n">
        <v>0.25</v>
      </c>
      <c r="C306" s="81" t="inlineStr">
        <is>
          <t>co-op only: a non-boss dino's leak costs at most this share of the starting Fence, ⌈⌉, min 1; bosses in full; battles use #267's drain (Shared/Pace.coopLeak, #357)</t>
        </is>
      </c>
    </row>
    <row r="307">
      <c r="A307" s="81" t="inlineStr">
        <is>
          <t>Amber scale</t>
        </is>
      </c>
      <c r="B307" s="81" t="n">
        <v>1000</v>
      </c>
      <c r="C307" s="81" t="inlineStr">
        <is>
          <t>x every Amber value was multiplied by once (PLAN 10a T134, #394; tools/amber_rescale.py); saves older than this are migrated once by Shared/Profile (amberScale)</t>
        </is>
      </c>
    </row>
    <row r="308">
      <c r="A308" s="111" t="inlineStr">
        <is>
          <t>HUNTER BODIES</t>
        </is>
      </c>
    </row>
    <row r="309">
      <c r="A309" s="112" t="inlineStr">
        <is>
          <t>Player walk speed</t>
        </is>
      </c>
      <c r="B309" s="113" t="n">
        <v>16</v>
      </c>
      <c r="C309" s="114" t="inlineStr">
        <is>
          <t>studs/s: a player with no hunter picked (Roblox default), and the body parity reference speed (PLAN 10a T135, #365)</t>
        </is>
      </c>
    </row>
    <row r="310">
      <c r="A310" s="112" t="inlineStr">
        <is>
          <t>Body speed weight</t>
        </is>
      </c>
      <c r="B310" s="113" t="n">
        <v>1.5</v>
      </c>
      <c r="C310" s="114" t="inlineStr">
        <is>
          <t>body score = Max HP / Player max health x (Walk speed / Player walk speed) ^ this (#365)</t>
        </is>
      </c>
    </row>
    <row r="311">
      <c r="A311" s="112" t="inlineStr">
        <is>
          <t>Body parity max</t>
        </is>
      </c>
      <c r="B311" s="113" t="n">
        <v>1.15</v>
      </c>
      <c r="C311" s="114" t="inlineStr">
        <is>
          <t>x the exporter refuses Hunter Stats whose best body score / worst is above this (the #235 bar, #365)</t>
        </is>
      </c>
    </row>
    <row r="312">
      <c r="A312" s="112" t="inlineStr">
        <is>
          <t>Trained health max %</t>
        </is>
      </c>
      <c r="B312" s="113" t="n">
        <v>10</v>
      </c>
      <c r="C312" s="114" t="inlineStr">
        <is>
          <t>% most trained Health adds to a hunter's Max HP (account-wide training, #370; Shared/HunterStats caps it)</t>
        </is>
      </c>
    </row>
    <row r="313">
      <c r="A313" s="112" t="inlineStr">
        <is>
          <t>Trained speed max %</t>
        </is>
      </c>
      <c r="B313" s="113" t="n">
        <v>15</v>
      </c>
      <c r="C313" s="114" t="inlineStr">
        <is>
          <t>% most trained Speed adds to a hunter's Walk speed (#370; Shared/HunterStats caps it)</t>
        </is>
      </c>
    </row>
    <row r="314">
      <c r="A314" s="111" t="inlineStr">
        <is>
          <t>HUNTER KIT</t>
        </is>
      </c>
    </row>
    <row r="315">
      <c r="A315" s="112" t="inlineStr">
        <is>
          <t>Trained reach max %</t>
        </is>
      </c>
      <c r="B315" s="113" t="n">
        <v>20</v>
      </c>
      <c r="C315" s="114" t="inlineStr">
        <is>
          <t>% most trained Reach adds to a hunter's melee reach (account-wide training, #370; +20 % kept, #395; Shared/HunterKit caps it)</t>
        </is>
      </c>
    </row>
    <row r="316">
      <c r="A316" s="112" t="inlineStr">
        <is>
          <t>Kit hunter slow max %</t>
        </is>
      </c>
      <c r="B316" s="113" t="n">
        <v>30</v>
      </c>
      <c r="C316" s="114" t="inlineStr">
        <is>
          <t>% a melee or grenade may slow an enemy hunter at most; the exporter refuses more, and any stun or knockback on hunters (#368; Shared/HunterKit caps it too)</t>
        </is>
      </c>
    </row>
    <row r="317">
      <c r="A317" s="112" t="inlineStr">
        <is>
          <t>Kit hunter slow max (s)</t>
        </is>
      </c>
      <c r="B317" s="113" t="n">
        <v>2</v>
      </c>
      <c r="C317" s="114" t="inlineStr">
        <is>
          <t>s a melee or grenade slow may last on an enemy hunter at most (#368)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  <c r="AA4" s="81" t="inlineStr">
        <is>
          <t>Near track (studs)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100000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150000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100000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150000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300000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200000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250000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300000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500000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500000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  <row r="21">
      <c r="A21" s="81" t="inlineStr">
        <is>
          <t>Bone Totem</t>
        </is>
      </c>
      <c r="B21" s="81" t="inlineStr">
        <is>
          <t>Bones charge it: a roar, buffs or cash</t>
        </is>
      </c>
      <c r="C21" s="81" t="n">
        <v>600</v>
      </c>
      <c r="D21" s="81" t="n">
        <v>60</v>
      </c>
      <c r="E21" s="81" t="n">
        <v>0</v>
      </c>
      <c r="F21" s="81" t="n">
        <v>1</v>
      </c>
      <c r="G21" s="81">
        <f>D21*E21*F21</f>
        <v/>
      </c>
      <c r="H21" s="81" t="n">
        <v>24</v>
      </c>
      <c r="I21" s="81" t="inlineStr">
        <is>
          <t>Yes</t>
        </is>
      </c>
      <c r="J21" s="81" t="n">
        <v>0</v>
      </c>
      <c r="K21" s="81" t="inlineStr">
        <is>
          <t>Bones taken near it charge it; full = Spirit Roar (area, breaks 2). Never adds Bones to any score. TOWERS_LATER.md.</t>
        </is>
      </c>
      <c r="L21" s="81" t="n">
        <v>0</v>
      </c>
      <c r="M21" s="81" t="n">
        <v>0</v>
      </c>
      <c r="N21" s="81" t="n">
        <v>450000</v>
      </c>
      <c r="O21" s="81" t="inlineStr">
        <is>
          <t>TOTEM</t>
        </is>
      </c>
      <c r="P21" s="81" t="n">
        <v>200</v>
      </c>
      <c r="Q21" s="81" t="n">
        <v>0</v>
      </c>
      <c r="R21" s="81" t="n">
        <v>0</v>
      </c>
      <c r="Z21" s="81" t="n"/>
    </row>
    <row r="22">
      <c r="A22" s="81" t="inlineStr">
        <is>
          <t>Spotter Blimp</t>
        </is>
      </c>
      <c r="B22" s="81" t="inlineStr">
        <is>
          <t>Flies your track: a door gun, a searchlight or cargo</t>
        </is>
      </c>
      <c r="C22" s="81" t="n">
        <v>600</v>
      </c>
      <c r="D22" s="81" t="n">
        <v>5</v>
      </c>
      <c r="E22" s="81" t="n">
        <v>2</v>
      </c>
      <c r="F22" s="81" t="n">
        <v>1</v>
      </c>
      <c r="G22" s="81">
        <f>D22*E22*F22</f>
        <v/>
      </c>
      <c r="H22" s="81" t="n">
        <v>14</v>
      </c>
      <c r="I22" s="81" t="inlineStr">
        <is>
          <t>Yes</t>
        </is>
      </c>
      <c r="J22" s="81" t="n">
        <v>0</v>
      </c>
      <c r="K22" s="81" t="inlineStr">
        <is>
          <t>Its mooring mast is placed like any tower; the blimp flies your track there and back. Can't be damaged (#148).</t>
        </is>
      </c>
      <c r="L22" s="81" t="n">
        <v>0</v>
      </c>
      <c r="M22" s="81" t="n">
        <v>0</v>
      </c>
      <c r="N22" s="81" t="n">
        <v>400000</v>
      </c>
      <c r="O22" s="81" t="inlineStr">
        <is>
          <t>BLIMP</t>
        </is>
      </c>
      <c r="P22" s="81" t="n">
        <v>0</v>
      </c>
      <c r="Q22" s="81" t="n">
        <v>0</v>
      </c>
      <c r="R22" s="81" t="n">
        <v>0</v>
      </c>
      <c r="T22" s="81" t="inlineStr">
        <is>
          <t>Yes</t>
        </is>
      </c>
    </row>
    <row r="23">
      <c r="A23" s="81" t="inlineStr">
        <is>
          <t>Meteor Beacon</t>
        </is>
      </c>
      <c r="B23" s="81" t="inlineStr">
        <is>
          <t>Meteors on the biggest bunch: area hits and burning craters</t>
        </is>
      </c>
      <c r="C23" s="81" t="n">
        <v>600</v>
      </c>
      <c r="D23" s="81" t="n">
        <v>40</v>
      </c>
      <c r="E23" s="81" t="n">
        <v>0.125</v>
      </c>
      <c r="F23" s="81" t="n">
        <v>6</v>
      </c>
      <c r="G23" s="81">
        <f>D23*E23*F23</f>
        <v/>
      </c>
      <c r="H23" s="81" t="n">
        <v>999</v>
      </c>
      <c r="I23" s="81" t="inlineStr">
        <is>
          <t>No</t>
        </is>
      </c>
      <c r="J23" s="81" t="n">
        <v>0</v>
      </c>
      <c r="K23" s="81" t="inlineStr">
        <is>
          <t>Every 8 s calls a meteor on the biggest bunch of dinos on your side: area hit + burning crater. Ground only.</t>
        </is>
      </c>
      <c r="L23" s="81" t="n">
        <v>8</v>
      </c>
      <c r="M23" s="81" t="n">
        <v>0</v>
      </c>
      <c r="N23" s="81" t="n">
        <v>600000</v>
      </c>
      <c r="O23" s="81" t="inlineStr">
        <is>
          <t>METEOR</t>
        </is>
      </c>
      <c r="P23" s="81" t="n">
        <v>150</v>
      </c>
      <c r="Q23" s="81" t="n">
        <v>0</v>
      </c>
      <c r="R23" s="81" t="n">
        <v>0</v>
      </c>
    </row>
    <row r="24">
      <c r="A24" s="81" t="inlineStr">
        <is>
          <t>Volcano Vent</t>
        </is>
      </c>
      <c r="B24" s="81" t="inlineStr">
        <is>
          <t>Lava on one stretch of track: burns, shoves, crust</t>
        </is>
      </c>
      <c r="C24" s="81" t="n">
        <v>600</v>
      </c>
      <c r="D24" s="81" t="n">
        <v>30</v>
      </c>
      <c r="E24" s="81" t="n">
        <v>0.0833</v>
      </c>
      <c r="F24" s="81" t="n">
        <v>4</v>
      </c>
      <c r="G24" s="81">
        <f>D24*E24*F24</f>
        <v/>
      </c>
      <c r="H24" s="81" t="n">
        <v>20</v>
      </c>
      <c r="I24" s="81" t="inlineStr">
        <is>
          <t>No</t>
        </is>
      </c>
      <c r="J24" s="81" t="n">
        <v>0</v>
      </c>
      <c r="K24" s="81" t="inlineStr">
        <is>
          <t>Erupts every 12 s: lava floods its stretch of track for 6 s; dinos burn and are shoved aside.</t>
        </is>
      </c>
      <c r="L24" s="81" t="n">
        <v>0</v>
      </c>
      <c r="M24" s="81" t="n">
        <v>0</v>
      </c>
      <c r="N24" s="81" t="n">
        <v>600000</v>
      </c>
      <c r="O24" s="81" t="inlineStr">
        <is>
          <t>VENT</t>
        </is>
      </c>
      <c r="P24" s="81" t="n">
        <v>200</v>
      </c>
      <c r="Q24" s="81" t="n">
        <v>0</v>
      </c>
      <c r="R24" s="81" t="n">
        <v>0</v>
      </c>
      <c r="AA24" s="81" t="n">
        <v>8</v>
      </c>
    </row>
    <row r="25">
      <c r="A25" s="81" t="inlineStr">
        <is>
          <t>Ranger Station</t>
        </is>
      </c>
      <c r="B25" s="81" t="inlineStr">
        <is>
          <t>Rangers at posts on the track: shoot, trap, guard</t>
        </is>
      </c>
      <c r="C25" s="81" t="n">
        <v>600</v>
      </c>
      <c r="D25" s="81" t="n">
        <v>10</v>
      </c>
      <c r="E25" s="81" t="n">
        <v>2.3</v>
      </c>
      <c r="F25" s="81" t="n">
        <v>1</v>
      </c>
      <c r="G25" s="81">
        <f>D25*E25*F25</f>
        <v/>
      </c>
      <c r="H25" s="81" t="n">
        <v>30</v>
      </c>
      <c r="I25" s="81" t="inlineStr">
        <is>
          <t>No</t>
        </is>
      </c>
      <c r="J25" s="81" t="n">
        <v>0</v>
      </c>
      <c r="K25" s="81" t="inlineStr">
        <is>
          <t>Trains rangers who stand at posts on the track and shoot; bitten too much, they go back to the cabin to patch up.</t>
        </is>
      </c>
      <c r="L25" s="81" t="n">
        <v>0</v>
      </c>
      <c r="M25" s="81" t="n">
        <v>0</v>
      </c>
      <c r="N25" s="81" t="n">
        <v>500000</v>
      </c>
      <c r="O25" s="81" t="inlineStr">
        <is>
          <t>RANGER</t>
        </is>
      </c>
      <c r="P25" s="81" t="n">
        <v>200</v>
      </c>
      <c r="Q25" s="81" t="n">
        <v>0</v>
      </c>
      <c r="R25" s="81" t="n">
        <v>0</v>
      </c>
      <c r="Z25" s="81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Y49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  <c r="EH4" s="81" t="inlineStr">
        <is>
          <t>Charge x</t>
        </is>
      </c>
      <c r="EI4" s="81" t="inlineStr">
        <is>
          <t>Hunter charge x</t>
        </is>
      </c>
      <c r="EJ4" s="81" t="inlineStr">
        <is>
          <t>Boss charge %</t>
        </is>
      </c>
      <c r="EK4" s="81" t="inlineStr">
        <is>
          <t>Bounty charge x</t>
        </is>
      </c>
      <c r="EL4" s="81" t="inlineStr">
        <is>
          <t>Charge needed x</t>
        </is>
      </c>
      <c r="EM4" s="81" t="inlineStr">
        <is>
          <t>Roar echoes</t>
        </is>
      </c>
      <c r="EN4" s="81" t="inlineStr">
        <is>
          <t>Roar whole track</t>
        </is>
      </c>
      <c r="EO4" s="81" t="inlineStr">
        <is>
          <t>Skulls</t>
        </is>
      </c>
      <c r="EP4" s="81" t="inlineStr">
        <is>
          <t>Full guard (s)</t>
        </is>
      </c>
      <c r="EQ4" s="81" t="inlineStr">
        <is>
          <t>Spirit hunters</t>
        </is>
      </c>
      <c r="ER4" s="81" t="inlineStr">
        <is>
          <t>Full cash</t>
        </is>
      </c>
      <c r="ES4" s="81" t="inlineStr">
        <is>
          <t>Payday cash</t>
        </is>
      </c>
      <c r="ET4" s="81" t="inlineStr">
        <is>
          <t>Treasure</t>
        </is>
      </c>
      <c r="EU4" s="81" t="inlineStr">
        <is>
          <t>Charge aura damage %</t>
        </is>
      </c>
      <c r="EV4" s="81" t="inlineStr">
        <is>
          <t>Hunter ability cooldown x</t>
        </is>
      </c>
      <c r="EW4" s="81" t="inlineStr">
        <is>
          <t>Side aura half</t>
        </is>
      </c>
      <c r="EX4" s="81" t="inlineStr">
        <is>
          <t>Bone cash</t>
        </is>
      </c>
      <c r="EY4" s="81" t="inlineStr">
        <is>
          <t>Bank cash per charge</t>
        </is>
      </c>
      <c r="EZ4" s="81" t="inlineStr">
        <is>
          <t>Finishing roar</t>
        </is>
      </c>
      <c r="FA4" s="81" t="inlineStr">
        <is>
          <t>Aura range %</t>
        </is>
      </c>
      <c r="FB4" s="81" t="inlineStr">
        <is>
          <t>Blimp speed x</t>
        </is>
      </c>
      <c r="FC4" s="81" t="inlineStr">
        <is>
          <t>Lap chests</t>
        </is>
      </c>
      <c r="FD4" s="81" t="inlineStr">
        <is>
          <t>Lap repairs</t>
        </is>
      </c>
      <c r="FE4" s="81" t="inlineStr">
        <is>
          <t>Crate heal %</t>
        </is>
      </c>
      <c r="FF4" s="81" t="inlineStr">
        <is>
          <t>Paratroopers</t>
        </is>
      </c>
      <c r="FG4" s="81" t="inlineStr">
        <is>
          <t>Airlift</t>
        </is>
      </c>
      <c r="FH4" s="81" t="inlineStr">
        <is>
          <t>Throw miss %</t>
        </is>
      </c>
      <c r="FI4" s="81" t="inlineStr">
        <is>
          <t>Aura reach x</t>
        </is>
      </c>
      <c r="FJ4" s="81" t="inlineStr">
        <is>
          <t>Dino outlines</t>
        </is>
      </c>
      <c r="FK4" s="81" t="inlineStr">
        <is>
          <t>Bombing run</t>
        </is>
      </c>
      <c r="FL4" s="81" t="inlineStr">
        <is>
          <t>Hook every (s)</t>
        </is>
      </c>
      <c r="FM4" s="81" t="inlineStr">
        <is>
          <t>Meteors</t>
        </is>
      </c>
      <c r="FN4" s="81" t="inlineStr">
        <is>
          <t>Scatter</t>
        </is>
      </c>
      <c r="FO4" s="81" t="inlineStr">
        <is>
          <t>Meteor every (s)</t>
        </is>
      </c>
      <c r="FP4" s="81" t="inlineStr">
        <is>
          <t>Starfall every (s)</t>
        </is>
      </c>
      <c r="FQ4" s="81" t="inlineStr">
        <is>
          <t>Crater (s)</t>
        </is>
      </c>
      <c r="FR4" s="81" t="inlineStr">
        <is>
          <t>Crater amp %</t>
        </is>
      </c>
      <c r="FS4" s="81" t="inlineStr">
        <is>
          <t>Bite miss %</t>
        </is>
      </c>
      <c r="FT4" s="81" t="inlineStr">
        <is>
          <t>Crater freeze (s)</t>
        </is>
      </c>
      <c r="FU4" s="81" t="inlineStr">
        <is>
          <t>Fire line</t>
        </is>
      </c>
      <c r="FV4" s="81" t="inlineStr">
        <is>
          <t>Burn streak</t>
        </is>
      </c>
      <c r="FW4" s="81" t="inlineStr">
        <is>
          <t>Extinction</t>
        </is>
      </c>
      <c r="FX4" s="81" t="inlineStr">
        <is>
          <t>Side slow %</t>
        </is>
      </c>
      <c r="FY4" s="81" t="inlineStr">
        <is>
          <t>Side slow (s)</t>
        </is>
      </c>
      <c r="FZ4" s="81" t="inlineStr">
        <is>
          <t>Biggest breaks +</t>
        </is>
      </c>
      <c r="GA4" s="81" t="inlineStr">
        <is>
          <t>Flow (s)</t>
        </is>
      </c>
      <c r="GB4" s="81" t="inlineStr">
        <is>
          <t>Flow length x</t>
        </is>
      </c>
      <c r="GC4" s="81" t="inlineStr">
        <is>
          <t>Burn breaks</t>
        </is>
      </c>
      <c r="GD4" s="81" t="inlineStr">
        <is>
          <t>Geyser every (s)</t>
        </is>
      </c>
      <c r="GE4" s="81" t="inlineStr">
        <is>
          <t>Extra vents</t>
        </is>
      </c>
      <c r="GF4" s="81" t="inlineStr">
        <is>
          <t>Lava bombs</t>
        </is>
      </c>
      <c r="GG4" s="81" t="inlineStr">
        <is>
          <t>Boss erupt</t>
        </is>
      </c>
      <c r="GH4" s="81" t="inlineStr">
        <is>
          <t>Side throw miss %</t>
        </is>
      </c>
      <c r="GI4" s="81" t="inlineStr">
        <is>
          <t>Supervolcano</t>
        </is>
      </c>
      <c r="GJ4" s="81" t="inlineStr">
        <is>
          <t>Crust</t>
        </is>
      </c>
      <c r="GK4" s="81" t="inlineStr">
        <is>
          <t>Crust DPS</t>
        </is>
      </c>
      <c r="GL4" s="81" t="inlineStr">
        <is>
          <t>Maze (studs)</t>
        </is>
      </c>
      <c r="GM4" s="81" t="inlineStr">
        <is>
          <t>Freeze flow (s)</t>
        </is>
      </c>
      <c r="GN4" s="81" t="inlineStr">
        <is>
          <t>Throw resist %</t>
        </is>
      </c>
      <c r="GO4" s="81" t="inlineStr">
        <is>
          <t>Walker regen</t>
        </is>
      </c>
      <c r="GP4" s="81" t="inlineStr">
        <is>
          <t>Heavy ranger</t>
        </is>
      </c>
      <c r="GQ4" s="81" t="inlineStr">
        <is>
          <t>Legend</t>
        </is>
      </c>
      <c r="GR4" s="81" t="inlineStr">
        <is>
          <t>Jeep</t>
        </is>
      </c>
      <c r="GS4" s="81" t="inlineStr">
        <is>
          <t>Trap</t>
        </is>
      </c>
      <c r="GT4" s="81" t="inlineStr">
        <is>
          <t>Trap every (s)</t>
        </is>
      </c>
      <c r="GU4" s="81" t="inlineStr">
        <is>
          <t>Trap stun (s)</t>
        </is>
      </c>
      <c r="GV4" s="81" t="inlineStr">
        <is>
          <t>Trap line</t>
        </is>
      </c>
      <c r="GW4" s="81" t="inlineStr">
        <is>
          <t>Decoy (s)</t>
        </is>
      </c>
      <c r="GX4" s="81" t="inlineStr">
        <is>
          <t>Post aura</t>
        </is>
      </c>
      <c r="GY4" s="81" t="inlineStr">
        <is>
          <t>Boss round guard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  <row r="356">
      <c r="A356" s="81" t="inlineStr">
        <is>
          <t>Bone Totem</t>
        </is>
      </c>
      <c r="B356" s="81" t="inlineStr">
        <is>
          <t>Roar</t>
        </is>
      </c>
      <c r="C356" s="81" t="inlineStr">
        <is>
          <t>damage</t>
        </is>
      </c>
      <c r="D356" s="81" t="n">
        <v>1</v>
      </c>
      <c r="E356" s="81">
        <f>ROUND('Towers'!$C$21*POWER('Tuning'!$B$12,D356),0)</f>
        <v/>
      </c>
      <c r="F356" s="81">
        <f>'Towers'!$C$21+E356</f>
        <v/>
      </c>
      <c r="G356" s="110" t="n">
        <v>1.6</v>
      </c>
      <c r="H356" s="110" t="n">
        <v>1</v>
      </c>
      <c r="I356" s="110" t="n">
        <v>1</v>
      </c>
      <c r="J356" s="81">
        <f>'Towers'!$G$21*G356*H356*I356</f>
        <v/>
      </c>
      <c r="K356" s="81">
        <f>IF(J356=0,0,F356/J356)</f>
        <v/>
      </c>
      <c r="L356" s="110" t="n">
        <v>1</v>
      </c>
      <c r="M356" s="81" t="inlineStr">
        <is>
          <t>Louder Roar</t>
        </is>
      </c>
      <c r="DN356" s="81" t="n"/>
    </row>
    <row r="357">
      <c r="A357" s="81" t="inlineStr">
        <is>
          <t>Bone Totem</t>
        </is>
      </c>
      <c r="B357" s="81" t="inlineStr">
        <is>
          <t>Roar</t>
        </is>
      </c>
      <c r="C357" s="81" t="inlineStr">
        <is>
          <t>damage</t>
        </is>
      </c>
      <c r="D357" s="81" t="n">
        <v>2</v>
      </c>
      <c r="E357" s="81">
        <f>ROUND('Towers'!$C$21*POWER('Tuning'!$B$12,D357),0)</f>
        <v/>
      </c>
      <c r="F357" s="81">
        <f>F356+E357</f>
        <v/>
      </c>
      <c r="G357" s="110" t="n">
        <v>2.2</v>
      </c>
      <c r="H357" s="110" t="n">
        <v>1</v>
      </c>
      <c r="I357" s="110" t="n">
        <v>1</v>
      </c>
      <c r="J357" s="81">
        <f>'Towers'!$G$21*G357*H357*I357</f>
        <v/>
      </c>
      <c r="K357" s="81">
        <f>IF(J357=0,0,F357/J357)</f>
        <v/>
      </c>
      <c r="L357" s="110" t="n">
        <v>1</v>
      </c>
      <c r="M357" s="81" t="inlineStr">
        <is>
          <t>Quick Charge</t>
        </is>
      </c>
      <c r="DN357" s="81" t="n"/>
      <c r="DP357" s="81" t="n"/>
      <c r="DR357" s="81" t="n"/>
      <c r="EL357" s="81" t="n">
        <v>0.8</v>
      </c>
    </row>
    <row r="358">
      <c r="A358" s="81" t="inlineStr">
        <is>
          <t>Bone Totem</t>
        </is>
      </c>
      <c r="B358" s="81" t="inlineStr">
        <is>
          <t>Roar</t>
        </is>
      </c>
      <c r="C358" s="81" t="inlineStr">
        <is>
          <t>damage</t>
        </is>
      </c>
      <c r="D358" s="81" t="n">
        <v>3</v>
      </c>
      <c r="E358" s="81">
        <f>ROUND('Towers'!$C$21*POWER('Tuning'!$B$12,D358),0)</f>
        <v/>
      </c>
      <c r="F358" s="81">
        <f>F357+E358</f>
        <v/>
      </c>
      <c r="G358" s="110" t="n">
        <v>4.2</v>
      </c>
      <c r="H358" s="110" t="n">
        <v>1</v>
      </c>
      <c r="I358" s="110" t="n">
        <v>1</v>
      </c>
      <c r="J358" s="81">
        <f>'Towers'!$G$21*G358*H358*I358</f>
        <v/>
      </c>
      <c r="K358" s="81">
        <f>IF(J358=0,0,F358/J358)</f>
        <v/>
      </c>
      <c r="L358" s="110" t="n">
        <v>1</v>
      </c>
      <c r="M358" s="81" t="inlineStr">
        <is>
          <t>Thunder Roar</t>
        </is>
      </c>
      <c r="N358" s="81" t="inlineStr">
        <is>
          <t>Yes</t>
        </is>
      </c>
      <c r="BJ358" s="81" t="n">
        <v>3</v>
      </c>
      <c r="DN358" s="81" t="n"/>
      <c r="DP358" s="81" t="n"/>
      <c r="DR358" s="81" t="n"/>
      <c r="EL358" s="81" t="n">
        <v>0.8</v>
      </c>
    </row>
    <row r="359">
      <c r="A359" s="81" t="inlineStr">
        <is>
          <t>Bone Totem</t>
        </is>
      </c>
      <c r="B359" s="81" t="inlineStr">
        <is>
          <t>Roar</t>
        </is>
      </c>
      <c r="C359" s="81" t="inlineStr">
        <is>
          <t>damage</t>
        </is>
      </c>
      <c r="D359" s="81" t="n">
        <v>4</v>
      </c>
      <c r="E359" s="81">
        <f>ROUND('Towers'!$C$21*POWER('Tuning'!$B$12,D359),0)</f>
        <v/>
      </c>
      <c r="F359" s="81">
        <f>F358+E359</f>
        <v/>
      </c>
      <c r="G359" s="110" t="n">
        <v>0.9</v>
      </c>
      <c r="H359" s="110" t="n">
        <v>1</v>
      </c>
      <c r="I359" s="110" t="n">
        <v>1</v>
      </c>
      <c r="J359" s="81">
        <f>J358*G359*H359*I359</f>
        <v/>
      </c>
      <c r="K359" s="81">
        <f>IF(J359=0,0,F359/J359)</f>
        <v/>
      </c>
      <c r="L359" s="110" t="n">
        <v>1</v>
      </c>
      <c r="M359" s="81" t="inlineStr">
        <is>
          <t>Echo Roar</t>
        </is>
      </c>
      <c r="N359" s="81" t="n"/>
      <c r="CI359" s="81" t="inlineStr">
        <is>
          <t>A</t>
        </is>
      </c>
      <c r="CJ359" s="81" t="inlineStr">
        <is>
          <t>The roar hits twice</t>
        </is>
      </c>
      <c r="EM359" s="81" t="n">
        <v>1</v>
      </c>
    </row>
    <row r="360">
      <c r="A360" s="81" t="inlineStr">
        <is>
          <t>Bone Totem</t>
        </is>
      </c>
      <c r="B360" s="81" t="inlineStr">
        <is>
          <t>Roar</t>
        </is>
      </c>
      <c r="C360" s="81" t="inlineStr">
        <is>
          <t>damage</t>
        </is>
      </c>
      <c r="D360" s="81" t="n">
        <v>5</v>
      </c>
      <c r="E360" s="81">
        <f>ROUND('Towers'!$C$21*POWER('Tuning'!$B$12,D360),0)</f>
        <v/>
      </c>
      <c r="F360" s="81">
        <f>F359+E360</f>
        <v/>
      </c>
      <c r="G360" s="110" t="n">
        <v>0.8</v>
      </c>
      <c r="H360" s="110" t="n">
        <v>1</v>
      </c>
      <c r="I360" s="110" t="n">
        <v>1</v>
      </c>
      <c r="J360" s="81">
        <f>J359*G360*H360*I360</f>
        <v/>
      </c>
      <c r="K360" s="81">
        <f>IF(J360=0,0,F360/J360)</f>
        <v/>
      </c>
      <c r="L360" s="110" t="n">
        <v>1</v>
      </c>
      <c r="M360" s="81" t="inlineStr">
        <is>
          <t>Ancient Roar</t>
        </is>
      </c>
      <c r="CI360" s="81" t="inlineStr">
        <is>
          <t>A</t>
        </is>
      </c>
      <c r="CJ360" s="81" t="inlineStr">
        <is>
          <t>The roar reaches your whole track</t>
        </is>
      </c>
      <c r="EA360" s="81" t="n"/>
      <c r="EN360" s="81" t="inlineStr">
        <is>
          <t>Yes</t>
        </is>
      </c>
    </row>
    <row r="361">
      <c r="A361" s="81" t="inlineStr">
        <is>
          <t>Bone Totem</t>
        </is>
      </c>
      <c r="B361" s="81" t="inlineStr">
        <is>
          <t>Ancestors</t>
        </is>
      </c>
      <c r="C361" s="81" t="inlineStr">
        <is>
          <t>buffs</t>
        </is>
      </c>
      <c r="D361" s="81" t="n">
        <v>1</v>
      </c>
      <c r="E361" s="81">
        <f>ROUND('Towers'!$C$21*POWER('Tuning'!$B$12,D361),0)</f>
        <v/>
      </c>
      <c r="F361" s="81">
        <f>'Towers'!$C$21+E361</f>
        <v/>
      </c>
      <c r="G361" s="110" t="n">
        <v>1</v>
      </c>
      <c r="H361" s="110" t="n">
        <v>1</v>
      </c>
      <c r="I361" s="110" t="n">
        <v>1</v>
      </c>
      <c r="J361" s="81">
        <f>'Towers'!$G$21*G361*H361*I361</f>
        <v/>
      </c>
      <c r="K361" s="81">
        <f>IF(J361=0,0,F361/J361)</f>
        <v/>
      </c>
      <c r="L361" s="110" t="n">
        <v>1</v>
      </c>
      <c r="M361" s="81" t="inlineStr">
        <is>
          <t>Old Bones</t>
        </is>
      </c>
      <c r="EU361" s="81" t="n">
        <v>20</v>
      </c>
    </row>
    <row r="362">
      <c r="A362" s="81" t="inlineStr">
        <is>
          <t>Bone Totem</t>
        </is>
      </c>
      <c r="B362" s="81" t="inlineStr">
        <is>
          <t>Ancestors</t>
        </is>
      </c>
      <c r="C362" s="81" t="inlineStr">
        <is>
          <t>buffs</t>
        </is>
      </c>
      <c r="D362" s="81" t="n">
        <v>2</v>
      </c>
      <c r="E362" s="81">
        <f>ROUND('Towers'!$C$21*POWER('Tuning'!$B$12,D362),0)</f>
        <v/>
      </c>
      <c r="F362" s="81">
        <f>F361+E362</f>
        <v/>
      </c>
      <c r="G362" s="110" t="n">
        <v>1</v>
      </c>
      <c r="H362" s="110" t="n">
        <v>1</v>
      </c>
      <c r="I362" s="110" t="n">
        <v>1</v>
      </c>
      <c r="J362" s="81">
        <f>'Towers'!$G$21*G362*H362*I362</f>
        <v/>
      </c>
      <c r="K362" s="81">
        <f>IF(J362=0,0,F362/J362)</f>
        <v/>
      </c>
      <c r="L362" s="110" t="n">
        <v>1</v>
      </c>
      <c r="M362" s="81" t="inlineStr">
        <is>
          <t>Shared Charge</t>
        </is>
      </c>
      <c r="DO362" s="81" t="n"/>
      <c r="DQ362" s="81" t="n"/>
      <c r="EI362" s="81" t="n">
        <v>2</v>
      </c>
      <c r="EU362" s="81" t="n">
        <v>20</v>
      </c>
    </row>
    <row r="363">
      <c r="A363" s="81" t="inlineStr">
        <is>
          <t>Bone Totem</t>
        </is>
      </c>
      <c r="B363" s="81" t="inlineStr">
        <is>
          <t>Ancestors</t>
        </is>
      </c>
      <c r="C363" s="81" t="inlineStr">
        <is>
          <t>buffs</t>
        </is>
      </c>
      <c r="D363" s="81" t="n">
        <v>3</v>
      </c>
      <c r="E363" s="81">
        <f>ROUND('Towers'!$C$21*POWER('Tuning'!$B$12,D363),0)</f>
        <v/>
      </c>
      <c r="F363" s="81">
        <f>F362+E363</f>
        <v/>
      </c>
      <c r="G363" s="110" t="n">
        <v>1</v>
      </c>
      <c r="H363" s="110" t="n">
        <v>1</v>
      </c>
      <c r="I363" s="110" t="n">
        <v>1</v>
      </c>
      <c r="J363" s="81">
        <f>'Towers'!$G$21*G363*H363*I363</f>
        <v/>
      </c>
      <c r="K363" s="81">
        <f>IF(J363=0,0,F363/J363)</f>
        <v/>
      </c>
      <c r="L363" s="110" t="n">
        <v>1</v>
      </c>
      <c r="M363" s="81" t="inlineStr">
        <is>
          <t>Spirit Guard</t>
        </is>
      </c>
      <c r="BJ363" s="81" t="n"/>
      <c r="DO363" s="81" t="n"/>
      <c r="DQ363" s="81" t="n"/>
      <c r="DS363" s="81" t="n"/>
      <c r="DZ363" s="81" t="n"/>
      <c r="EI363" s="81" t="n">
        <v>2</v>
      </c>
      <c r="EP363" s="81" t="n">
        <v>4</v>
      </c>
      <c r="EU363" s="81" t="n">
        <v>20</v>
      </c>
    </row>
    <row r="364">
      <c r="A364" s="81" t="inlineStr">
        <is>
          <t>Bone Totem</t>
        </is>
      </c>
      <c r="B364" s="81" t="inlineStr">
        <is>
          <t>Ancestors</t>
        </is>
      </c>
      <c r="C364" s="81" t="inlineStr">
        <is>
          <t>buffs</t>
        </is>
      </c>
      <c r="D364" s="81" t="n">
        <v>4</v>
      </c>
      <c r="E364" s="81">
        <f>ROUND('Towers'!$C$21*POWER('Tuning'!$B$12,D364),0)</f>
        <v/>
      </c>
      <c r="F364" s="81">
        <f>F363+E364</f>
        <v/>
      </c>
      <c r="G364" s="110" t="n">
        <v>1</v>
      </c>
      <c r="H364" s="110" t="n">
        <v>1</v>
      </c>
      <c r="I364" s="110" t="n">
        <v>1</v>
      </c>
      <c r="J364" s="81">
        <f>J363*G364*H364*I364</f>
        <v/>
      </c>
      <c r="K364" s="81">
        <f>IF(J364=0,0,F364/J364)</f>
        <v/>
      </c>
      <c r="L364" s="110" t="n">
        <v>1</v>
      </c>
      <c r="M364" s="81" t="inlineStr">
        <is>
          <t>War Paint</t>
        </is>
      </c>
      <c r="BJ364" s="81" t="n"/>
      <c r="CI364" s="81" t="inlineStr">
        <is>
          <t>A</t>
        </is>
      </c>
      <c r="CJ364" s="81" t="inlineStr">
        <is>
          <t>Hunters nearby +15% for 6 s when full</t>
        </is>
      </c>
      <c r="EG364" s="81" t="n">
        <v>15</v>
      </c>
    </row>
    <row r="365">
      <c r="A365" s="81" t="inlineStr">
        <is>
          <t>Bone Totem</t>
        </is>
      </c>
      <c r="B365" s="81" t="inlineStr">
        <is>
          <t>Ancestors</t>
        </is>
      </c>
      <c r="C365" s="81" t="inlineStr">
        <is>
          <t>buffs</t>
        </is>
      </c>
      <c r="D365" s="81" t="n">
        <v>5</v>
      </c>
      <c r="E365" s="81">
        <f>ROUND('Towers'!$C$21*POWER('Tuning'!$B$12,D365),0)</f>
        <v/>
      </c>
      <c r="F365" s="81">
        <f>F364+E365</f>
        <v/>
      </c>
      <c r="G365" s="110" t="n">
        <v>1</v>
      </c>
      <c r="H365" s="110" t="n">
        <v>1</v>
      </c>
      <c r="I365" s="110" t="n">
        <v>1</v>
      </c>
      <c r="J365" s="81">
        <f>J364*G365*H365*I365</f>
        <v/>
      </c>
      <c r="K365" s="81">
        <f>IF(J365=0,0,F365/J365)</f>
        <v/>
      </c>
      <c r="L365" s="110" t="n">
        <v>1</v>
      </c>
      <c r="M365" s="81" t="inlineStr">
        <is>
          <t>Spirit Hunters</t>
        </is>
      </c>
      <c r="BJ365" s="81" t="n"/>
      <c r="CI365" s="81" t="inlineStr">
        <is>
          <t>A</t>
        </is>
      </c>
      <c r="CJ365" s="81" t="inlineStr">
        <is>
          <t>3 ghost hunters fire for 6 s when full</t>
        </is>
      </c>
      <c r="DO365" s="81" t="n"/>
      <c r="DQ365" s="81" t="n"/>
      <c r="EQ365" s="81" t="inlineStr">
        <is>
          <t>Yes</t>
        </is>
      </c>
    </row>
    <row r="366">
      <c r="A366" s="81" t="inlineStr">
        <is>
          <t>Bone Totem</t>
        </is>
      </c>
      <c r="B366" s="81" t="inlineStr">
        <is>
          <t>Bone Pile</t>
        </is>
      </c>
      <c r="C366" s="81" t="inlineStr">
        <is>
          <t>cash</t>
        </is>
      </c>
      <c r="D366" s="81" t="n">
        <v>1</v>
      </c>
      <c r="E366" s="81">
        <f>ROUND('Towers'!$C$21*POWER('Tuning'!$B$12,D366),0)</f>
        <v/>
      </c>
      <c r="F366" s="81">
        <f>'Towers'!$C$21+E366</f>
        <v/>
      </c>
      <c r="G366" s="110" t="n">
        <v>1</v>
      </c>
      <c r="H366" s="110" t="n">
        <v>1</v>
      </c>
      <c r="I366" s="110" t="n">
        <v>1</v>
      </c>
      <c r="J366" s="81">
        <f>'Towers'!$G$21*G366*H366*I366</f>
        <v/>
      </c>
      <c r="K366" s="81">
        <f>IF(J366=0,0,F366/J366)</f>
        <v/>
      </c>
      <c r="L366" s="110" t="n">
        <v>1</v>
      </c>
      <c r="M366" s="81" t="inlineStr">
        <is>
          <t>Bone Collector</t>
        </is>
      </c>
      <c r="DV366" s="81" t="n"/>
      <c r="EX366" s="81" t="n">
        <v>8</v>
      </c>
    </row>
    <row r="367">
      <c r="A367" s="81" t="inlineStr">
        <is>
          <t>Bone Totem</t>
        </is>
      </c>
      <c r="B367" s="81" t="inlineStr">
        <is>
          <t>Bone Pile</t>
        </is>
      </c>
      <c r="C367" s="81" t="inlineStr">
        <is>
          <t>cash</t>
        </is>
      </c>
      <c r="D367" s="81" t="n">
        <v>2</v>
      </c>
      <c r="E367" s="81">
        <f>ROUND('Towers'!$C$21*POWER('Tuning'!$B$12,D367),0)</f>
        <v/>
      </c>
      <c r="F367" s="81">
        <f>F366+E367</f>
        <v/>
      </c>
      <c r="G367" s="110" t="n">
        <v>1</v>
      </c>
      <c r="H367" s="110" t="n">
        <v>1</v>
      </c>
      <c r="I367" s="110" t="n">
        <v>1</v>
      </c>
      <c r="J367" s="81">
        <f>'Towers'!$G$21*G367*H367*I367</f>
        <v/>
      </c>
      <c r="K367" s="81">
        <f>IF(J367=0,0,F367/J367)</f>
        <v/>
      </c>
      <c r="L367" s="110" t="n">
        <v>1</v>
      </c>
      <c r="M367" s="81" t="inlineStr">
        <is>
          <t>Trade Post</t>
        </is>
      </c>
      <c r="AE367" s="81" t="n"/>
      <c r="AF367" s="81" t="n"/>
      <c r="DV367" s="81" t="n"/>
      <c r="EX367" s="81" t="n">
        <v>26</v>
      </c>
    </row>
    <row r="368">
      <c r="A368" s="81" t="inlineStr">
        <is>
          <t>Bone Totem</t>
        </is>
      </c>
      <c r="B368" s="81" t="inlineStr">
        <is>
          <t>Bone Pile</t>
        </is>
      </c>
      <c r="C368" s="81" t="inlineStr">
        <is>
          <t>cash</t>
        </is>
      </c>
      <c r="D368" s="81" t="n">
        <v>3</v>
      </c>
      <c r="E368" s="81">
        <f>ROUND('Towers'!$C$21*POWER('Tuning'!$B$12,D368),0)</f>
        <v/>
      </c>
      <c r="F368" s="81">
        <f>F367+E368</f>
        <v/>
      </c>
      <c r="G368" s="110" t="n">
        <v>1</v>
      </c>
      <c r="H368" s="110" t="n">
        <v>1</v>
      </c>
      <c r="I368" s="110" t="n">
        <v>1</v>
      </c>
      <c r="J368" s="81">
        <f>'Towers'!$G$21*G368*H368*I368</f>
        <v/>
      </c>
      <c r="K368" s="81">
        <f>IF(J368=0,0,F368/J368)</f>
        <v/>
      </c>
      <c r="L368" s="110" t="n">
        <v>1</v>
      </c>
      <c r="M368" s="81" t="inlineStr">
        <is>
          <t>Bone Market</t>
        </is>
      </c>
      <c r="AE368" s="81" t="n"/>
      <c r="AF368" s="81" t="n"/>
      <c r="BY368" s="81" t="n"/>
      <c r="DN368" s="81" t="n"/>
      <c r="DV368" s="81" t="n"/>
      <c r="ER368" s="81" t="n">
        <v>120</v>
      </c>
      <c r="EX368" s="81" t="n">
        <v>26</v>
      </c>
    </row>
    <row r="369">
      <c r="A369" s="81" t="inlineStr">
        <is>
          <t>Bone Totem</t>
        </is>
      </c>
      <c r="B369" s="81" t="inlineStr">
        <is>
          <t>Bone Pile</t>
        </is>
      </c>
      <c r="C369" s="81" t="inlineStr">
        <is>
          <t>cash</t>
        </is>
      </c>
      <c r="D369" s="81" t="n">
        <v>4</v>
      </c>
      <c r="E369" s="81">
        <f>ROUND('Towers'!$C$21*POWER('Tuning'!$B$12,D369),0)</f>
        <v/>
      </c>
      <c r="F369" s="81">
        <f>F368+E369</f>
        <v/>
      </c>
      <c r="G369" s="110" t="n">
        <v>1</v>
      </c>
      <c r="H369" s="110" t="n">
        <v>1</v>
      </c>
      <c r="I369" s="110" t="n">
        <v>1</v>
      </c>
      <c r="J369" s="81">
        <f>J368*G369*H369*I369</f>
        <v/>
      </c>
      <c r="K369" s="81">
        <f>IF(J369=0,0,F369/J369)</f>
        <v/>
      </c>
      <c r="L369" s="110" t="n">
        <v>1</v>
      </c>
      <c r="M369" s="81" t="inlineStr">
        <is>
          <t>Rare Bones</t>
        </is>
      </c>
      <c r="CI369" s="81" t="inlineStr">
        <is>
          <t>A</t>
        </is>
      </c>
      <c r="CJ369" s="81" t="inlineStr">
        <is>
          <t>Bosses fill half the charge</t>
        </is>
      </c>
      <c r="DR369" s="81" t="n"/>
      <c r="DX369" s="81" t="n"/>
      <c r="EJ369" s="81" t="n">
        <v>50</v>
      </c>
    </row>
    <row r="370">
      <c r="A370" s="81" t="inlineStr">
        <is>
          <t>Bone Totem</t>
        </is>
      </c>
      <c r="B370" s="81" t="inlineStr">
        <is>
          <t>Bone Pile</t>
        </is>
      </c>
      <c r="C370" s="81" t="inlineStr">
        <is>
          <t>cash</t>
        </is>
      </c>
      <c r="D370" s="81" t="n">
        <v>5</v>
      </c>
      <c r="E370" s="81">
        <f>ROUND('Towers'!$C$21*POWER('Tuning'!$B$12,D370),0)</f>
        <v/>
      </c>
      <c r="F370" s="81">
        <f>F369+E370</f>
        <v/>
      </c>
      <c r="G370" s="110" t="n">
        <v>1</v>
      </c>
      <c r="H370" s="110" t="n">
        <v>1</v>
      </c>
      <c r="I370" s="110" t="n">
        <v>1</v>
      </c>
      <c r="J370" s="81">
        <f>J369*G370*H370*I370</f>
        <v/>
      </c>
      <c r="K370" s="81">
        <f>IF(J370=0,0,F370/J370)</f>
        <v/>
      </c>
      <c r="L370" s="110" t="n">
        <v>1</v>
      </c>
      <c r="M370" s="81" t="inlineStr">
        <is>
          <t>Camp Payday</t>
        </is>
      </c>
      <c r="CI370" s="81" t="inlineStr">
        <is>
          <t>A</t>
        </is>
      </c>
      <c r="CJ370" s="81" t="inlineStr">
        <is>
          <t>Every hunter in your camp gets paid</t>
        </is>
      </c>
      <c r="EB370" s="81" t="n"/>
      <c r="ES370" s="81" t="n">
        <v>30</v>
      </c>
    </row>
    <row r="371">
      <c r="A371" s="81" t="inlineStr">
        <is>
          <t>Bone Totem</t>
        </is>
      </c>
      <c r="B371" s="81" t="inlineStr">
        <is>
          <t>Roar</t>
        </is>
      </c>
      <c r="C371" s="81" t="inlineStr">
        <is>
          <t>damage</t>
        </is>
      </c>
      <c r="D371" s="81" t="n">
        <v>4</v>
      </c>
      <c r="E371" s="81">
        <f>E359</f>
        <v/>
      </c>
      <c r="F371" s="81">
        <f>F359</f>
        <v/>
      </c>
      <c r="G371" s="110" t="n">
        <v>1.85</v>
      </c>
      <c r="H371" s="110" t="n">
        <v>1</v>
      </c>
      <c r="I371" s="110" t="n">
        <v>1</v>
      </c>
      <c r="L371" s="110" t="n">
        <v>1</v>
      </c>
      <c r="M371" s="81" t="inlineStr">
        <is>
          <t>Fear</t>
        </is>
      </c>
      <c r="W371" s="81" t="n">
        <v>8</v>
      </c>
      <c r="CI371" s="81" t="inlineStr">
        <is>
          <t>B</t>
        </is>
      </c>
      <c r="CJ371" s="81" t="inlineStr">
        <is>
          <t>The roar scares small dinos 8 studs back</t>
        </is>
      </c>
      <c r="DU371" s="81" t="n"/>
    </row>
    <row r="372">
      <c r="A372" s="81" t="inlineStr">
        <is>
          <t>Bone Totem</t>
        </is>
      </c>
      <c r="B372" s="81" t="inlineStr">
        <is>
          <t>Roar</t>
        </is>
      </c>
      <c r="C372" s="81" t="inlineStr">
        <is>
          <t>damage</t>
        </is>
      </c>
      <c r="D372" s="81" t="n">
        <v>4</v>
      </c>
      <c r="E372" s="81">
        <f>E359</f>
        <v/>
      </c>
      <c r="F372" s="81">
        <f>F359</f>
        <v/>
      </c>
      <c r="G372" s="110" t="n">
        <v>1.8</v>
      </c>
      <c r="H372" s="110" t="n">
        <v>1</v>
      </c>
      <c r="I372" s="110" t="n">
        <v>1</v>
      </c>
      <c r="L372" s="110" t="n">
        <v>1</v>
      </c>
      <c r="M372" s="81" t="inlineStr">
        <is>
          <t>Shatter Roar</t>
        </is>
      </c>
      <c r="AM372" s="81" t="inlineStr">
        <is>
          <t>Yes</t>
        </is>
      </c>
      <c r="BU372" s="81" t="n"/>
      <c r="CI372" s="81" t="inlineStr">
        <is>
          <t>C</t>
        </is>
      </c>
      <c r="CJ372" s="81" t="inlineStr">
        <is>
          <t>The roar strips armour for 4 s</t>
        </is>
      </c>
    </row>
    <row r="373">
      <c r="A373" s="81" t="inlineStr">
        <is>
          <t>Bone Totem</t>
        </is>
      </c>
      <c r="B373" s="81" t="inlineStr">
        <is>
          <t>Roar</t>
        </is>
      </c>
      <c r="C373" s="81" t="inlineStr">
        <is>
          <t>damage</t>
        </is>
      </c>
      <c r="D373" s="81" t="n">
        <v>5</v>
      </c>
      <c r="E373" s="81">
        <f>E360</f>
        <v/>
      </c>
      <c r="F373" s="81">
        <f>F360</f>
        <v/>
      </c>
      <c r="G373" s="110" t="n">
        <v>1.76</v>
      </c>
      <c r="H373" s="110" t="n">
        <v>1</v>
      </c>
      <c r="I373" s="110" t="n">
        <v>1</v>
      </c>
      <c r="L373" s="110" t="n">
        <v>1</v>
      </c>
      <c r="M373" s="81" t="inlineStr">
        <is>
          <t>Skull Storm</t>
        </is>
      </c>
      <c r="CI373" s="81" t="inlineStr">
        <is>
          <t>B</t>
        </is>
      </c>
      <c r="CJ373" s="81" t="inlineStr">
        <is>
          <t>8 flying skulls hunt dinos</t>
        </is>
      </c>
      <c r="DY373" s="81" t="n"/>
      <c r="EO373" s="81" t="n">
        <v>8</v>
      </c>
    </row>
    <row r="374">
      <c r="A374" s="81" t="inlineStr">
        <is>
          <t>Bone Totem</t>
        </is>
      </c>
      <c r="B374" s="81" t="inlineStr">
        <is>
          <t>Roar</t>
        </is>
      </c>
      <c r="C374" s="81" t="inlineStr">
        <is>
          <t>damage</t>
        </is>
      </c>
      <c r="D374" s="81" t="n">
        <v>5</v>
      </c>
      <c r="E374" s="81">
        <f>E360</f>
        <v/>
      </c>
      <c r="F374" s="81">
        <f>F360</f>
        <v/>
      </c>
      <c r="G374" s="110" t="n">
        <v>1.8</v>
      </c>
      <c r="H374" s="110" t="n">
        <v>1</v>
      </c>
      <c r="I374" s="110" t="n">
        <v>1</v>
      </c>
      <c r="L374" s="110" t="n">
        <v>1</v>
      </c>
      <c r="M374" s="81" t="inlineStr">
        <is>
          <t>Finishing Roar</t>
        </is>
      </c>
      <c r="CI374" s="81" t="inlineStr">
        <is>
          <t>C</t>
        </is>
      </c>
      <c r="CJ374" s="81" t="inlineStr">
        <is>
          <t>A free roar at a weak boss</t>
        </is>
      </c>
      <c r="DW374" s="81" t="n"/>
      <c r="EZ374" s="81" t="inlineStr">
        <is>
          <t>Yes</t>
        </is>
      </c>
    </row>
    <row r="375">
      <c r="A375" s="81" t="inlineStr">
        <is>
          <t>Bone Totem</t>
        </is>
      </c>
      <c r="B375" s="81" t="inlineStr">
        <is>
          <t>Ancestors</t>
        </is>
      </c>
      <c r="C375" s="81" t="inlineStr">
        <is>
          <t>buffs</t>
        </is>
      </c>
      <c r="D375" s="81" t="n">
        <v>4</v>
      </c>
      <c r="E375" s="81">
        <f>E364</f>
        <v/>
      </c>
      <c r="F375" s="81">
        <f>F364</f>
        <v/>
      </c>
      <c r="G375" s="110" t="n">
        <v>1</v>
      </c>
      <c r="H375" s="110" t="n">
        <v>1</v>
      </c>
      <c r="I375" s="110" t="n">
        <v>1</v>
      </c>
      <c r="L375" s="110" t="n">
        <v>1</v>
      </c>
      <c r="M375" s="81" t="inlineStr">
        <is>
          <t>Bone Armour</t>
        </is>
      </c>
      <c r="P375" s="81" t="n"/>
      <c r="BH375" s="81" t="n">
        <v>20</v>
      </c>
      <c r="CI375" s="81" t="inlineStr">
        <is>
          <t>B</t>
        </is>
      </c>
      <c r="CJ375" s="81" t="inlineStr">
        <is>
          <t>Nearby towers get 20% more HP</t>
        </is>
      </c>
      <c r="DT375" s="81" t="n"/>
    </row>
    <row r="376">
      <c r="A376" s="81" t="inlineStr">
        <is>
          <t>Bone Totem</t>
        </is>
      </c>
      <c r="B376" s="81" t="inlineStr">
        <is>
          <t>Ancestors</t>
        </is>
      </c>
      <c r="C376" s="81" t="inlineStr">
        <is>
          <t>buffs</t>
        </is>
      </c>
      <c r="D376" s="81" t="n">
        <v>4</v>
      </c>
      <c r="E376" s="81">
        <f>E364</f>
        <v/>
      </c>
      <c r="F376" s="81">
        <f>F364</f>
        <v/>
      </c>
      <c r="G376" s="110" t="n">
        <v>1</v>
      </c>
      <c r="H376" s="110" t="n">
        <v>1</v>
      </c>
      <c r="I376" s="110" t="n">
        <v>1</v>
      </c>
      <c r="L376" s="110" t="n">
        <v>1</v>
      </c>
      <c r="M376" s="81" t="inlineStr">
        <is>
          <t>Ancestor's Eye</t>
        </is>
      </c>
      <c r="T376" s="81" t="n"/>
      <c r="CI376" s="81" t="inlineStr">
        <is>
          <t>C</t>
        </is>
      </c>
      <c r="CJ376" s="81" t="inlineStr">
        <is>
          <t>Nearby towers see 10% further</t>
        </is>
      </c>
      <c r="FA376" s="81" t="n">
        <v>10</v>
      </c>
    </row>
    <row r="377">
      <c r="A377" s="81" t="inlineStr">
        <is>
          <t>Bone Totem</t>
        </is>
      </c>
      <c r="B377" s="81" t="inlineStr">
        <is>
          <t>Ancestors</t>
        </is>
      </c>
      <c r="C377" s="81" t="inlineStr">
        <is>
          <t>buffs</t>
        </is>
      </c>
      <c r="D377" s="81" t="n">
        <v>5</v>
      </c>
      <c r="E377" s="81">
        <f>E365</f>
        <v/>
      </c>
      <c r="F377" s="81">
        <f>F365</f>
        <v/>
      </c>
      <c r="G377" s="110" t="n">
        <v>1</v>
      </c>
      <c r="H377" s="110" t="n">
        <v>1</v>
      </c>
      <c r="I377" s="110" t="n">
        <v>1</v>
      </c>
      <c r="L377" s="110" t="n">
        <v>1</v>
      </c>
      <c r="M377" s="81" t="inlineStr">
        <is>
          <t>Totem Pole</t>
        </is>
      </c>
      <c r="U377" s="81" t="n"/>
      <c r="CI377" s="81" t="inlineStr">
        <is>
          <t>B</t>
        </is>
      </c>
      <c r="CJ377" s="81" t="inlineStr">
        <is>
          <t>Buffs reach every tower, half strength</t>
        </is>
      </c>
      <c r="DO377" s="81" t="n"/>
      <c r="ED377" s="81" t="n"/>
      <c r="EU377" s="81" t="n">
        <v>30</v>
      </c>
      <c r="EW377" s="81" t="inlineStr">
        <is>
          <t>Yes</t>
        </is>
      </c>
    </row>
    <row r="378">
      <c r="A378" s="81" t="inlineStr">
        <is>
          <t>Bone Totem</t>
        </is>
      </c>
      <c r="B378" s="81" t="inlineStr">
        <is>
          <t>Ancestors</t>
        </is>
      </c>
      <c r="C378" s="81" t="inlineStr">
        <is>
          <t>buffs</t>
        </is>
      </c>
      <c r="D378" s="81" t="n">
        <v>5</v>
      </c>
      <c r="E378" s="81">
        <f>E365</f>
        <v/>
      </c>
      <c r="F378" s="81">
        <f>F365</f>
        <v/>
      </c>
      <c r="G378" s="110" t="n">
        <v>1</v>
      </c>
      <c r="H378" s="110" t="n">
        <v>1</v>
      </c>
      <c r="I378" s="110" t="n">
        <v>1</v>
      </c>
      <c r="L378" s="110" t="n">
        <v>1</v>
      </c>
      <c r="M378" s="81" t="inlineStr">
        <is>
          <t>Elder Wisdom</t>
        </is>
      </c>
      <c r="CI378" s="81" t="inlineStr">
        <is>
          <t>C</t>
        </is>
      </c>
      <c r="CJ378" s="81" t="inlineStr">
        <is>
          <t>Hero abilities nearby recharge 25% faster</t>
        </is>
      </c>
      <c r="EE378" s="81" t="n"/>
      <c r="EV378" s="81" t="n">
        <v>0.75</v>
      </c>
    </row>
    <row r="379">
      <c r="A379" s="81" t="inlineStr">
        <is>
          <t>Bone Totem</t>
        </is>
      </c>
      <c r="B379" s="81" t="inlineStr">
        <is>
          <t>Bone Pile</t>
        </is>
      </c>
      <c r="C379" s="81" t="inlineStr">
        <is>
          <t>cash</t>
        </is>
      </c>
      <c r="D379" s="81" t="n">
        <v>4</v>
      </c>
      <c r="E379" s="81">
        <f>E369</f>
        <v/>
      </c>
      <c r="F379" s="81">
        <f>F369</f>
        <v/>
      </c>
      <c r="G379" s="110" t="n">
        <v>1</v>
      </c>
      <c r="H379" s="110" t="n">
        <v>1</v>
      </c>
      <c r="I379" s="110" t="n">
        <v>1</v>
      </c>
      <c r="L379" s="110" t="n">
        <v>1</v>
      </c>
      <c r="M379" s="81" t="inlineStr">
        <is>
          <t>Bone Bank</t>
        </is>
      </c>
      <c r="CI379" s="81" t="inlineStr">
        <is>
          <t>B</t>
        </is>
      </c>
      <c r="CJ379" s="81" t="inlineStr">
        <is>
          <t>Leftover charge pays at round end</t>
        </is>
      </c>
      <c r="EC379" s="81" t="n"/>
      <c r="EY379" s="81" t="n">
        <v>25</v>
      </c>
    </row>
    <row r="380">
      <c r="A380" s="81" t="inlineStr">
        <is>
          <t>Bone Totem</t>
        </is>
      </c>
      <c r="B380" s="81" t="inlineStr">
        <is>
          <t>Bone Pile</t>
        </is>
      </c>
      <c r="C380" s="81" t="inlineStr">
        <is>
          <t>cash</t>
        </is>
      </c>
      <c r="D380" s="81" t="n">
        <v>4</v>
      </c>
      <c r="E380" s="81">
        <f>E369</f>
        <v/>
      </c>
      <c r="F380" s="81">
        <f>F369</f>
        <v/>
      </c>
      <c r="G380" s="110" t="n">
        <v>1</v>
      </c>
      <c r="H380" s="110" t="n">
        <v>1</v>
      </c>
      <c r="I380" s="110" t="n">
        <v>1</v>
      </c>
      <c r="L380" s="110" t="n">
        <v>1</v>
      </c>
      <c r="M380" s="81" t="inlineStr">
        <is>
          <t>Bone Bonus</t>
        </is>
      </c>
      <c r="BY380" s="81" t="n"/>
      <c r="CI380" s="81" t="inlineStr">
        <is>
          <t>C</t>
        </is>
      </c>
      <c r="CJ380" s="81" t="inlineStr">
        <is>
          <t>Each full charge pays 40% more</t>
        </is>
      </c>
      <c r="DP380" s="81" t="n"/>
      <c r="ER380" s="81" t="n">
        <v>168</v>
      </c>
    </row>
    <row r="381">
      <c r="A381" s="81" t="inlineStr">
        <is>
          <t>Bone Totem</t>
        </is>
      </c>
      <c r="B381" s="81" t="inlineStr">
        <is>
          <t>Bone Pile</t>
        </is>
      </c>
      <c r="C381" s="81" t="inlineStr">
        <is>
          <t>cash</t>
        </is>
      </c>
      <c r="D381" s="81" t="n">
        <v>5</v>
      </c>
      <c r="E381" s="81">
        <f>E370</f>
        <v/>
      </c>
      <c r="F381" s="81">
        <f>F370</f>
        <v/>
      </c>
      <c r="G381" s="110" t="n">
        <v>1</v>
      </c>
      <c r="H381" s="110" t="n">
        <v>1</v>
      </c>
      <c r="I381" s="110" t="n">
        <v>1</v>
      </c>
      <c r="L381" s="110" t="n">
        <v>1</v>
      </c>
      <c r="M381" s="81" t="inlineStr">
        <is>
          <t>Bounty Wall</t>
        </is>
      </c>
      <c r="CI381" s="81" t="inlineStr">
        <is>
          <t>B</t>
        </is>
      </c>
      <c r="CJ381" s="81" t="inlineStr">
        <is>
          <t>Bones nearby charge 25% faster and count +25% for bounties</t>
        </is>
      </c>
      <c r="DN381" s="81" t="n"/>
      <c r="EG381" s="81" t="n"/>
      <c r="EH381" s="81" t="n">
        <v>1.25</v>
      </c>
      <c r="EK381" s="81" t="n">
        <v>1.25</v>
      </c>
    </row>
    <row r="382">
      <c r="A382" s="81" t="inlineStr">
        <is>
          <t>Bone Totem</t>
        </is>
      </c>
      <c r="B382" s="81" t="inlineStr">
        <is>
          <t>Bone Pile</t>
        </is>
      </c>
      <c r="C382" s="81" t="inlineStr">
        <is>
          <t>cash</t>
        </is>
      </c>
      <c r="D382" s="81" t="n">
        <v>5</v>
      </c>
      <c r="E382" s="81">
        <f>E370</f>
        <v/>
      </c>
      <c r="F382" s="81">
        <f>F370</f>
        <v/>
      </c>
      <c r="G382" s="110" t="n">
        <v>1</v>
      </c>
      <c r="H382" s="110" t="n">
        <v>1</v>
      </c>
      <c r="I382" s="110" t="n">
        <v>1</v>
      </c>
      <c r="L382" s="110" t="n">
        <v>1</v>
      </c>
      <c r="M382" s="81" t="inlineStr">
        <is>
          <t>Ancient Treasure</t>
        </is>
      </c>
      <c r="BJ382" s="81" t="n"/>
      <c r="CI382" s="81" t="inlineStr">
        <is>
          <t>C</t>
        </is>
      </c>
      <c r="CJ382" s="81" t="inlineStr">
        <is>
          <t>One big treasure chest a match</t>
        </is>
      </c>
      <c r="CK382" s="81" t="n"/>
      <c r="CL382" s="81" t="n"/>
      <c r="CM382" s="81" t="n"/>
      <c r="CN382" s="81" t="n"/>
      <c r="EF382" s="81" t="n"/>
      <c r="ET382" s="81" t="inlineStr">
        <is>
          <t>Yes</t>
        </is>
      </c>
    </row>
    <row r="383">
      <c r="A383" s="81" t="inlineStr">
        <is>
          <t>Spotter Blimp</t>
        </is>
      </c>
      <c r="B383" s="81" t="inlineStr">
        <is>
          <t>Door Gun</t>
        </is>
      </c>
      <c r="C383" s="81" t="inlineStr">
        <is>
          <t>damage</t>
        </is>
      </c>
      <c r="D383" s="81" t="n">
        <v>1</v>
      </c>
      <c r="E383" s="81">
        <f>ROUND('Towers'!$C$22*POWER('Tuning'!$B$12,D383),0)</f>
        <v/>
      </c>
      <c r="F383" s="81">
        <f>'Towers'!$C$22+E383</f>
        <v/>
      </c>
      <c r="G383" s="81" t="n">
        <v>1.5</v>
      </c>
      <c r="H383" s="81" t="n">
        <v>1.2</v>
      </c>
      <c r="I383" s="81" t="n">
        <v>1</v>
      </c>
      <c r="J383" s="81">
        <f>'Towers'!$G$22*G383*H383*I383</f>
        <v/>
      </c>
      <c r="K383" s="81">
        <f>IF(J383=0,0,F383/J383)</f>
        <v/>
      </c>
      <c r="L383" s="81" t="n">
        <v>1</v>
      </c>
      <c r="M383" s="81" t="inlineStr">
        <is>
          <t>Belt Gun</t>
        </is>
      </c>
    </row>
    <row r="384">
      <c r="A384" s="81" t="inlineStr">
        <is>
          <t>Spotter Blimp</t>
        </is>
      </c>
      <c r="B384" s="81" t="inlineStr">
        <is>
          <t>Door Gun</t>
        </is>
      </c>
      <c r="C384" s="81" t="inlineStr">
        <is>
          <t>damage</t>
        </is>
      </c>
      <c r="D384" s="81" t="n">
        <v>2</v>
      </c>
      <c r="E384" s="81">
        <f>ROUND('Towers'!$C$22*POWER('Tuning'!$B$12,D384),0)</f>
        <v/>
      </c>
      <c r="F384" s="81">
        <f>F383+E384</f>
        <v/>
      </c>
      <c r="G384" s="81" t="n">
        <v>1.5</v>
      </c>
      <c r="H384" s="81" t="n">
        <v>1.2</v>
      </c>
      <c r="I384" s="81" t="n">
        <v>1</v>
      </c>
      <c r="J384" s="81">
        <f>'Towers'!$G$22*G384*H384*I384</f>
        <v/>
      </c>
      <c r="K384" s="81">
        <f>IF(J384=0,0,F384/J384)</f>
        <v/>
      </c>
      <c r="L384" s="81" t="n">
        <v>1</v>
      </c>
      <c r="M384" s="81" t="inlineStr">
        <is>
          <t>Twin Mount</t>
        </is>
      </c>
      <c r="Q384" s="81" t="n">
        <v>2</v>
      </c>
    </row>
    <row r="385">
      <c r="A385" s="81" t="inlineStr">
        <is>
          <t>Spotter Blimp</t>
        </is>
      </c>
      <c r="B385" s="81" t="inlineStr">
        <is>
          <t>Door Gun</t>
        </is>
      </c>
      <c r="C385" s="81" t="inlineStr">
        <is>
          <t>damage</t>
        </is>
      </c>
      <c r="D385" s="81" t="n">
        <v>3</v>
      </c>
      <c r="E385" s="81">
        <f>ROUND('Towers'!$C$22*POWER('Tuning'!$B$12,D385),0)</f>
        <v/>
      </c>
      <c r="F385" s="81">
        <f>F384+E385</f>
        <v/>
      </c>
      <c r="G385" s="81" t="n">
        <v>2.6</v>
      </c>
      <c r="H385" s="81" t="n">
        <v>1.2</v>
      </c>
      <c r="I385" s="81" t="n">
        <v>1</v>
      </c>
      <c r="J385" s="81">
        <f>'Towers'!$G$22*G385*H385*I385</f>
        <v/>
      </c>
      <c r="K385" s="81">
        <f>IF(J385=0,0,F385/J385)</f>
        <v/>
      </c>
      <c r="L385" s="81" t="n">
        <v>1</v>
      </c>
      <c r="M385" s="81" t="inlineStr">
        <is>
          <t>Treetop Pass</t>
        </is>
      </c>
      <c r="Q385" s="81" t="n">
        <v>2</v>
      </c>
      <c r="R385" s="81" t="n">
        <v>3</v>
      </c>
    </row>
    <row r="386">
      <c r="A386" s="81" t="inlineStr">
        <is>
          <t>Spotter Blimp</t>
        </is>
      </c>
      <c r="B386" s="81" t="inlineStr">
        <is>
          <t>Door Gun</t>
        </is>
      </c>
      <c r="C386" s="81" t="inlineStr">
        <is>
          <t>damage</t>
        </is>
      </c>
      <c r="D386" s="81" t="n">
        <v>4</v>
      </c>
      <c r="E386" s="81">
        <f>ROUND('Towers'!$C$22*POWER('Tuning'!$B$12,D386),0)</f>
        <v/>
      </c>
      <c r="F386" s="81">
        <f>F385+E386</f>
        <v/>
      </c>
      <c r="G386" s="81" t="n">
        <v>1.7</v>
      </c>
      <c r="H386" s="81" t="n">
        <v>1</v>
      </c>
      <c r="I386" s="81" t="n">
        <v>1</v>
      </c>
      <c r="J386" s="81">
        <f>J385*G386*H386*I386</f>
        <v/>
      </c>
      <c r="K386" s="81">
        <f>IF(J386=0,0,F386/J386)</f>
        <v/>
      </c>
      <c r="L386" s="81" t="n">
        <v>1</v>
      </c>
      <c r="M386" s="81" t="inlineStr">
        <is>
          <t>Heavy Mount</t>
        </is>
      </c>
      <c r="N386" s="81" t="inlineStr">
        <is>
          <t>Yes</t>
        </is>
      </c>
      <c r="BJ386" s="81" t="n">
        <v>2</v>
      </c>
      <c r="CI386" s="81" t="inlineStr">
        <is>
          <t>A</t>
        </is>
      </c>
      <c r="CJ386" s="81" t="inlineStr">
        <is>
          <t>Shoots through armour, breaks 2</t>
        </is>
      </c>
    </row>
    <row r="387">
      <c r="A387" s="81" t="inlineStr">
        <is>
          <t>Spotter Blimp</t>
        </is>
      </c>
      <c r="B387" s="81" t="inlineStr">
        <is>
          <t>Door Gun</t>
        </is>
      </c>
      <c r="C387" s="81" t="inlineStr">
        <is>
          <t>damage</t>
        </is>
      </c>
      <c r="D387" s="81" t="n">
        <v>5</v>
      </c>
      <c r="E387" s="81">
        <f>ROUND('Towers'!$C$22*POWER('Tuning'!$B$12,D387),0)</f>
        <v/>
      </c>
      <c r="F387" s="81">
        <f>F386+E387</f>
        <v/>
      </c>
      <c r="G387" s="81" t="n">
        <v>0.78</v>
      </c>
      <c r="H387" s="81" t="n">
        <v>1</v>
      </c>
      <c r="I387" s="81" t="n">
        <v>1</v>
      </c>
      <c r="J387" s="81">
        <f>J386*G387*H387*I387</f>
        <v/>
      </c>
      <c r="K387" s="81">
        <f>IF(J387=0,0,F387/J387)</f>
        <v/>
      </c>
      <c r="L387" s="81" t="n">
        <v>1</v>
      </c>
      <c r="M387" s="81" t="inlineStr">
        <is>
          <t>Gunship</t>
        </is>
      </c>
      <c r="Q387" s="81" t="n">
        <v>4</v>
      </c>
      <c r="Z387" s="81" t="n">
        <v>2</v>
      </c>
      <c r="AA387" s="81" t="n">
        <v>1</v>
      </c>
      <c r="CI387" s="81" t="inlineStr">
        <is>
          <t>A</t>
        </is>
      </c>
      <c r="CJ387" s="81" t="inlineStr">
        <is>
          <t>Faster, four guns and rockets</t>
        </is>
      </c>
      <c r="FB387" s="81" t="n">
        <v>1.5</v>
      </c>
    </row>
    <row r="388">
      <c r="A388" s="81" t="inlineStr">
        <is>
          <t>Spotter Blimp</t>
        </is>
      </c>
      <c r="B388" s="81" t="inlineStr">
        <is>
          <t>Searchlight</t>
        </is>
      </c>
      <c r="C388" s="81" t="inlineStr">
        <is>
          <t>support</t>
        </is>
      </c>
      <c r="D388" s="81" t="n">
        <v>1</v>
      </c>
      <c r="E388" s="81">
        <f>ROUND('Towers'!$C$22*POWER('Tuning'!$B$12,D388),0)</f>
        <v/>
      </c>
      <c r="F388" s="81">
        <f>'Towers'!$C$22+E388</f>
        <v/>
      </c>
      <c r="G388" s="81" t="n">
        <v>1</v>
      </c>
      <c r="H388" s="81" t="n">
        <v>1</v>
      </c>
      <c r="I388" s="81" t="n">
        <v>1</v>
      </c>
      <c r="J388" s="81">
        <f>'Towers'!$G$22*G388*H388*I388</f>
        <v/>
      </c>
      <c r="K388" s="81">
        <f>IF(J388=0,0,F388/J388)</f>
        <v/>
      </c>
      <c r="L388" s="81" t="n">
        <v>1</v>
      </c>
      <c r="M388" s="81" t="inlineStr">
        <is>
          <t>Spotlight</t>
        </is>
      </c>
      <c r="AL388" s="81" t="n">
        <v>10</v>
      </c>
    </row>
    <row r="389">
      <c r="A389" s="81" t="inlineStr">
        <is>
          <t>Spotter Blimp</t>
        </is>
      </c>
      <c r="B389" s="81" t="inlineStr">
        <is>
          <t>Searchlight</t>
        </is>
      </c>
      <c r="C389" s="81" t="inlineStr">
        <is>
          <t>support</t>
        </is>
      </c>
      <c r="D389" s="81" t="n">
        <v>2</v>
      </c>
      <c r="E389" s="81">
        <f>ROUND('Towers'!$C$22*POWER('Tuning'!$B$12,D389),0)</f>
        <v/>
      </c>
      <c r="F389" s="81">
        <f>F388+E389</f>
        <v/>
      </c>
      <c r="G389" s="81" t="n">
        <v>1</v>
      </c>
      <c r="H389" s="81" t="n">
        <v>1</v>
      </c>
      <c r="I389" s="81" t="n">
        <v>1</v>
      </c>
      <c r="J389" s="81">
        <f>'Towers'!$G$22*G389*H389*I389</f>
        <v/>
      </c>
      <c r="K389" s="81">
        <f>IF(J389=0,0,F389/J389)</f>
        <v/>
      </c>
      <c r="L389" s="81" t="n">
        <v>1.3</v>
      </c>
      <c r="M389" s="81" t="inlineStr">
        <is>
          <t>Wide Beam</t>
        </is>
      </c>
      <c r="AL389" s="81" t="n">
        <v>10</v>
      </c>
    </row>
    <row r="390">
      <c r="A390" s="81" t="inlineStr">
        <is>
          <t>Spotter Blimp</t>
        </is>
      </c>
      <c r="B390" s="81" t="inlineStr">
        <is>
          <t>Searchlight</t>
        </is>
      </c>
      <c r="C390" s="81" t="inlineStr">
        <is>
          <t>support</t>
        </is>
      </c>
      <c r="D390" s="81" t="n">
        <v>3</v>
      </c>
      <c r="E390" s="81">
        <f>ROUND('Towers'!$C$22*POWER('Tuning'!$B$12,D390),0)</f>
        <v/>
      </c>
      <c r="F390" s="81">
        <f>F389+E390</f>
        <v/>
      </c>
      <c r="G390" s="81" t="n">
        <v>1</v>
      </c>
      <c r="H390" s="81" t="n">
        <v>1</v>
      </c>
      <c r="I390" s="81" t="n">
        <v>1</v>
      </c>
      <c r="J390" s="81">
        <f>'Towers'!$G$22*G390*H390*I390</f>
        <v/>
      </c>
      <c r="K390" s="81">
        <f>IF(J390=0,0,F390/J390)</f>
        <v/>
      </c>
      <c r="L390" s="81" t="n">
        <v>1.3</v>
      </c>
      <c r="M390" s="81" t="inlineStr">
        <is>
          <t>Night Hunt</t>
        </is>
      </c>
      <c r="AL390" s="81" t="n">
        <v>10</v>
      </c>
      <c r="FA390" s="81" t="n">
        <v>15</v>
      </c>
    </row>
    <row r="391">
      <c r="A391" s="81" t="inlineStr">
        <is>
          <t>Spotter Blimp</t>
        </is>
      </c>
      <c r="B391" s="81" t="inlineStr">
        <is>
          <t>Searchlight</t>
        </is>
      </c>
      <c r="C391" s="81" t="inlineStr">
        <is>
          <t>support</t>
        </is>
      </c>
      <c r="D391" s="81" t="n">
        <v>4</v>
      </c>
      <c r="E391" s="81">
        <f>ROUND('Towers'!$C$22*POWER('Tuning'!$B$12,D391),0)</f>
        <v/>
      </c>
      <c r="F391" s="81">
        <f>F390+E391</f>
        <v/>
      </c>
      <c r="G391" s="81" t="n">
        <v>1</v>
      </c>
      <c r="H391" s="81" t="n">
        <v>1</v>
      </c>
      <c r="I391" s="81" t="n">
        <v>1</v>
      </c>
      <c r="J391" s="81">
        <f>J390*G391*H391*I391</f>
        <v/>
      </c>
      <c r="K391" s="81">
        <f>IF(J391=0,0,F391/J391)</f>
        <v/>
      </c>
      <c r="L391" s="81" t="n">
        <v>1.6</v>
      </c>
      <c r="M391" s="81" t="inlineStr">
        <is>
          <t>Floodlights</t>
        </is>
      </c>
      <c r="CI391" s="81" t="inlineStr">
        <is>
          <t>A</t>
        </is>
      </c>
      <c r="CJ391" s="81" t="inlineStr">
        <is>
          <t>Lights a much wider circle</t>
        </is>
      </c>
    </row>
    <row r="392">
      <c r="A392" s="81" t="inlineStr">
        <is>
          <t>Spotter Blimp</t>
        </is>
      </c>
      <c r="B392" s="81" t="inlineStr">
        <is>
          <t>Searchlight</t>
        </is>
      </c>
      <c r="C392" s="81" t="inlineStr">
        <is>
          <t>support</t>
        </is>
      </c>
      <c r="D392" s="81" t="n">
        <v>5</v>
      </c>
      <c r="E392" s="81">
        <f>ROUND('Towers'!$C$22*POWER('Tuning'!$B$12,D392),0)</f>
        <v/>
      </c>
      <c r="F392" s="81">
        <f>F391+E392</f>
        <v/>
      </c>
      <c r="G392" s="81" t="n">
        <v>1</v>
      </c>
      <c r="H392" s="81" t="n">
        <v>1</v>
      </c>
      <c r="I392" s="81" t="n">
        <v>1</v>
      </c>
      <c r="J392" s="81">
        <f>J391*G392*H392*I392</f>
        <v/>
      </c>
      <c r="K392" s="81">
        <f>IF(J392=0,0,F392/J392)</f>
        <v/>
      </c>
      <c r="L392" s="81" t="n">
        <v>1</v>
      </c>
      <c r="M392" s="81" t="inlineStr">
        <is>
          <t>All-Seeing Eye</t>
        </is>
      </c>
      <c r="AL392" s="81" t="n">
        <v>25</v>
      </c>
      <c r="CI392" s="81" t="inlineStr">
        <is>
          <t>A</t>
        </is>
      </c>
      <c r="CJ392" s="81" t="inlineStr">
        <is>
          <t>Every dino under the blimp marked +25%</t>
        </is>
      </c>
    </row>
    <row r="393">
      <c r="A393" s="81" t="inlineStr">
        <is>
          <t>Spotter Blimp</t>
        </is>
      </c>
      <c r="B393" s="81" t="inlineStr">
        <is>
          <t>Cargo</t>
        </is>
      </c>
      <c r="C393" s="81" t="inlineStr">
        <is>
          <t>cash</t>
        </is>
      </c>
      <c r="D393" s="81" t="n">
        <v>1</v>
      </c>
      <c r="E393" s="81">
        <f>ROUND('Towers'!$C$22*POWER('Tuning'!$B$12,D393),0)</f>
        <v/>
      </c>
      <c r="F393" s="81">
        <f>'Towers'!$C$22+E393</f>
        <v/>
      </c>
      <c r="G393" s="81" t="n">
        <v>1</v>
      </c>
      <c r="H393" s="81" t="n">
        <v>1</v>
      </c>
      <c r="I393" s="81" t="n">
        <v>1</v>
      </c>
      <c r="J393" s="81">
        <f>'Towers'!$G$22*G393*H393*I393</f>
        <v/>
      </c>
      <c r="K393" s="81">
        <f>IF(J393=0,0,F393/J393)</f>
        <v/>
      </c>
      <c r="L393" s="81" t="n">
        <v>1</v>
      </c>
      <c r="M393" s="81" t="inlineStr">
        <is>
          <t>Supply Crates</t>
        </is>
      </c>
      <c r="AQ393" s="81" t="n">
        <v>1</v>
      </c>
      <c r="AR393" s="81" t="n">
        <v>200</v>
      </c>
    </row>
    <row r="394">
      <c r="A394" s="81" t="inlineStr">
        <is>
          <t>Spotter Blimp</t>
        </is>
      </c>
      <c r="B394" s="81" t="inlineStr">
        <is>
          <t>Cargo</t>
        </is>
      </c>
      <c r="C394" s="81" t="inlineStr">
        <is>
          <t>cash</t>
        </is>
      </c>
      <c r="D394" s="81" t="n">
        <v>2</v>
      </c>
      <c r="E394" s="81">
        <f>ROUND('Towers'!$C$22*POWER('Tuning'!$B$12,D394),0)</f>
        <v/>
      </c>
      <c r="F394" s="81">
        <f>F393+E394</f>
        <v/>
      </c>
      <c r="G394" s="81" t="n">
        <v>1</v>
      </c>
      <c r="H394" s="81" t="n">
        <v>1</v>
      </c>
      <c r="I394" s="81" t="n">
        <v>1</v>
      </c>
      <c r="J394" s="81">
        <f>'Towers'!$G$22*G394*H394*I394</f>
        <v/>
      </c>
      <c r="K394" s="81">
        <f>IF(J394=0,0,F394/J394)</f>
        <v/>
      </c>
      <c r="L394" s="81" t="n">
        <v>1</v>
      </c>
      <c r="M394" s="81" t="inlineStr">
        <is>
          <t>Ammo Drop</t>
        </is>
      </c>
      <c r="AQ394" s="81" t="n">
        <v>1</v>
      </c>
      <c r="AR394" s="81" t="n">
        <v>550</v>
      </c>
      <c r="AY394" s="81" t="n">
        <v>0.8</v>
      </c>
    </row>
    <row r="395">
      <c r="A395" s="81" t="inlineStr">
        <is>
          <t>Spotter Blimp</t>
        </is>
      </c>
      <c r="B395" s="81" t="inlineStr">
        <is>
          <t>Cargo</t>
        </is>
      </c>
      <c r="C395" s="81" t="inlineStr">
        <is>
          <t>cash</t>
        </is>
      </c>
      <c r="D395" s="81" t="n">
        <v>3</v>
      </c>
      <c r="E395" s="81">
        <f>ROUND('Towers'!$C$22*POWER('Tuning'!$B$12,D395),0)</f>
        <v/>
      </c>
      <c r="F395" s="81">
        <f>F394+E395</f>
        <v/>
      </c>
      <c r="G395" s="81" t="n">
        <v>1</v>
      </c>
      <c r="H395" s="81" t="n">
        <v>1</v>
      </c>
      <c r="I395" s="81" t="n">
        <v>1</v>
      </c>
      <c r="J395" s="81">
        <f>'Towers'!$G$22*G395*H395*I395</f>
        <v/>
      </c>
      <c r="K395" s="81">
        <f>IF(J395=0,0,F395/J395)</f>
        <v/>
      </c>
      <c r="L395" s="81" t="n">
        <v>1</v>
      </c>
      <c r="M395" s="81" t="inlineStr">
        <is>
          <t>Med Drop</t>
        </is>
      </c>
      <c r="AQ395" s="81" t="n">
        <v>1</v>
      </c>
      <c r="AR395" s="81" t="n">
        <v>1550</v>
      </c>
      <c r="AY395" s="81" t="n">
        <v>0.8</v>
      </c>
      <c r="BE395" s="81" t="n">
        <v>1</v>
      </c>
      <c r="BF395" s="81" t="n">
        <v>40</v>
      </c>
    </row>
    <row r="396">
      <c r="A396" s="81" t="inlineStr">
        <is>
          <t>Spotter Blimp</t>
        </is>
      </c>
      <c r="B396" s="81" t="inlineStr">
        <is>
          <t>Cargo</t>
        </is>
      </c>
      <c r="C396" s="81" t="inlineStr">
        <is>
          <t>cash</t>
        </is>
      </c>
      <c r="D396" s="81" t="n">
        <v>4</v>
      </c>
      <c r="E396" s="81">
        <f>ROUND('Towers'!$C$22*POWER('Tuning'!$B$12,D396),0)</f>
        <v/>
      </c>
      <c r="F396" s="81">
        <f>F395+E396</f>
        <v/>
      </c>
      <c r="G396" s="81" t="n">
        <v>1</v>
      </c>
      <c r="H396" s="81" t="n">
        <v>1</v>
      </c>
      <c r="I396" s="81" t="n">
        <v>1</v>
      </c>
      <c r="J396" s="81">
        <f>J395*G396*H396*I396</f>
        <v/>
      </c>
      <c r="K396" s="81">
        <f>IF(J396=0,0,F396/J396)</f>
        <v/>
      </c>
      <c r="L396" s="81" t="n">
        <v>1</v>
      </c>
      <c r="M396" s="81" t="inlineStr">
        <is>
          <t>Heavy Cargo</t>
        </is>
      </c>
      <c r="AR396" s="81" t="n">
        <v>2000</v>
      </c>
      <c r="CI396" s="81" t="inlineStr">
        <is>
          <t>A</t>
        </is>
      </c>
      <c r="CJ396" s="81" t="inlineStr">
        <is>
          <t>Bigger crates</t>
        </is>
      </c>
    </row>
    <row r="397">
      <c r="A397" s="81" t="inlineStr">
        <is>
          <t>Spotter Blimp</t>
        </is>
      </c>
      <c r="B397" s="81" t="inlineStr">
        <is>
          <t>Cargo</t>
        </is>
      </c>
      <c r="C397" s="81" t="inlineStr">
        <is>
          <t>cash</t>
        </is>
      </c>
      <c r="D397" s="81" t="n">
        <v>5</v>
      </c>
      <c r="E397" s="81">
        <f>ROUND('Towers'!$C$22*POWER('Tuning'!$B$12,D397),0)</f>
        <v/>
      </c>
      <c r="F397" s="81">
        <f>F396+E397</f>
        <v/>
      </c>
      <c r="G397" s="81" t="n">
        <v>1</v>
      </c>
      <c r="H397" s="81" t="n">
        <v>1</v>
      </c>
      <c r="I397" s="81" t="n">
        <v>1</v>
      </c>
      <c r="J397" s="81">
        <f>J396*G397*H397*I397</f>
        <v/>
      </c>
      <c r="K397" s="81">
        <f>IF(J397=0,0,F397/J397)</f>
        <v/>
      </c>
      <c r="L397" s="81" t="n">
        <v>1</v>
      </c>
      <c r="M397" s="81" t="inlineStr">
        <is>
          <t>Cargo Run</t>
        </is>
      </c>
      <c r="CI397" s="81" t="inlineStr">
        <is>
          <t>A</t>
        </is>
      </c>
      <c r="CJ397" s="81" t="inlineStr">
        <is>
          <t>A big crate every lap</t>
        </is>
      </c>
      <c r="FC397" s="81" t="inlineStr">
        <is>
          <t>Yes</t>
        </is>
      </c>
    </row>
    <row r="398">
      <c r="A398" s="81" t="inlineStr">
        <is>
          <t>Spotter Blimp</t>
        </is>
      </c>
      <c r="B398" s="81" t="inlineStr">
        <is>
          <t>Door Gun</t>
        </is>
      </c>
      <c r="C398" s="81" t="inlineStr">
        <is>
          <t>damage</t>
        </is>
      </c>
      <c r="D398" s="81" t="n">
        <v>4</v>
      </c>
      <c r="E398" s="81">
        <f>E386</f>
        <v/>
      </c>
      <c r="F398" s="81">
        <f>F386</f>
        <v/>
      </c>
      <c r="G398" s="81" t="n">
        <v>1.4</v>
      </c>
      <c r="H398" s="81" t="n">
        <v>1</v>
      </c>
      <c r="I398" s="81" t="n">
        <v>1</v>
      </c>
      <c r="L398" s="81" t="n">
        <v>1</v>
      </c>
      <c r="M398" s="81" t="inlineStr">
        <is>
          <t>Rocket Pods</t>
        </is>
      </c>
      <c r="Z398" s="81" t="n">
        <v>3</v>
      </c>
      <c r="AA398" s="81" t="n">
        <v>1</v>
      </c>
      <c r="CI398" s="81" t="inlineStr">
        <is>
          <t>B</t>
        </is>
      </c>
      <c r="CJ398" s="81" t="inlineStr">
        <is>
          <t>Rockets that splash</t>
        </is>
      </c>
    </row>
    <row r="399">
      <c r="A399" s="81" t="inlineStr">
        <is>
          <t>Spotter Blimp</t>
        </is>
      </c>
      <c r="B399" s="81" t="inlineStr">
        <is>
          <t>Door Gun</t>
        </is>
      </c>
      <c r="C399" s="81" t="inlineStr">
        <is>
          <t>damage</t>
        </is>
      </c>
      <c r="D399" s="81" t="n">
        <v>4</v>
      </c>
      <c r="E399" s="81">
        <f>E386</f>
        <v/>
      </c>
      <c r="F399" s="81">
        <f>F386</f>
        <v/>
      </c>
      <c r="G399" s="81" t="n">
        <v>1.75</v>
      </c>
      <c r="H399" s="81" t="n">
        <v>1</v>
      </c>
      <c r="I399" s="81" t="n">
        <v>1</v>
      </c>
      <c r="L399" s="81" t="n">
        <v>1</v>
      </c>
      <c r="M399" s="81" t="inlineStr">
        <is>
          <t>Tracer Belt</t>
        </is>
      </c>
      <c r="T399" s="81" t="n">
        <v>15</v>
      </c>
      <c r="CI399" s="81" t="inlineStr">
        <is>
          <t>C</t>
        </is>
      </c>
      <c r="CJ399" s="81" t="inlineStr">
        <is>
          <t>Hit dinos are marked +15%</t>
        </is>
      </c>
    </row>
    <row r="400">
      <c r="A400" s="81" t="inlineStr">
        <is>
          <t>Spotter Blimp</t>
        </is>
      </c>
      <c r="B400" s="81" t="inlineStr">
        <is>
          <t>Door Gun</t>
        </is>
      </c>
      <c r="C400" s="81" t="inlineStr">
        <is>
          <t>damage</t>
        </is>
      </c>
      <c r="D400" s="81" t="n">
        <v>5</v>
      </c>
      <c r="E400" s="81">
        <f>E387</f>
        <v/>
      </c>
      <c r="F400" s="81">
        <f>F387</f>
        <v/>
      </c>
      <c r="G400" s="81" t="n">
        <v>1.6</v>
      </c>
      <c r="H400" s="81" t="n">
        <v>1</v>
      </c>
      <c r="I400" s="81" t="n">
        <v>1</v>
      </c>
      <c r="L400" s="81" t="n">
        <v>1</v>
      </c>
      <c r="M400" s="81" t="inlineStr">
        <is>
          <t>Bombing Run</t>
        </is>
      </c>
      <c r="CI400" s="81" t="inlineStr">
        <is>
          <t>B</t>
        </is>
      </c>
      <c r="CJ400" s="81" t="inlineStr">
        <is>
          <t>Bombs the whole track once a round</t>
        </is>
      </c>
      <c r="CS400" s="81" t="n">
        <v>12</v>
      </c>
      <c r="FK400" s="81" t="inlineStr">
        <is>
          <t>Yes</t>
        </is>
      </c>
    </row>
    <row r="401">
      <c r="A401" s="81" t="inlineStr">
        <is>
          <t>Spotter Blimp</t>
        </is>
      </c>
      <c r="B401" s="81" t="inlineStr">
        <is>
          <t>Door Gun</t>
        </is>
      </c>
      <c r="C401" s="81" t="inlineStr">
        <is>
          <t>damage</t>
        </is>
      </c>
      <c r="D401" s="81" t="n">
        <v>5</v>
      </c>
      <c r="E401" s="81">
        <f>E387</f>
        <v/>
      </c>
      <c r="F401" s="81">
        <f>F387</f>
        <v/>
      </c>
      <c r="G401" s="81" t="n">
        <v>1.75</v>
      </c>
      <c r="H401" s="81" t="n">
        <v>1</v>
      </c>
      <c r="I401" s="81" t="n">
        <v>1</v>
      </c>
      <c r="L401" s="81" t="n">
        <v>1</v>
      </c>
      <c r="M401" s="81" t="inlineStr">
        <is>
          <t>Sky Hook</t>
        </is>
      </c>
      <c r="CI401" s="81" t="inlineStr">
        <is>
          <t>C</t>
        </is>
      </c>
      <c r="CJ401" s="81" t="inlineStr">
        <is>
          <t>Snatches the smallest dino every 5 s</t>
        </is>
      </c>
      <c r="FL401" s="81" t="n">
        <v>5</v>
      </c>
    </row>
    <row r="402">
      <c r="A402" s="81" t="inlineStr">
        <is>
          <t>Spotter Blimp</t>
        </is>
      </c>
      <c r="B402" s="81" t="inlineStr">
        <is>
          <t>Searchlight</t>
        </is>
      </c>
      <c r="C402" s="81" t="inlineStr">
        <is>
          <t>support</t>
        </is>
      </c>
      <c r="D402" s="81" t="n">
        <v>4</v>
      </c>
      <c r="E402" s="81">
        <f>E391</f>
        <v/>
      </c>
      <c r="F402" s="81">
        <f>F391</f>
        <v/>
      </c>
      <c r="G402" s="81" t="n">
        <v>1</v>
      </c>
      <c r="H402" s="81" t="n">
        <v>1</v>
      </c>
      <c r="I402" s="81" t="n">
        <v>1</v>
      </c>
      <c r="L402" s="81" t="n">
        <v>1</v>
      </c>
      <c r="M402" s="81" t="inlineStr">
        <is>
          <t>Tracking Beam</t>
        </is>
      </c>
      <c r="AL402" s="81" t="n">
        <v>14</v>
      </c>
      <c r="CI402" s="81" t="inlineStr">
        <is>
          <t>B</t>
        </is>
      </c>
      <c r="CJ402" s="81" t="inlineStr">
        <is>
          <t>The light follows the biggest dino</t>
        </is>
      </c>
      <c r="CU402" s="81" t="inlineStr">
        <is>
          <t>Yes</t>
        </is>
      </c>
    </row>
    <row r="403">
      <c r="A403" s="81" t="inlineStr">
        <is>
          <t>Spotter Blimp</t>
        </is>
      </c>
      <c r="B403" s="81" t="inlineStr">
        <is>
          <t>Searchlight</t>
        </is>
      </c>
      <c r="C403" s="81" t="inlineStr">
        <is>
          <t>support</t>
        </is>
      </c>
      <c r="D403" s="81" t="n">
        <v>4</v>
      </c>
      <c r="E403" s="81">
        <f>E391</f>
        <v/>
      </c>
      <c r="F403" s="81">
        <f>F391</f>
        <v/>
      </c>
      <c r="G403" s="81" t="n">
        <v>1</v>
      </c>
      <c r="H403" s="81" t="n">
        <v>1</v>
      </c>
      <c r="I403" s="81" t="n">
        <v>1</v>
      </c>
      <c r="L403" s="81" t="n">
        <v>1</v>
      </c>
      <c r="M403" s="81" t="inlineStr">
        <is>
          <t>Blinding Glare</t>
        </is>
      </c>
      <c r="AL403" s="81" t="n">
        <v>15</v>
      </c>
      <c r="CI403" s="81" t="inlineStr">
        <is>
          <t>C</t>
        </is>
      </c>
      <c r="CJ403" s="81" t="inlineStr">
        <is>
          <t>Dinos in the light miss throws</t>
        </is>
      </c>
      <c r="FH403" s="81" t="n">
        <v>25</v>
      </c>
    </row>
    <row r="404">
      <c r="A404" s="81" t="inlineStr">
        <is>
          <t>Spotter Blimp</t>
        </is>
      </c>
      <c r="B404" s="81" t="inlineStr">
        <is>
          <t>Searchlight</t>
        </is>
      </c>
      <c r="C404" s="81" t="inlineStr">
        <is>
          <t>support</t>
        </is>
      </c>
      <c r="D404" s="81" t="n">
        <v>5</v>
      </c>
      <c r="E404" s="81">
        <f>E392</f>
        <v/>
      </c>
      <c r="F404" s="81">
        <f>F392</f>
        <v/>
      </c>
      <c r="G404" s="81" t="n">
        <v>1</v>
      </c>
      <c r="H404" s="81" t="n">
        <v>1</v>
      </c>
      <c r="I404" s="81" t="n">
        <v>1</v>
      </c>
      <c r="L404" s="81" t="n">
        <v>1</v>
      </c>
      <c r="M404" s="81" t="inlineStr">
        <is>
          <t>Lighthouse</t>
        </is>
      </c>
      <c r="AC404" s="81" t="n">
        <v>10</v>
      </c>
      <c r="CI404" s="81" t="inlineStr">
        <is>
          <t>B</t>
        </is>
      </c>
      <c r="CJ404" s="81" t="inlineStr">
        <is>
          <t>Towers near its path +10% damage</t>
        </is>
      </c>
      <c r="FI404" s="81" t="n">
        <v>1.5</v>
      </c>
    </row>
    <row r="405">
      <c r="A405" s="81" t="inlineStr">
        <is>
          <t>Spotter Blimp</t>
        </is>
      </c>
      <c r="B405" s="81" t="inlineStr">
        <is>
          <t>Searchlight</t>
        </is>
      </c>
      <c r="C405" s="81" t="inlineStr">
        <is>
          <t>support</t>
        </is>
      </c>
      <c r="D405" s="81" t="n">
        <v>5</v>
      </c>
      <c r="E405" s="81">
        <f>E392</f>
        <v/>
      </c>
      <c r="F405" s="81">
        <f>F392</f>
        <v/>
      </c>
      <c r="G405" s="81" t="n">
        <v>1</v>
      </c>
      <c r="H405" s="81" t="n">
        <v>1</v>
      </c>
      <c r="I405" s="81" t="n">
        <v>1</v>
      </c>
      <c r="L405" s="81" t="n">
        <v>1</v>
      </c>
      <c r="M405" s="81" t="inlineStr">
        <is>
          <t>Spotter's Map</t>
        </is>
      </c>
      <c r="AL405" s="81" t="n">
        <v>22</v>
      </c>
      <c r="CI405" s="81" t="inlineStr">
        <is>
          <t>C</t>
        </is>
      </c>
      <c r="CJ405" s="81" t="inlineStr">
        <is>
          <t>See every dino through walls</t>
        </is>
      </c>
      <c r="FJ405" s="81" t="inlineStr">
        <is>
          <t>Yes</t>
        </is>
      </c>
    </row>
    <row r="406">
      <c r="A406" s="81" t="inlineStr">
        <is>
          <t>Spotter Blimp</t>
        </is>
      </c>
      <c r="B406" s="81" t="inlineStr">
        <is>
          <t>Cargo</t>
        </is>
      </c>
      <c r="C406" s="81" t="inlineStr">
        <is>
          <t>cash</t>
        </is>
      </c>
      <c r="D406" s="81" t="n">
        <v>4</v>
      </c>
      <c r="E406" s="81">
        <f>E396</f>
        <v/>
      </c>
      <c r="F406" s="81">
        <f>F396</f>
        <v/>
      </c>
      <c r="G406" s="81" t="n">
        <v>1</v>
      </c>
      <c r="H406" s="81" t="n">
        <v>1</v>
      </c>
      <c r="I406" s="81" t="n">
        <v>1</v>
      </c>
      <c r="L406" s="81" t="n">
        <v>1</v>
      </c>
      <c r="M406" s="81" t="inlineStr">
        <is>
          <t>Rebuild Kits</t>
        </is>
      </c>
      <c r="CI406" s="81" t="inlineStr">
        <is>
          <t>B</t>
        </is>
      </c>
      <c r="CJ406" s="81" t="inlineStr">
        <is>
          <t>Fixes a Trampled tower each lap</t>
        </is>
      </c>
      <c r="FD406" s="81" t="n">
        <v>1</v>
      </c>
    </row>
    <row r="407">
      <c r="A407" s="81" t="inlineStr">
        <is>
          <t>Spotter Blimp</t>
        </is>
      </c>
      <c r="B407" s="81" t="inlineStr">
        <is>
          <t>Cargo</t>
        </is>
      </c>
      <c r="C407" s="81" t="inlineStr">
        <is>
          <t>cash</t>
        </is>
      </c>
      <c r="D407" s="81" t="n">
        <v>4</v>
      </c>
      <c r="E407" s="81">
        <f>E396</f>
        <v/>
      </c>
      <c r="F407" s="81">
        <f>F396</f>
        <v/>
      </c>
      <c r="G407" s="81" t="n">
        <v>1</v>
      </c>
      <c r="H407" s="81" t="n">
        <v>1</v>
      </c>
      <c r="I407" s="81" t="n">
        <v>1</v>
      </c>
      <c r="L407" s="81" t="n">
        <v>1</v>
      </c>
      <c r="M407" s="81" t="inlineStr">
        <is>
          <t>Spare Parts</t>
        </is>
      </c>
      <c r="AR407" s="81" t="n">
        <v>1900</v>
      </c>
      <c r="CI407" s="81" t="inlineStr">
        <is>
          <t>C</t>
        </is>
      </c>
      <c r="CJ407" s="81" t="inlineStr">
        <is>
          <t>A crate heals the closest tower</t>
        </is>
      </c>
      <c r="FE407" s="81" t="n">
        <v>20</v>
      </c>
    </row>
    <row r="408">
      <c r="A408" s="81" t="inlineStr">
        <is>
          <t>Spotter Blimp</t>
        </is>
      </c>
      <c r="B408" s="81" t="inlineStr">
        <is>
          <t>Cargo</t>
        </is>
      </c>
      <c r="C408" s="81" t="inlineStr">
        <is>
          <t>cash</t>
        </is>
      </c>
      <c r="D408" s="81" t="n">
        <v>5</v>
      </c>
      <c r="E408" s="81">
        <f>E397</f>
        <v/>
      </c>
      <c r="F408" s="81">
        <f>F397</f>
        <v/>
      </c>
      <c r="G408" s="81" t="n">
        <v>1</v>
      </c>
      <c r="H408" s="81" t="n">
        <v>1</v>
      </c>
      <c r="I408" s="81" t="n">
        <v>1</v>
      </c>
      <c r="L408" s="81" t="n">
        <v>1</v>
      </c>
      <c r="M408" s="81" t="inlineStr">
        <is>
          <t>Paratroopers</t>
        </is>
      </c>
      <c r="CI408" s="81" t="inlineStr">
        <is>
          <t>B</t>
        </is>
      </c>
      <c r="CJ408" s="81" t="inlineStr">
        <is>
          <t>Drops 2 rangers a round</t>
        </is>
      </c>
      <c r="FF408" s="81" t="n">
        <v>2</v>
      </c>
    </row>
    <row r="409">
      <c r="A409" s="81" t="inlineStr">
        <is>
          <t>Spotter Blimp</t>
        </is>
      </c>
      <c r="B409" s="81" t="inlineStr">
        <is>
          <t>Cargo</t>
        </is>
      </c>
      <c r="C409" s="81" t="inlineStr">
        <is>
          <t>cash</t>
        </is>
      </c>
      <c r="D409" s="81" t="n">
        <v>5</v>
      </c>
      <c r="E409" s="81">
        <f>E397</f>
        <v/>
      </c>
      <c r="F409" s="81">
        <f>F397</f>
        <v/>
      </c>
      <c r="G409" s="81" t="n">
        <v>1</v>
      </c>
      <c r="H409" s="81" t="n">
        <v>1</v>
      </c>
      <c r="I409" s="81" t="n">
        <v>1</v>
      </c>
      <c r="L409" s="81" t="n">
        <v>1</v>
      </c>
      <c r="M409" s="81" t="inlineStr">
        <is>
          <t>Airlift</t>
        </is>
      </c>
      <c r="AR409" s="81" t="n">
        <v>2700</v>
      </c>
      <c r="CI409" s="81" t="inlineStr">
        <is>
          <t>C</t>
        </is>
      </c>
      <c r="CJ409" s="81" t="inlineStr">
        <is>
          <t>Fixes the first Trampled tower each round</t>
        </is>
      </c>
      <c r="FG409" s="81" t="inlineStr">
        <is>
          <t>Yes</t>
        </is>
      </c>
    </row>
    <row r="410">
      <c r="A410" s="81" t="inlineStr">
        <is>
          <t>Meteor Beacon</t>
        </is>
      </c>
      <c r="B410" s="81" t="inlineStr">
        <is>
          <t>Impact</t>
        </is>
      </c>
      <c r="C410" s="81" t="inlineStr">
        <is>
          <t>damage</t>
        </is>
      </c>
      <c r="D410" s="81" t="n">
        <v>1</v>
      </c>
      <c r="E410" s="81">
        <f>ROUND('Towers'!$C$23*POWER('Tuning'!$B$12,D410),0)</f>
        <v/>
      </c>
      <c r="F410" s="81">
        <f>'Towers'!$C$23+E410</f>
        <v/>
      </c>
      <c r="G410" s="81" t="n">
        <v>1.7</v>
      </c>
      <c r="H410" s="81" t="n">
        <v>1</v>
      </c>
      <c r="I410" s="81" t="n">
        <v>1</v>
      </c>
      <c r="J410" s="81">
        <f>'Towers'!$G$23*G410*H410*I410</f>
        <v/>
      </c>
      <c r="K410" s="81">
        <f>IF(J410=0,0,F410/J410)</f>
        <v/>
      </c>
      <c r="L410" s="81" t="n">
        <v>1</v>
      </c>
      <c r="M410" s="81" t="inlineStr">
        <is>
          <t>Heavier Rock</t>
        </is>
      </c>
    </row>
    <row r="411">
      <c r="A411" s="81" t="inlineStr">
        <is>
          <t>Meteor Beacon</t>
        </is>
      </c>
      <c r="B411" s="81" t="inlineStr">
        <is>
          <t>Impact</t>
        </is>
      </c>
      <c r="C411" s="81" t="inlineStr">
        <is>
          <t>damage</t>
        </is>
      </c>
      <c r="D411" s="81" t="n">
        <v>2</v>
      </c>
      <c r="E411" s="81">
        <f>ROUND('Towers'!$C$23*POWER('Tuning'!$B$12,D411),0)</f>
        <v/>
      </c>
      <c r="F411" s="81">
        <f>F410+E411</f>
        <v/>
      </c>
      <c r="G411" s="81" t="n">
        <v>3.3</v>
      </c>
      <c r="H411" s="81" t="n">
        <v>1</v>
      </c>
      <c r="I411" s="81" t="n">
        <v>1</v>
      </c>
      <c r="J411" s="81">
        <f>'Towers'!$G$23*G411*H411*I411</f>
        <v/>
      </c>
      <c r="K411" s="81">
        <f>IF(J411=0,0,F411/J411)</f>
        <v/>
      </c>
      <c r="L411" s="81" t="n">
        <v>1</v>
      </c>
      <c r="M411" s="81" t="inlineStr">
        <is>
          <t>Iron Core</t>
        </is>
      </c>
    </row>
    <row r="412">
      <c r="A412" s="81" t="inlineStr">
        <is>
          <t>Meteor Beacon</t>
        </is>
      </c>
      <c r="B412" s="81" t="inlineStr">
        <is>
          <t>Impact</t>
        </is>
      </c>
      <c r="C412" s="81" t="inlineStr">
        <is>
          <t>damage</t>
        </is>
      </c>
      <c r="D412" s="81" t="n">
        <v>3</v>
      </c>
      <c r="E412" s="81">
        <f>ROUND('Towers'!$C$23*POWER('Tuning'!$B$12,D412),0)</f>
        <v/>
      </c>
      <c r="F412" s="81">
        <f>F411+E412</f>
        <v/>
      </c>
      <c r="G412" s="81" t="n">
        <v>6</v>
      </c>
      <c r="H412" s="81" t="n">
        <v>1</v>
      </c>
      <c r="I412" s="81" t="n">
        <v>1</v>
      </c>
      <c r="J412" s="81">
        <f>'Towers'!$G$23*G412*H412*I412</f>
        <v/>
      </c>
      <c r="K412" s="81">
        <f>IF(J412=0,0,F412/J412)</f>
        <v/>
      </c>
      <c r="L412" s="81" t="n">
        <v>1</v>
      </c>
      <c r="M412" s="81" t="inlineStr">
        <is>
          <t>Ground Zero</t>
        </is>
      </c>
      <c r="BJ412" s="81" t="n">
        <v>2</v>
      </c>
    </row>
    <row r="413">
      <c r="A413" s="81" t="inlineStr">
        <is>
          <t>Meteor Beacon</t>
        </is>
      </c>
      <c r="B413" s="81" t="inlineStr">
        <is>
          <t>Impact</t>
        </is>
      </c>
      <c r="C413" s="81" t="inlineStr">
        <is>
          <t>damage</t>
        </is>
      </c>
      <c r="D413" s="81" t="n">
        <v>4</v>
      </c>
      <c r="E413" s="81">
        <f>ROUND('Towers'!$C$23*POWER('Tuning'!$B$12,D413),0)</f>
        <v/>
      </c>
      <c r="F413" s="81">
        <f>F412+E413</f>
        <v/>
      </c>
      <c r="G413" s="81" t="n">
        <v>1.3</v>
      </c>
      <c r="H413" s="81" t="n">
        <v>1</v>
      </c>
      <c r="I413" s="81" t="n">
        <v>1</v>
      </c>
      <c r="J413" s="81">
        <f>J412*G413*H413*I413</f>
        <v/>
      </c>
      <c r="K413" s="81">
        <f>IF(J413=0,0,F413/J413)</f>
        <v/>
      </c>
      <c r="L413" s="81" t="n">
        <v>1</v>
      </c>
      <c r="M413" s="81" t="inlineStr">
        <is>
          <t>Planet Killer</t>
        </is>
      </c>
      <c r="P413" s="81" t="n">
        <v>2</v>
      </c>
      <c r="BJ413" s="81" t="n">
        <v>3</v>
      </c>
      <c r="CI413" s="81" t="inlineStr">
        <is>
          <t>A</t>
        </is>
      </c>
      <c r="CJ413" s="81" t="inlineStr">
        <is>
          <t>Breaks 3, ×2 on bosses</t>
        </is>
      </c>
    </row>
    <row r="414">
      <c r="A414" s="81" t="inlineStr">
        <is>
          <t>Meteor Beacon</t>
        </is>
      </c>
      <c r="B414" s="81" t="inlineStr">
        <is>
          <t>Impact</t>
        </is>
      </c>
      <c r="C414" s="81" t="inlineStr">
        <is>
          <t>damage</t>
        </is>
      </c>
      <c r="D414" s="81" t="n">
        <v>5</v>
      </c>
      <c r="E414" s="81">
        <f>ROUND('Towers'!$C$23*POWER('Tuning'!$B$12,D414),0)</f>
        <v/>
      </c>
      <c r="F414" s="81">
        <f>F413+E414</f>
        <v/>
      </c>
      <c r="G414" s="81" t="n">
        <v>1.4</v>
      </c>
      <c r="H414" s="81" t="n">
        <v>1</v>
      </c>
      <c r="I414" s="81" t="n">
        <v>1</v>
      </c>
      <c r="J414" s="81">
        <f>J413*G414*H414*I414</f>
        <v/>
      </c>
      <c r="K414" s="81">
        <f>IF(J414=0,0,F414/J414)</f>
        <v/>
      </c>
      <c r="L414" s="81" t="n">
        <v>1</v>
      </c>
      <c r="M414" s="81" t="inlineStr">
        <is>
          <t>Extinction Event</t>
        </is>
      </c>
      <c r="CI414" s="81" t="inlineStr">
        <is>
          <t>A</t>
        </is>
      </c>
      <c r="CJ414" s="81" t="inlineStr">
        <is>
          <t>One giant meteor a round, fires itself</t>
        </is>
      </c>
      <c r="FW414" s="81" t="inlineStr">
        <is>
          <t>Yes</t>
        </is>
      </c>
    </row>
    <row r="415">
      <c r="A415" s="81" t="inlineStr">
        <is>
          <t>Meteor Beacon</t>
        </is>
      </c>
      <c r="B415" s="81" t="inlineStr">
        <is>
          <t>Sky Rocks</t>
        </is>
      </c>
      <c r="C415" s="81" t="inlineStr">
        <is>
          <t>damage</t>
        </is>
      </c>
      <c r="D415" s="81" t="n">
        <v>1</v>
      </c>
      <c r="E415" s="81">
        <f>ROUND('Towers'!$C$23*POWER('Tuning'!$B$12,D415),0)</f>
        <v/>
      </c>
      <c r="F415" s="81">
        <f>'Towers'!$C$23+E415</f>
        <v/>
      </c>
      <c r="G415" s="81" t="n">
        <v>1.4</v>
      </c>
      <c r="H415" s="81" t="n">
        <v>1</v>
      </c>
      <c r="I415" s="81" t="n">
        <v>1</v>
      </c>
      <c r="J415" s="81">
        <f>'Towers'!$G$23*G415*H415*I415</f>
        <v/>
      </c>
      <c r="K415" s="81">
        <f>IF(J415=0,0,F415/J415)</f>
        <v/>
      </c>
      <c r="L415" s="81" t="n">
        <v>1</v>
      </c>
      <c r="M415" s="81" t="inlineStr">
        <is>
          <t>Rock Chunks</t>
        </is>
      </c>
      <c r="FM415" s="81" t="n">
        <v>2</v>
      </c>
    </row>
    <row r="416">
      <c r="A416" s="81" t="inlineStr">
        <is>
          <t>Meteor Beacon</t>
        </is>
      </c>
      <c r="B416" s="81" t="inlineStr">
        <is>
          <t>Sky Rocks</t>
        </is>
      </c>
      <c r="C416" s="81" t="inlineStr">
        <is>
          <t>damage</t>
        </is>
      </c>
      <c r="D416" s="81" t="n">
        <v>2</v>
      </c>
      <c r="E416" s="81">
        <f>ROUND('Towers'!$C$23*POWER('Tuning'!$B$12,D416),0)</f>
        <v/>
      </c>
      <c r="F416" s="81">
        <f>F415+E416</f>
        <v/>
      </c>
      <c r="G416" s="81" t="n">
        <v>2.1</v>
      </c>
      <c r="H416" s="81" t="n">
        <v>1</v>
      </c>
      <c r="I416" s="81" t="n">
        <v>1</v>
      </c>
      <c r="J416" s="81">
        <f>'Towers'!$G$23*G416*H416*I416</f>
        <v/>
      </c>
      <c r="K416" s="81">
        <f>IF(J416=0,0,F416/J416)</f>
        <v/>
      </c>
      <c r="L416" s="81" t="n">
        <v>1</v>
      </c>
      <c r="M416" s="81" t="inlineStr">
        <is>
          <t>Twin Fall</t>
        </is>
      </c>
      <c r="FM416" s="81" t="n">
        <v>3</v>
      </c>
    </row>
    <row r="417">
      <c r="A417" s="81" t="inlineStr">
        <is>
          <t>Meteor Beacon</t>
        </is>
      </c>
      <c r="B417" s="81" t="inlineStr">
        <is>
          <t>Sky Rocks</t>
        </is>
      </c>
      <c r="C417" s="81" t="inlineStr">
        <is>
          <t>damage</t>
        </is>
      </c>
      <c r="D417" s="81" t="n">
        <v>3</v>
      </c>
      <c r="E417" s="81">
        <f>ROUND('Towers'!$C$23*POWER('Tuning'!$B$12,D417),0)</f>
        <v/>
      </c>
      <c r="F417" s="81">
        <f>F416+E417</f>
        <v/>
      </c>
      <c r="G417" s="81" t="n">
        <v>2.6</v>
      </c>
      <c r="H417" s="81" t="n">
        <v>1</v>
      </c>
      <c r="I417" s="81" t="n">
        <v>1</v>
      </c>
      <c r="J417" s="81">
        <f>'Towers'!$G$23*G417*H417*I417</f>
        <v/>
      </c>
      <c r="K417" s="81">
        <f>IF(J417=0,0,F417/J417)</f>
        <v/>
      </c>
      <c r="L417" s="81" t="n">
        <v>1</v>
      </c>
      <c r="M417" s="81" t="inlineStr">
        <is>
          <t>Fireball Flurry</t>
        </is>
      </c>
      <c r="FM417" s="81" t="n">
        <v>5</v>
      </c>
    </row>
    <row r="418">
      <c r="A418" s="81" t="inlineStr">
        <is>
          <t>Meteor Beacon</t>
        </is>
      </c>
      <c r="B418" s="81" t="inlineStr">
        <is>
          <t>Sky Rocks</t>
        </is>
      </c>
      <c r="C418" s="81" t="inlineStr">
        <is>
          <t>damage</t>
        </is>
      </c>
      <c r="D418" s="81" t="n">
        <v>4</v>
      </c>
      <c r="E418" s="81">
        <f>ROUND('Towers'!$C$23*POWER('Tuning'!$B$12,D418),0)</f>
        <v/>
      </c>
      <c r="F418" s="81">
        <f>F417+E418</f>
        <v/>
      </c>
      <c r="G418" s="81" t="n">
        <v>1.25</v>
      </c>
      <c r="H418" s="81" t="n">
        <v>1</v>
      </c>
      <c r="I418" s="81" t="n">
        <v>1</v>
      </c>
      <c r="J418" s="81">
        <f>J417*G418*H418*I418</f>
        <v/>
      </c>
      <c r="K418" s="81">
        <f>IF(J418=0,0,F418/J418)</f>
        <v/>
      </c>
      <c r="L418" s="81" t="n">
        <v>1</v>
      </c>
      <c r="M418" s="81" t="inlineStr">
        <is>
          <t>Endless Rain</t>
        </is>
      </c>
      <c r="CI418" s="81" t="inlineStr">
        <is>
          <t>A</t>
        </is>
      </c>
      <c r="CJ418" s="81" t="inlineStr">
        <is>
          <t>A small meteor every 4 s</t>
        </is>
      </c>
      <c r="FO418" s="81" t="n">
        <v>4</v>
      </c>
    </row>
    <row r="419">
      <c r="A419" s="81" t="inlineStr">
        <is>
          <t>Meteor Beacon</t>
        </is>
      </c>
      <c r="B419" s="81" t="inlineStr">
        <is>
          <t>Sky Rocks</t>
        </is>
      </c>
      <c r="C419" s="81" t="inlineStr">
        <is>
          <t>damage</t>
        </is>
      </c>
      <c r="D419" s="81" t="n">
        <v>5</v>
      </c>
      <c r="E419" s="81">
        <f>ROUND('Towers'!$C$23*POWER('Tuning'!$B$12,D419),0)</f>
        <v/>
      </c>
      <c r="F419" s="81">
        <f>F418+E419</f>
        <v/>
      </c>
      <c r="G419" s="81" t="n">
        <v>3.388</v>
      </c>
      <c r="H419" s="81" t="n">
        <v>1</v>
      </c>
      <c r="I419" s="81" t="n">
        <v>1</v>
      </c>
      <c r="J419" s="81">
        <f>J418*G419*H419*I419</f>
        <v/>
      </c>
      <c r="K419" s="81">
        <f>IF(J419=0,0,F419/J419)</f>
        <v/>
      </c>
      <c r="L419" s="81" t="n">
        <v>1</v>
      </c>
      <c r="M419" s="81" t="inlineStr">
        <is>
          <t>Starfall</t>
        </is>
      </c>
      <c r="CI419" s="81" t="inlineStr">
        <is>
          <t>A</t>
        </is>
      </c>
      <c r="CJ419" s="81" t="inlineStr">
        <is>
          <t>20 meteors across your side every 15 s</t>
        </is>
      </c>
      <c r="FP419" s="81" t="n">
        <v>15</v>
      </c>
    </row>
    <row r="420">
      <c r="A420" s="81" t="inlineStr">
        <is>
          <t>Meteor Beacon</t>
        </is>
      </c>
      <c r="B420" s="81" t="inlineStr">
        <is>
          <t>Aftermath</t>
        </is>
      </c>
      <c r="C420" s="81" t="inlineStr">
        <is>
          <t>control</t>
        </is>
      </c>
      <c r="D420" s="81" t="n">
        <v>1</v>
      </c>
      <c r="E420" s="81">
        <f>ROUND('Towers'!$C$23*POWER('Tuning'!$B$12,D420),0)</f>
        <v/>
      </c>
      <c r="F420" s="81">
        <f>'Towers'!$C$23+E420</f>
        <v/>
      </c>
      <c r="G420" s="81" t="n">
        <v>1.3</v>
      </c>
      <c r="H420" s="81" t="n">
        <v>1</v>
      </c>
      <c r="I420" s="81" t="n">
        <v>1</v>
      </c>
      <c r="J420" s="81">
        <f>'Towers'!$G$23*G420*H420*I420</f>
        <v/>
      </c>
      <c r="K420" s="81">
        <f>IF(J420=0,0,F420/J420)</f>
        <v/>
      </c>
      <c r="L420" s="81" t="n">
        <v>1</v>
      </c>
      <c r="M420" s="81" t="inlineStr">
        <is>
          <t>Hot Crater</t>
        </is>
      </c>
      <c r="X420" s="81" t="n">
        <v>20</v>
      </c>
    </row>
    <row r="421">
      <c r="A421" s="81" t="inlineStr">
        <is>
          <t>Meteor Beacon</t>
        </is>
      </c>
      <c r="B421" s="81" t="inlineStr">
        <is>
          <t>Aftermath</t>
        </is>
      </c>
      <c r="C421" s="81" t="inlineStr">
        <is>
          <t>control</t>
        </is>
      </c>
      <c r="D421" s="81" t="n">
        <v>2</v>
      </c>
      <c r="E421" s="81">
        <f>ROUND('Towers'!$C$23*POWER('Tuning'!$B$12,D421),0)</f>
        <v/>
      </c>
      <c r="F421" s="81">
        <f>F420+E421</f>
        <v/>
      </c>
      <c r="G421" s="81" t="n">
        <v>1.6</v>
      </c>
      <c r="H421" s="81" t="n">
        <v>1</v>
      </c>
      <c r="I421" s="81" t="n">
        <v>1</v>
      </c>
      <c r="J421" s="81">
        <f>'Towers'!$G$23*G421*H421*I421</f>
        <v/>
      </c>
      <c r="K421" s="81">
        <f>IF(J421=0,0,F421/J421)</f>
        <v/>
      </c>
      <c r="L421" s="81" t="n">
        <v>1</v>
      </c>
      <c r="M421" s="81" t="inlineStr">
        <is>
          <t>Ash Cloud</t>
        </is>
      </c>
      <c r="X421" s="81" t="n">
        <v>20</v>
      </c>
      <c r="FH421" s="81" t="n">
        <v>30</v>
      </c>
      <c r="FS421" s="81" t="n">
        <v>30</v>
      </c>
    </row>
    <row r="422">
      <c r="A422" s="81" t="inlineStr">
        <is>
          <t>Meteor Beacon</t>
        </is>
      </c>
      <c r="B422" s="81" t="inlineStr">
        <is>
          <t>Aftermath</t>
        </is>
      </c>
      <c r="C422" s="81" t="inlineStr">
        <is>
          <t>control</t>
        </is>
      </c>
      <c r="D422" s="81" t="n">
        <v>3</v>
      </c>
      <c r="E422" s="81">
        <f>ROUND('Towers'!$C$23*POWER('Tuning'!$B$12,D422),0)</f>
        <v/>
      </c>
      <c r="F422" s="81">
        <f>F421+E422</f>
        <v/>
      </c>
      <c r="G422" s="81" t="n">
        <v>2.4</v>
      </c>
      <c r="H422" s="81" t="n">
        <v>1</v>
      </c>
      <c r="I422" s="81" t="n">
        <v>1</v>
      </c>
      <c r="J422" s="81">
        <f>'Towers'!$G$23*G422*H422*I422</f>
        <v/>
      </c>
      <c r="K422" s="81">
        <f>IF(J422=0,0,F422/J422)</f>
        <v/>
      </c>
      <c r="L422" s="81" t="n">
        <v>1</v>
      </c>
      <c r="M422" s="81" t="inlineStr">
        <is>
          <t>Shockwave Ring</t>
        </is>
      </c>
      <c r="W422" s="81" t="n">
        <v>6</v>
      </c>
      <c r="X422" s="81" t="n">
        <v>30</v>
      </c>
      <c r="FH422" s="81" t="n">
        <v>30</v>
      </c>
      <c r="FS422" s="81" t="n">
        <v>30</v>
      </c>
    </row>
    <row r="423">
      <c r="A423" s="81" t="inlineStr">
        <is>
          <t>Meteor Beacon</t>
        </is>
      </c>
      <c r="B423" s="81" t="inlineStr">
        <is>
          <t>Aftermath</t>
        </is>
      </c>
      <c r="C423" s="81" t="inlineStr">
        <is>
          <t>control</t>
        </is>
      </c>
      <c r="D423" s="81" t="n">
        <v>4</v>
      </c>
      <c r="E423" s="81">
        <f>ROUND('Towers'!$C$23*POWER('Tuning'!$B$12,D423),0)</f>
        <v/>
      </c>
      <c r="F423" s="81">
        <f>F422+E423</f>
        <v/>
      </c>
      <c r="G423" s="81" t="n">
        <v>1</v>
      </c>
      <c r="H423" s="81" t="n">
        <v>1</v>
      </c>
      <c r="I423" s="81" t="n">
        <v>1</v>
      </c>
      <c r="J423" s="81">
        <f>J422*G423*H423*I423</f>
        <v/>
      </c>
      <c r="K423" s="81">
        <f>IF(J423=0,0,F423/J423)</f>
        <v/>
      </c>
      <c r="L423" s="81" t="n">
        <v>1</v>
      </c>
      <c r="M423" s="81" t="inlineStr">
        <is>
          <t>Long Burn</t>
        </is>
      </c>
      <c r="X423" s="81" t="n">
        <v>45</v>
      </c>
      <c r="CI423" s="81" t="inlineStr">
        <is>
          <t>A</t>
        </is>
      </c>
      <c r="CJ423" s="81" t="inlineStr">
        <is>
          <t>Craters last 8 s, hotter</t>
        </is>
      </c>
      <c r="FQ423" s="81" t="n">
        <v>8</v>
      </c>
    </row>
    <row r="424">
      <c r="A424" s="81" t="inlineStr">
        <is>
          <t>Meteor Beacon</t>
        </is>
      </c>
      <c r="B424" s="81" t="inlineStr">
        <is>
          <t>Aftermath</t>
        </is>
      </c>
      <c r="C424" s="81" t="inlineStr">
        <is>
          <t>control</t>
        </is>
      </c>
      <c r="D424" s="81" t="n">
        <v>5</v>
      </c>
      <c r="E424" s="81">
        <f>ROUND('Towers'!$C$23*POWER('Tuning'!$B$12,D424),0)</f>
        <v/>
      </c>
      <c r="F424" s="81">
        <f>F423+E424</f>
        <v/>
      </c>
      <c r="G424" s="81" t="n">
        <v>1</v>
      </c>
      <c r="H424" s="81" t="n">
        <v>1</v>
      </c>
      <c r="I424" s="81" t="n">
        <v>1</v>
      </c>
      <c r="J424" s="81">
        <f>J423*G424*H424*I424</f>
        <v/>
      </c>
      <c r="K424" s="81">
        <f>IF(J424=0,0,F424/J424)</f>
        <v/>
      </c>
      <c r="L424" s="81" t="n">
        <v>1</v>
      </c>
      <c r="M424" s="81" t="inlineStr">
        <is>
          <t>Fire Line</t>
        </is>
      </c>
      <c r="X424" s="81" t="n">
        <v>54</v>
      </c>
      <c r="CI424" s="81" t="inlineStr">
        <is>
          <t>A</t>
        </is>
      </c>
      <c r="CJ424" s="81" t="inlineStr">
        <is>
          <t>Craters join into one burning strip</t>
        </is>
      </c>
      <c r="FU424" s="81" t="inlineStr">
        <is>
          <t>Yes</t>
        </is>
      </c>
    </row>
    <row r="425">
      <c r="A425" s="81" t="inlineStr">
        <is>
          <t>Meteor Beacon</t>
        </is>
      </c>
      <c r="B425" s="81" t="inlineStr">
        <is>
          <t>Impact</t>
        </is>
      </c>
      <c r="C425" s="81" t="inlineStr">
        <is>
          <t>damage</t>
        </is>
      </c>
      <c r="D425" s="81" t="n">
        <v>4</v>
      </c>
      <c r="E425" s="81">
        <f>E413</f>
        <v/>
      </c>
      <c r="F425" s="81">
        <f>F413</f>
        <v/>
      </c>
      <c r="G425" s="81" t="n">
        <v>1.8</v>
      </c>
      <c r="H425" s="81" t="n">
        <v>1</v>
      </c>
      <c r="I425" s="81" t="n">
        <v>1</v>
      </c>
      <c r="L425" s="81" t="n">
        <v>1</v>
      </c>
      <c r="M425" s="81" t="inlineStr">
        <is>
          <t>Plate Cracker</t>
        </is>
      </c>
      <c r="N425" s="81" t="inlineStr">
        <is>
          <t>Yes</t>
        </is>
      </c>
      <c r="CI425" s="81" t="inlineStr">
        <is>
          <t>B</t>
        </is>
      </c>
      <c r="CJ425" s="81" t="inlineStr">
        <is>
          <t>Meteors cut through armour</t>
        </is>
      </c>
    </row>
    <row r="426">
      <c r="A426" s="81" t="inlineStr">
        <is>
          <t>Meteor Beacon</t>
        </is>
      </c>
      <c r="B426" s="81" t="inlineStr">
        <is>
          <t>Impact</t>
        </is>
      </c>
      <c r="C426" s="81" t="inlineStr">
        <is>
          <t>damage</t>
        </is>
      </c>
      <c r="D426" s="81" t="n">
        <v>4</v>
      </c>
      <c r="E426" s="81">
        <f>E413</f>
        <v/>
      </c>
      <c r="F426" s="81">
        <f>F413</f>
        <v/>
      </c>
      <c r="G426" s="81" t="n">
        <v>1.25</v>
      </c>
      <c r="H426" s="81" t="n">
        <v>1.5</v>
      </c>
      <c r="I426" s="81" t="n">
        <v>1</v>
      </c>
      <c r="L426" s="81" t="n">
        <v>1</v>
      </c>
      <c r="M426" s="81" t="inlineStr">
        <is>
          <t>Quick Call</t>
        </is>
      </c>
      <c r="CI426" s="81" t="inlineStr">
        <is>
          <t>C</t>
        </is>
      </c>
      <c r="CJ426" s="81" t="inlineStr">
        <is>
          <t>Meteors fall 50% more often</t>
        </is>
      </c>
    </row>
    <row r="427">
      <c r="A427" s="81" t="inlineStr">
        <is>
          <t>Meteor Beacon</t>
        </is>
      </c>
      <c r="B427" s="81" t="inlineStr">
        <is>
          <t>Impact</t>
        </is>
      </c>
      <c r="C427" s="81" t="inlineStr">
        <is>
          <t>damage</t>
        </is>
      </c>
      <c r="D427" s="81" t="n">
        <v>5</v>
      </c>
      <c r="E427" s="81">
        <f>E414</f>
        <v/>
      </c>
      <c r="F427" s="81">
        <f>F414</f>
        <v/>
      </c>
      <c r="G427" s="81" t="n">
        <v>1.9</v>
      </c>
      <c r="H427" s="81" t="n">
        <v>1</v>
      </c>
      <c r="I427" s="81" t="n">
        <v>1</v>
      </c>
      <c r="L427" s="81" t="n">
        <v>1</v>
      </c>
      <c r="M427" s="81" t="inlineStr">
        <is>
          <t>Dino Killer</t>
        </is>
      </c>
      <c r="CI427" s="81" t="inlineStr">
        <is>
          <t>B</t>
        </is>
      </c>
      <c r="CJ427" s="81" t="inlineStr">
        <is>
          <t>Breaks the biggest dino it hits 2 extra sizes</t>
        </is>
      </c>
      <c r="FZ427" s="81" t="n">
        <v>2</v>
      </c>
    </row>
    <row r="428">
      <c r="A428" s="81" t="inlineStr">
        <is>
          <t>Meteor Beacon</t>
        </is>
      </c>
      <c r="B428" s="81" t="inlineStr">
        <is>
          <t>Impact</t>
        </is>
      </c>
      <c r="C428" s="81" t="inlineStr">
        <is>
          <t>damage</t>
        </is>
      </c>
      <c r="D428" s="81" t="n">
        <v>5</v>
      </c>
      <c r="E428" s="81">
        <f>E414</f>
        <v/>
      </c>
      <c r="F428" s="81">
        <f>F414</f>
        <v/>
      </c>
      <c r="G428" s="81" t="n">
        <v>1.9</v>
      </c>
      <c r="H428" s="81" t="n">
        <v>1</v>
      </c>
      <c r="I428" s="81" t="n">
        <v>1</v>
      </c>
      <c r="L428" s="81" t="n">
        <v>1</v>
      </c>
      <c r="M428" s="81" t="inlineStr">
        <is>
          <t>Impact Winter</t>
        </is>
      </c>
      <c r="CI428" s="81" t="inlineStr">
        <is>
          <t>C</t>
        </is>
      </c>
      <c r="CJ428" s="81" t="inlineStr">
        <is>
          <t>Every dino on your side slowed after each hit</t>
        </is>
      </c>
      <c r="FX428" s="81" t="n">
        <v>30</v>
      </c>
      <c r="FY428" s="81" t="n">
        <v>3</v>
      </c>
    </row>
    <row r="429">
      <c r="A429" s="81" t="inlineStr">
        <is>
          <t>Meteor Beacon</t>
        </is>
      </c>
      <c r="B429" s="81" t="inlineStr">
        <is>
          <t>Sky Rocks</t>
        </is>
      </c>
      <c r="C429" s="81" t="inlineStr">
        <is>
          <t>damage</t>
        </is>
      </c>
      <c r="D429" s="81" t="n">
        <v>4</v>
      </c>
      <c r="E429" s="81">
        <f>E418</f>
        <v/>
      </c>
      <c r="F429" s="81">
        <f>F418</f>
        <v/>
      </c>
      <c r="G429" s="81" t="n">
        <v>1.75</v>
      </c>
      <c r="H429" s="81" t="n">
        <v>1</v>
      </c>
      <c r="I429" s="81" t="n">
        <v>1</v>
      </c>
      <c r="L429" s="81" t="n">
        <v>1</v>
      </c>
      <c r="M429" s="81" t="inlineStr">
        <is>
          <t>Scatter Field</t>
        </is>
      </c>
      <c r="CI429" s="81" t="inlineStr">
        <is>
          <t>B</t>
        </is>
      </c>
      <c r="CJ429" s="81" t="inlineStr">
        <is>
          <t>Meteors land all along the track</t>
        </is>
      </c>
      <c r="FN429" s="81" t="inlineStr">
        <is>
          <t>Yes</t>
        </is>
      </c>
    </row>
    <row r="430">
      <c r="A430" s="81" t="inlineStr">
        <is>
          <t>Meteor Beacon</t>
        </is>
      </c>
      <c r="B430" s="81" t="inlineStr">
        <is>
          <t>Sky Rocks</t>
        </is>
      </c>
      <c r="C430" s="81" t="inlineStr">
        <is>
          <t>damage</t>
        </is>
      </c>
      <c r="D430" s="81" t="n">
        <v>4</v>
      </c>
      <c r="E430" s="81">
        <f>E418</f>
        <v/>
      </c>
      <c r="F430" s="81">
        <f>F418</f>
        <v/>
      </c>
      <c r="G430" s="81" t="n">
        <v>1.6</v>
      </c>
      <c r="H430" s="81" t="n">
        <v>1</v>
      </c>
      <c r="I430" s="81" t="n">
        <v>1</v>
      </c>
      <c r="L430" s="81" t="n">
        <v>1</v>
      </c>
      <c r="M430" s="81" t="inlineStr">
        <is>
          <t>Cinder Trail</t>
        </is>
      </c>
      <c r="X430" s="81" t="n">
        <v>20</v>
      </c>
      <c r="CI430" s="81" t="inlineStr">
        <is>
          <t>C</t>
        </is>
      </c>
      <c r="CJ430" s="81" t="inlineStr">
        <is>
          <t>Small meteors leave a burning streak</t>
        </is>
      </c>
      <c r="FV430" s="81" t="inlineStr">
        <is>
          <t>Yes</t>
        </is>
      </c>
    </row>
    <row r="431">
      <c r="A431" s="81" t="inlineStr">
        <is>
          <t>Meteor Beacon</t>
        </is>
      </c>
      <c r="B431" s="81" t="inlineStr">
        <is>
          <t>Sky Rocks</t>
        </is>
      </c>
      <c r="C431" s="81" t="inlineStr">
        <is>
          <t>damage</t>
        </is>
      </c>
      <c r="D431" s="81" t="n">
        <v>5</v>
      </c>
      <c r="E431" s="81">
        <f>E419</f>
        <v/>
      </c>
      <c r="F431" s="81">
        <f>F419</f>
        <v/>
      </c>
      <c r="G431" s="81" t="n">
        <v>1.7</v>
      </c>
      <c r="H431" s="81" t="n">
        <v>1</v>
      </c>
      <c r="I431" s="81" t="n">
        <v>1</v>
      </c>
      <c r="L431" s="81" t="n">
        <v>1</v>
      </c>
      <c r="M431" s="81" t="inlineStr">
        <is>
          <t>Comet Tail</t>
        </is>
      </c>
      <c r="CI431" s="81" t="inlineStr">
        <is>
          <t>B</t>
        </is>
      </c>
      <c r="CJ431" s="81" t="inlineStr">
        <is>
          <t>A comet sweeps the whole track once a round</t>
        </is>
      </c>
      <c r="CS431" s="81" t="n">
        <v>6</v>
      </c>
      <c r="FK431" s="81" t="inlineStr">
        <is>
          <t>Yes</t>
        </is>
      </c>
    </row>
    <row r="432">
      <c r="A432" s="81" t="inlineStr">
        <is>
          <t>Meteor Beacon</t>
        </is>
      </c>
      <c r="B432" s="81" t="inlineStr">
        <is>
          <t>Sky Rocks</t>
        </is>
      </c>
      <c r="C432" s="81" t="inlineStr">
        <is>
          <t>damage</t>
        </is>
      </c>
      <c r="D432" s="81" t="n">
        <v>5</v>
      </c>
      <c r="E432" s="81">
        <f>E419</f>
        <v/>
      </c>
      <c r="F432" s="81">
        <f>F419</f>
        <v/>
      </c>
      <c r="G432" s="81" t="n">
        <v>1.95</v>
      </c>
      <c r="H432" s="81" t="n">
        <v>1</v>
      </c>
      <c r="I432" s="81" t="n">
        <v>1</v>
      </c>
      <c r="L432" s="81" t="n">
        <v>1</v>
      </c>
      <c r="M432" s="81" t="inlineStr">
        <is>
          <t>Shooting Stars</t>
        </is>
      </c>
      <c r="CI432" s="81" t="inlineStr">
        <is>
          <t>C</t>
        </is>
      </c>
      <c r="CJ432" s="81" t="inlineStr">
        <is>
          <t>Meteors can hit flyers</t>
        </is>
      </c>
      <c r="DW432" s="81" t="inlineStr">
        <is>
          <t>Yes</t>
        </is>
      </c>
    </row>
    <row r="433">
      <c r="A433" s="81" t="inlineStr">
        <is>
          <t>Meteor Beacon</t>
        </is>
      </c>
      <c r="B433" s="81" t="inlineStr">
        <is>
          <t>Aftermath</t>
        </is>
      </c>
      <c r="C433" s="81" t="inlineStr">
        <is>
          <t>control</t>
        </is>
      </c>
      <c r="D433" s="81" t="n">
        <v>4</v>
      </c>
      <c r="E433" s="81">
        <f>E423</f>
        <v/>
      </c>
      <c r="F433" s="81">
        <f>F423</f>
        <v/>
      </c>
      <c r="G433" s="81" t="n">
        <v>1</v>
      </c>
      <c r="H433" s="81" t="n">
        <v>1</v>
      </c>
      <c r="I433" s="81" t="n">
        <v>1</v>
      </c>
      <c r="L433" s="81" t="n">
        <v>1</v>
      </c>
      <c r="M433" s="81" t="inlineStr">
        <is>
          <t>Glass Crater</t>
        </is>
      </c>
      <c r="X433" s="81" t="n">
        <v>40</v>
      </c>
      <c r="AM433" s="81" t="inlineStr">
        <is>
          <t>Yes</t>
        </is>
      </c>
      <c r="CI433" s="81" t="inlineStr">
        <is>
          <t>B</t>
        </is>
      </c>
      <c r="CJ433" s="81" t="inlineStr">
        <is>
          <t>Craters strip armour</t>
        </is>
      </c>
    </row>
    <row r="434">
      <c r="A434" s="81" t="inlineStr">
        <is>
          <t>Meteor Beacon</t>
        </is>
      </c>
      <c r="B434" s="81" t="inlineStr">
        <is>
          <t>Aftermath</t>
        </is>
      </c>
      <c r="C434" s="81" t="inlineStr">
        <is>
          <t>control</t>
        </is>
      </c>
      <c r="D434" s="81" t="n">
        <v>4</v>
      </c>
      <c r="E434" s="81">
        <f>E423</f>
        <v/>
      </c>
      <c r="F434" s="81">
        <f>F423</f>
        <v/>
      </c>
      <c r="G434" s="81" t="n">
        <v>1</v>
      </c>
      <c r="H434" s="81" t="n">
        <v>1</v>
      </c>
      <c r="I434" s="81" t="n">
        <v>1</v>
      </c>
      <c r="L434" s="81" t="n">
        <v>1</v>
      </c>
      <c r="M434" s="81" t="inlineStr">
        <is>
          <t>Scorch Marks</t>
        </is>
      </c>
      <c r="X434" s="81" t="n">
        <v>40</v>
      </c>
      <c r="CI434" s="81" t="inlineStr">
        <is>
          <t>C</t>
        </is>
      </c>
      <c r="CJ434" s="81" t="inlineStr">
        <is>
          <t>Dinos crossing a crater take +15%</t>
        </is>
      </c>
      <c r="FR434" s="81" t="n">
        <v>15</v>
      </c>
    </row>
    <row r="435">
      <c r="A435" s="81" t="inlineStr">
        <is>
          <t>Meteor Beacon</t>
        </is>
      </c>
      <c r="B435" s="81" t="inlineStr">
        <is>
          <t>Aftermath</t>
        </is>
      </c>
      <c r="C435" s="81" t="inlineStr">
        <is>
          <t>control</t>
        </is>
      </c>
      <c r="D435" s="81" t="n">
        <v>5</v>
      </c>
      <c r="E435" s="81">
        <f>E424</f>
        <v/>
      </c>
      <c r="F435" s="81">
        <f>F424</f>
        <v/>
      </c>
      <c r="G435" s="81" t="n">
        <v>1</v>
      </c>
      <c r="H435" s="81" t="n">
        <v>1</v>
      </c>
      <c r="I435" s="81" t="n">
        <v>1</v>
      </c>
      <c r="L435" s="81" t="n">
        <v>1</v>
      </c>
      <c r="M435" s="81" t="inlineStr">
        <is>
          <t>Blinding Dust</t>
        </is>
      </c>
      <c r="X435" s="81" t="n">
        <v>55</v>
      </c>
      <c r="CI435" s="81" t="inlineStr">
        <is>
          <t>B</t>
        </is>
      </c>
      <c r="CJ435" s="81" t="inlineStr">
        <is>
          <t>Dinos in the ash can't bite or throw</t>
        </is>
      </c>
      <c r="FH435" s="81" t="n">
        <v>100</v>
      </c>
      <c r="FS435" s="81" t="n">
        <v>100</v>
      </c>
    </row>
    <row r="436">
      <c r="A436" s="81" t="inlineStr">
        <is>
          <t>Meteor Beacon</t>
        </is>
      </c>
      <c r="B436" s="81" t="inlineStr">
        <is>
          <t>Aftermath</t>
        </is>
      </c>
      <c r="C436" s="81" t="inlineStr">
        <is>
          <t>control</t>
        </is>
      </c>
      <c r="D436" s="81" t="n">
        <v>5</v>
      </c>
      <c r="E436" s="81">
        <f>E424</f>
        <v/>
      </c>
      <c r="F436" s="81">
        <f>F424</f>
        <v/>
      </c>
      <c r="G436" s="81" t="n">
        <v>1.6</v>
      </c>
      <c r="H436" s="81" t="n">
        <v>1</v>
      </c>
      <c r="I436" s="81" t="n">
        <v>1</v>
      </c>
      <c r="L436" s="81" t="n">
        <v>1</v>
      </c>
      <c r="M436" s="81" t="inlineStr">
        <is>
          <t>New Ice Age</t>
        </is>
      </c>
      <c r="CI436" s="81" t="inlineStr">
        <is>
          <t>C</t>
        </is>
      </c>
      <c r="CJ436" s="81" t="inlineStr">
        <is>
          <t>Craters freeze dinos solid for 2 s</t>
        </is>
      </c>
      <c r="FT436" s="81" t="n">
        <v>2</v>
      </c>
    </row>
    <row r="437">
      <c r="A437" s="81" t="inlineStr">
        <is>
          <t>Volcano Vent</t>
        </is>
      </c>
      <c r="B437" s="81" t="inlineStr">
        <is>
          <t>Magma</t>
        </is>
      </c>
      <c r="C437" s="81" t="inlineStr">
        <is>
          <t>damage</t>
        </is>
      </c>
      <c r="D437" s="81" t="n">
        <v>1</v>
      </c>
      <c r="E437" s="81">
        <f>ROUND('Towers'!$C$24*POWER('Tuning'!$B$12,D437),0)</f>
        <v/>
      </c>
      <c r="F437" s="81">
        <f>'Towers'!$C$24+E437</f>
        <v/>
      </c>
      <c r="G437" s="81" t="n">
        <v>1.6</v>
      </c>
      <c r="H437" s="81" t="n">
        <v>1</v>
      </c>
      <c r="I437" s="81" t="n">
        <v>1</v>
      </c>
      <c r="J437" s="81">
        <f>'Towers'!$G$24*G437*H437*I437</f>
        <v/>
      </c>
      <c r="K437" s="81">
        <f>IF(J437=0,0,F437/J437)</f>
        <v/>
      </c>
      <c r="L437" s="81" t="n">
        <v>1</v>
      </c>
      <c r="M437" s="81" t="inlineStr">
        <is>
          <t>Hot Rock</t>
        </is>
      </c>
    </row>
    <row r="438">
      <c r="A438" s="81" t="inlineStr">
        <is>
          <t>Volcano Vent</t>
        </is>
      </c>
      <c r="B438" s="81" t="inlineStr">
        <is>
          <t>Magma</t>
        </is>
      </c>
      <c r="C438" s="81" t="inlineStr">
        <is>
          <t>damage</t>
        </is>
      </c>
      <c r="D438" s="81" t="n">
        <v>2</v>
      </c>
      <c r="E438" s="81">
        <f>ROUND('Towers'!$C$24*POWER('Tuning'!$B$12,D438),0)</f>
        <v/>
      </c>
      <c r="F438" s="81">
        <f>F437+E438</f>
        <v/>
      </c>
      <c r="G438" s="81" t="n">
        <v>3</v>
      </c>
      <c r="H438" s="81" t="n">
        <v>1</v>
      </c>
      <c r="I438" s="81" t="n">
        <v>1</v>
      </c>
      <c r="J438" s="81">
        <f>'Towers'!$G$24*G438*H438*I438</f>
        <v/>
      </c>
      <c r="K438" s="81">
        <f>IF(J438=0,0,F438/J438)</f>
        <v/>
      </c>
      <c r="L438" s="81" t="n">
        <v>1</v>
      </c>
      <c r="M438" s="81" t="inlineStr">
        <is>
          <t>Searing Flow</t>
        </is>
      </c>
    </row>
    <row r="439">
      <c r="A439" s="81" t="inlineStr">
        <is>
          <t>Volcano Vent</t>
        </is>
      </c>
      <c r="B439" s="81" t="inlineStr">
        <is>
          <t>Magma</t>
        </is>
      </c>
      <c r="C439" s="81" t="inlineStr">
        <is>
          <t>damage</t>
        </is>
      </c>
      <c r="D439" s="81" t="n">
        <v>3</v>
      </c>
      <c r="E439" s="81">
        <f>ROUND('Towers'!$C$24*POWER('Tuning'!$B$12,D439),0)</f>
        <v/>
      </c>
      <c r="F439" s="81">
        <f>F438+E439</f>
        <v/>
      </c>
      <c r="G439" s="81" t="n">
        <v>5.4</v>
      </c>
      <c r="H439" s="81" t="n">
        <v>1</v>
      </c>
      <c r="I439" s="81" t="n">
        <v>1</v>
      </c>
      <c r="J439" s="81">
        <f>'Towers'!$G$24*G439*H439*I439</f>
        <v/>
      </c>
      <c r="K439" s="81">
        <f>IF(J439=0,0,F439/J439)</f>
        <v/>
      </c>
      <c r="L439" s="81" t="n">
        <v>1</v>
      </c>
      <c r="M439" s="81" t="inlineStr">
        <is>
          <t>Lava Lake</t>
        </is>
      </c>
      <c r="GA439" s="81" t="n">
        <v>10</v>
      </c>
      <c r="GC439" s="81" t="inlineStr">
        <is>
          <t>Yes</t>
        </is>
      </c>
    </row>
    <row r="440">
      <c r="A440" s="81" t="inlineStr">
        <is>
          <t>Volcano Vent</t>
        </is>
      </c>
      <c r="B440" s="81" t="inlineStr">
        <is>
          <t>Magma</t>
        </is>
      </c>
      <c r="C440" s="81" t="inlineStr">
        <is>
          <t>damage</t>
        </is>
      </c>
      <c r="D440" s="81" t="n">
        <v>4</v>
      </c>
      <c r="E440" s="81">
        <f>ROUND('Towers'!$C$24*POWER('Tuning'!$B$12,D440),0)</f>
        <v/>
      </c>
      <c r="F440" s="81">
        <f>F439+E440</f>
        <v/>
      </c>
      <c r="G440" s="81" t="n">
        <v>1.75</v>
      </c>
      <c r="H440" s="81" t="n">
        <v>1</v>
      </c>
      <c r="I440" s="81" t="n">
        <v>1</v>
      </c>
      <c r="J440" s="81">
        <f>J439*G440*H440*I440</f>
        <v/>
      </c>
      <c r="K440" s="81">
        <f>IF(J440=0,0,F440/J440)</f>
        <v/>
      </c>
      <c r="L440" s="81" t="n">
        <v>1</v>
      </c>
      <c r="M440" s="81" t="inlineStr">
        <is>
          <t>White Hot</t>
        </is>
      </c>
      <c r="N440" s="81" t="inlineStr">
        <is>
          <t>Yes</t>
        </is>
      </c>
      <c r="CI440" s="81" t="inlineStr">
        <is>
          <t>A</t>
        </is>
      </c>
      <c r="CJ440" s="81" t="inlineStr">
        <is>
          <t>Lava melts armour</t>
        </is>
      </c>
    </row>
    <row r="441">
      <c r="A441" s="81" t="inlineStr">
        <is>
          <t>Volcano Vent</t>
        </is>
      </c>
      <c r="B441" s="81" t="inlineStr">
        <is>
          <t>Magma</t>
        </is>
      </c>
      <c r="C441" s="81" t="inlineStr">
        <is>
          <t>damage</t>
        </is>
      </c>
      <c r="D441" s="81" t="n">
        <v>5</v>
      </c>
      <c r="E441" s="81">
        <f>ROUND('Towers'!$C$24*POWER('Tuning'!$B$12,D441),0)</f>
        <v/>
      </c>
      <c r="F441" s="81">
        <f>F440+E441</f>
        <v/>
      </c>
      <c r="G441" s="81" t="n">
        <v>1.5</v>
      </c>
      <c r="H441" s="81" t="n">
        <v>1</v>
      </c>
      <c r="I441" s="81" t="n">
        <v>1</v>
      </c>
      <c r="J441" s="81">
        <f>J440*G441*H441*I441</f>
        <v/>
      </c>
      <c r="K441" s="81">
        <f>IF(J441=0,0,F441/J441)</f>
        <v/>
      </c>
      <c r="L441" s="81" t="n">
        <v>1</v>
      </c>
      <c r="M441" s="81" t="inlineStr">
        <is>
          <t>Supervolcano</t>
        </is>
      </c>
      <c r="CI441" s="81" t="inlineStr">
        <is>
          <t>A</t>
        </is>
      </c>
      <c r="CJ441" s="81" t="inlineStr">
        <is>
          <t>Floods the whole track once a round</t>
        </is>
      </c>
      <c r="GI441" s="81" t="inlineStr">
        <is>
          <t>Yes</t>
        </is>
      </c>
    </row>
    <row r="442">
      <c r="A442" s="81" t="inlineStr">
        <is>
          <t>Volcano Vent</t>
        </is>
      </c>
      <c r="B442" s="81" t="inlineStr">
        <is>
          <t>Pressure</t>
        </is>
      </c>
      <c r="C442" s="81" t="inlineStr">
        <is>
          <t>damage</t>
        </is>
      </c>
      <c r="D442" s="81" t="n">
        <v>1</v>
      </c>
      <c r="E442" s="81">
        <f>ROUND('Towers'!$C$24*POWER('Tuning'!$B$12,D442),0)</f>
        <v/>
      </c>
      <c r="F442" s="81">
        <f>'Towers'!$C$24+E442</f>
        <v/>
      </c>
      <c r="G442" s="81" t="n">
        <v>1.2</v>
      </c>
      <c r="H442" s="81" t="n">
        <v>1.33</v>
      </c>
      <c r="I442" s="81" t="n">
        <v>1</v>
      </c>
      <c r="J442" s="81">
        <f>'Towers'!$G$24*G442*H442*I442</f>
        <v/>
      </c>
      <c r="K442" s="81">
        <f>IF(J442=0,0,F442/J442)</f>
        <v/>
      </c>
      <c r="L442" s="81" t="n">
        <v>1</v>
      </c>
      <c r="M442" s="81" t="inlineStr">
        <is>
          <t>Shorter Fuse</t>
        </is>
      </c>
    </row>
    <row r="443">
      <c r="A443" s="81" t="inlineStr">
        <is>
          <t>Volcano Vent</t>
        </is>
      </c>
      <c r="B443" s="81" t="inlineStr">
        <is>
          <t>Pressure</t>
        </is>
      </c>
      <c r="C443" s="81" t="inlineStr">
        <is>
          <t>damage</t>
        </is>
      </c>
      <c r="D443" s="81" t="n">
        <v>2</v>
      </c>
      <c r="E443" s="81">
        <f>ROUND('Towers'!$C$24*POWER('Tuning'!$B$12,D443),0)</f>
        <v/>
      </c>
      <c r="F443" s="81">
        <f>F442+E443</f>
        <v/>
      </c>
      <c r="G443" s="81" t="n">
        <v>1.5</v>
      </c>
      <c r="H443" s="81" t="n">
        <v>2</v>
      </c>
      <c r="I443" s="81" t="n">
        <v>1</v>
      </c>
      <c r="J443" s="81">
        <f>'Towers'!$G$24*G443*H443*I443</f>
        <v/>
      </c>
      <c r="K443" s="81">
        <f>IF(J443=0,0,F443/J443)</f>
        <v/>
      </c>
      <c r="L443" s="81" t="n">
        <v>1</v>
      </c>
      <c r="M443" s="81" t="inlineStr">
        <is>
          <t>Twin Vents</t>
        </is>
      </c>
    </row>
    <row r="444">
      <c r="A444" s="81" t="inlineStr">
        <is>
          <t>Volcano Vent</t>
        </is>
      </c>
      <c r="B444" s="81" t="inlineStr">
        <is>
          <t>Pressure</t>
        </is>
      </c>
      <c r="C444" s="81" t="inlineStr">
        <is>
          <t>damage</t>
        </is>
      </c>
      <c r="D444" s="81" t="n">
        <v>3</v>
      </c>
      <c r="E444" s="81">
        <f>ROUND('Towers'!$C$24*POWER('Tuning'!$B$12,D444),0)</f>
        <v/>
      </c>
      <c r="F444" s="81">
        <f>F443+E444</f>
        <v/>
      </c>
      <c r="G444" s="81" t="n">
        <v>2.5</v>
      </c>
      <c r="H444" s="81" t="n">
        <v>2</v>
      </c>
      <c r="I444" s="81" t="n">
        <v>1</v>
      </c>
      <c r="J444" s="81">
        <f>'Towers'!$G$24*G444*H444*I444</f>
        <v/>
      </c>
      <c r="K444" s="81">
        <f>IF(J444=0,0,F444/J444)</f>
        <v/>
      </c>
      <c r="L444" s="81" t="n">
        <v>1</v>
      </c>
      <c r="M444" s="81" t="inlineStr">
        <is>
          <t>Geyser</t>
        </is>
      </c>
      <c r="GD444" s="81" t="n">
        <v>5</v>
      </c>
    </row>
    <row r="445">
      <c r="A445" s="81" t="inlineStr">
        <is>
          <t>Volcano Vent</t>
        </is>
      </c>
      <c r="B445" s="81" t="inlineStr">
        <is>
          <t>Pressure</t>
        </is>
      </c>
      <c r="C445" s="81" t="inlineStr">
        <is>
          <t>damage</t>
        </is>
      </c>
      <c r="D445" s="81" t="n">
        <v>4</v>
      </c>
      <c r="E445" s="81">
        <f>ROUND('Towers'!$C$24*POWER('Tuning'!$B$12,D445),0)</f>
        <v/>
      </c>
      <c r="F445" s="81">
        <f>F444+E445</f>
        <v/>
      </c>
      <c r="G445" s="81" t="n">
        <v>1.75</v>
      </c>
      <c r="H445" s="81" t="n">
        <v>1</v>
      </c>
      <c r="I445" s="81" t="n">
        <v>1</v>
      </c>
      <c r="J445" s="81">
        <f>J444*G445*H445*I445</f>
        <v/>
      </c>
      <c r="K445" s="81">
        <f>IF(J445=0,0,F445/J445)</f>
        <v/>
      </c>
      <c r="L445" s="81" t="n">
        <v>1</v>
      </c>
      <c r="M445" s="81" t="inlineStr">
        <is>
          <t>Steam Burst</t>
        </is>
      </c>
      <c r="W445" s="81" t="n">
        <v>6</v>
      </c>
      <c r="CI445" s="81" t="inlineStr">
        <is>
          <t>A</t>
        </is>
      </c>
      <c r="CJ445" s="81" t="inlineStr">
        <is>
          <t>Eruptions knock small dinos back</t>
        </is>
      </c>
    </row>
    <row r="446">
      <c r="A446" s="81" t="inlineStr">
        <is>
          <t>Volcano Vent</t>
        </is>
      </c>
      <c r="B446" s="81" t="inlineStr">
        <is>
          <t>Pressure</t>
        </is>
      </c>
      <c r="C446" s="81" t="inlineStr">
        <is>
          <t>damage</t>
        </is>
      </c>
      <c r="D446" s="81" t="n">
        <v>5</v>
      </c>
      <c r="E446" s="81">
        <f>ROUND('Towers'!$C$24*POWER('Tuning'!$B$12,D446),0)</f>
        <v/>
      </c>
      <c r="F446" s="81">
        <f>F445+E446</f>
        <v/>
      </c>
      <c r="G446" s="81" t="n">
        <v>0.85</v>
      </c>
      <c r="H446" s="81" t="n">
        <v>1</v>
      </c>
      <c r="I446" s="81" t="n">
        <v>1</v>
      </c>
      <c r="J446" s="81">
        <f>J445*G446*H446*I446</f>
        <v/>
      </c>
      <c r="K446" s="81">
        <f>IF(J446=0,0,F446/J446)</f>
        <v/>
      </c>
      <c r="L446" s="81" t="n">
        <v>1</v>
      </c>
      <c r="M446" s="81" t="inlineStr">
        <is>
          <t>Ring of Fire</t>
        </is>
      </c>
      <c r="CI446" s="81" t="inlineStr">
        <is>
          <t>A</t>
        </is>
      </c>
      <c r="CJ446" s="81" t="inlineStr">
        <is>
          <t>3 small vents erupt in turn</t>
        </is>
      </c>
      <c r="GE446" s="81" t="n">
        <v>3</v>
      </c>
    </row>
    <row r="447">
      <c r="A447" s="81" t="inlineStr">
        <is>
          <t>Volcano Vent</t>
        </is>
      </c>
      <c r="B447" s="81" t="inlineStr">
        <is>
          <t>Obsidian</t>
        </is>
      </c>
      <c r="C447" s="81" t="inlineStr">
        <is>
          <t>control</t>
        </is>
      </c>
      <c r="D447" s="81" t="n">
        <v>1</v>
      </c>
      <c r="E447" s="81">
        <f>ROUND('Towers'!$C$24*POWER('Tuning'!$B$12,D447),0)</f>
        <v/>
      </c>
      <c r="F447" s="81">
        <f>'Towers'!$C$24+E447</f>
        <v/>
      </c>
      <c r="G447" s="81" t="n">
        <v>1</v>
      </c>
      <c r="H447" s="81" t="n">
        <v>1</v>
      </c>
      <c r="I447" s="81" t="n">
        <v>1</v>
      </c>
      <c r="J447" s="81">
        <f>'Towers'!$G$24*G447*H447*I447</f>
        <v/>
      </c>
      <c r="K447" s="81">
        <f>IF(J447=0,0,F447/J447)</f>
        <v/>
      </c>
      <c r="L447" s="81" t="n">
        <v>1</v>
      </c>
      <c r="M447" s="81" t="inlineStr">
        <is>
          <t>Cooling Crust</t>
        </is>
      </c>
      <c r="GJ447" s="81" t="inlineStr">
        <is>
          <t>Yes</t>
        </is>
      </c>
    </row>
    <row r="448">
      <c r="A448" s="81" t="inlineStr">
        <is>
          <t>Volcano Vent</t>
        </is>
      </c>
      <c r="B448" s="81" t="inlineStr">
        <is>
          <t>Obsidian</t>
        </is>
      </c>
      <c r="C448" s="81" t="inlineStr">
        <is>
          <t>control</t>
        </is>
      </c>
      <c r="D448" s="81" t="n">
        <v>2</v>
      </c>
      <c r="E448" s="81">
        <f>ROUND('Towers'!$C$24*POWER('Tuning'!$B$12,D448),0)</f>
        <v/>
      </c>
      <c r="F448" s="81">
        <f>F447+E448</f>
        <v/>
      </c>
      <c r="G448" s="81" t="n">
        <v>1</v>
      </c>
      <c r="H448" s="81" t="n">
        <v>1</v>
      </c>
      <c r="I448" s="81" t="n">
        <v>1</v>
      </c>
      <c r="J448" s="81">
        <f>'Towers'!$G$24*G448*H448*I448</f>
        <v/>
      </c>
      <c r="K448" s="81">
        <f>IF(J448=0,0,F448/J448)</f>
        <v/>
      </c>
      <c r="L448" s="81" t="n">
        <v>1</v>
      </c>
      <c r="M448" s="81" t="inlineStr">
        <is>
          <t>Sharp Glass</t>
        </is>
      </c>
      <c r="AM448" s="81" t="inlineStr">
        <is>
          <t>Yes</t>
        </is>
      </c>
      <c r="GJ448" s="81" t="inlineStr">
        <is>
          <t>Yes</t>
        </is>
      </c>
    </row>
    <row r="449">
      <c r="A449" s="81" t="inlineStr">
        <is>
          <t>Volcano Vent</t>
        </is>
      </c>
      <c r="B449" s="81" t="inlineStr">
        <is>
          <t>Obsidian</t>
        </is>
      </c>
      <c r="C449" s="81" t="inlineStr">
        <is>
          <t>control</t>
        </is>
      </c>
      <c r="D449" s="81" t="n">
        <v>3</v>
      </c>
      <c r="E449" s="81">
        <f>ROUND('Towers'!$C$24*POWER('Tuning'!$B$12,D449),0)</f>
        <v/>
      </c>
      <c r="F449" s="81">
        <f>F448+E449</f>
        <v/>
      </c>
      <c r="G449" s="81" t="n">
        <v>1</v>
      </c>
      <c r="H449" s="81" t="n">
        <v>1</v>
      </c>
      <c r="I449" s="81" t="n">
        <v>1</v>
      </c>
      <c r="J449" s="81">
        <f>'Towers'!$G$24*G449*H449*I449</f>
        <v/>
      </c>
      <c r="K449" s="81">
        <f>IF(J449=0,0,F449/J449)</f>
        <v/>
      </c>
      <c r="L449" s="81" t="n">
        <v>1</v>
      </c>
      <c r="M449" s="81" t="inlineStr">
        <is>
          <t>Obsidian Wall</t>
        </is>
      </c>
      <c r="AM449" s="81" t="inlineStr">
        <is>
          <t>Yes</t>
        </is>
      </c>
      <c r="DL449" s="81" t="n">
        <v>2</v>
      </c>
      <c r="GJ449" s="81" t="inlineStr">
        <is>
          <t>Yes</t>
        </is>
      </c>
    </row>
    <row r="450">
      <c r="A450" s="81" t="inlineStr">
        <is>
          <t>Volcano Vent</t>
        </is>
      </c>
      <c r="B450" s="81" t="inlineStr">
        <is>
          <t>Obsidian</t>
        </is>
      </c>
      <c r="C450" s="81" t="inlineStr">
        <is>
          <t>control</t>
        </is>
      </c>
      <c r="D450" s="81" t="n">
        <v>4</v>
      </c>
      <c r="E450" s="81">
        <f>ROUND('Towers'!$C$24*POWER('Tuning'!$B$12,D450),0)</f>
        <v/>
      </c>
      <c r="F450" s="81">
        <f>F449+E450</f>
        <v/>
      </c>
      <c r="G450" s="81" t="n">
        <v>1</v>
      </c>
      <c r="H450" s="81" t="n">
        <v>1</v>
      </c>
      <c r="I450" s="81" t="n">
        <v>1</v>
      </c>
      <c r="J450" s="81">
        <f>J449*G450*H450*I450</f>
        <v/>
      </c>
      <c r="K450" s="81">
        <f>IF(J450=0,0,F450/J450)</f>
        <v/>
      </c>
      <c r="L450" s="81" t="n">
        <v>1</v>
      </c>
      <c r="M450" s="81" t="inlineStr">
        <is>
          <t>Jagged Crust</t>
        </is>
      </c>
      <c r="CI450" s="81" t="inlineStr">
        <is>
          <t>A</t>
        </is>
      </c>
      <c r="CJ450" s="81" t="inlineStr">
        <is>
          <t>The crust cuts dinos</t>
        </is>
      </c>
      <c r="GK450" s="81" t="n">
        <v>35</v>
      </c>
    </row>
    <row r="451">
      <c r="A451" s="81" t="inlineStr">
        <is>
          <t>Volcano Vent</t>
        </is>
      </c>
      <c r="B451" s="81" t="inlineStr">
        <is>
          <t>Obsidian</t>
        </is>
      </c>
      <c r="C451" s="81" t="inlineStr">
        <is>
          <t>control</t>
        </is>
      </c>
      <c r="D451" s="81" t="n">
        <v>5</v>
      </c>
      <c r="E451" s="81">
        <f>ROUND('Towers'!$C$24*POWER('Tuning'!$B$12,D451),0)</f>
        <v/>
      </c>
      <c r="F451" s="81">
        <f>F450+E451</f>
        <v/>
      </c>
      <c r="G451" s="81" t="n">
        <v>1</v>
      </c>
      <c r="H451" s="81" t="n">
        <v>1</v>
      </c>
      <c r="I451" s="81" t="n">
        <v>1</v>
      </c>
      <c r="J451" s="81">
        <f>J450*G451*H451*I451</f>
        <v/>
      </c>
      <c r="K451" s="81">
        <f>IF(J451=0,0,F451/J451)</f>
        <v/>
      </c>
      <c r="L451" s="81" t="n">
        <v>1</v>
      </c>
      <c r="M451" s="81" t="inlineStr">
        <is>
          <t>Glass Maze</t>
        </is>
      </c>
      <c r="CI451" s="81" t="inlineStr">
        <is>
          <t>A</t>
        </is>
      </c>
      <c r="CJ451" s="81" t="inlineStr">
        <is>
          <t>The crust makes dinos walk 12 studs further</t>
        </is>
      </c>
      <c r="GL451" s="81" t="n">
        <v>12</v>
      </c>
    </row>
    <row r="452">
      <c r="A452" s="81" t="inlineStr">
        <is>
          <t>Volcano Vent</t>
        </is>
      </c>
      <c r="B452" s="81" t="inlineStr">
        <is>
          <t>Magma</t>
        </is>
      </c>
      <c r="C452" s="81" t="inlineStr">
        <is>
          <t>damage</t>
        </is>
      </c>
      <c r="D452" s="81" t="n">
        <v>4</v>
      </c>
      <c r="E452" s="81">
        <f>E440</f>
        <v/>
      </c>
      <c r="F452" s="81">
        <f>F440</f>
        <v/>
      </c>
      <c r="G452" s="81" t="n">
        <v>1.3</v>
      </c>
      <c r="H452" s="81" t="n">
        <v>1</v>
      </c>
      <c r="I452" s="81" t="n">
        <v>1</v>
      </c>
      <c r="L452" s="81" t="n">
        <v>1</v>
      </c>
      <c r="M452" s="81" t="inlineStr">
        <is>
          <t>Rivers of Fire</t>
        </is>
      </c>
      <c r="CI452" s="81" t="inlineStr">
        <is>
          <t>B</t>
        </is>
      </c>
      <c r="CJ452" s="81" t="inlineStr">
        <is>
          <t>The lava runs 20 studs further</t>
        </is>
      </c>
      <c r="GB452" s="81" t="n">
        <v>1.8</v>
      </c>
    </row>
    <row r="453">
      <c r="A453" s="81" t="inlineStr">
        <is>
          <t>Volcano Vent</t>
        </is>
      </c>
      <c r="B453" s="81" t="inlineStr">
        <is>
          <t>Magma</t>
        </is>
      </c>
      <c r="C453" s="81" t="inlineStr">
        <is>
          <t>damage</t>
        </is>
      </c>
      <c r="D453" s="81" t="n">
        <v>4</v>
      </c>
      <c r="E453" s="81">
        <f>E440</f>
        <v/>
      </c>
      <c r="F453" s="81">
        <f>F440</f>
        <v/>
      </c>
      <c r="G453" s="81" t="n">
        <v>1.85</v>
      </c>
      <c r="H453" s="81" t="n">
        <v>1</v>
      </c>
      <c r="I453" s="81" t="n">
        <v>1</v>
      </c>
      <c r="L453" s="81" t="n">
        <v>1</v>
      </c>
      <c r="M453" s="81" t="inlineStr">
        <is>
          <t>Ember Rain</t>
        </is>
      </c>
      <c r="CI453" s="81" t="inlineStr">
        <is>
          <t>C</t>
        </is>
      </c>
      <c r="CJ453" s="81" t="inlineStr">
        <is>
          <t>Embers hit low flyers</t>
        </is>
      </c>
      <c r="DW453" s="81" t="inlineStr">
        <is>
          <t>Yes</t>
        </is>
      </c>
    </row>
    <row r="454">
      <c r="A454" s="81" t="inlineStr">
        <is>
          <t>Volcano Vent</t>
        </is>
      </c>
      <c r="B454" s="81" t="inlineStr">
        <is>
          <t>Magma</t>
        </is>
      </c>
      <c r="C454" s="81" t="inlineStr">
        <is>
          <t>damage</t>
        </is>
      </c>
      <c r="D454" s="81" t="n">
        <v>5</v>
      </c>
      <c r="E454" s="81">
        <f>E441</f>
        <v/>
      </c>
      <c r="F454" s="81">
        <f>F441</f>
        <v/>
      </c>
      <c r="G454" s="81" t="n">
        <v>1.5</v>
      </c>
      <c r="H454" s="81" t="n">
        <v>1</v>
      </c>
      <c r="I454" s="81" t="n">
        <v>1</v>
      </c>
      <c r="L454" s="81" t="n">
        <v>1</v>
      </c>
      <c r="M454" s="81" t="inlineStr">
        <is>
          <t>Lava Bombs</t>
        </is>
      </c>
      <c r="CI454" s="81" t="inlineStr">
        <is>
          <t>B</t>
        </is>
      </c>
      <c r="CJ454" s="81" t="inlineStr">
        <is>
          <t>Throws 6 lava bombs at big dinos</t>
        </is>
      </c>
      <c r="GF454" s="81" t="inlineStr">
        <is>
          <t>Yes</t>
        </is>
      </c>
    </row>
    <row r="455">
      <c r="A455" s="81" t="inlineStr">
        <is>
          <t>Volcano Vent</t>
        </is>
      </c>
      <c r="B455" s="81" t="inlineStr">
        <is>
          <t>Magma</t>
        </is>
      </c>
      <c r="C455" s="81" t="inlineStr">
        <is>
          <t>damage</t>
        </is>
      </c>
      <c r="D455" s="81" t="n">
        <v>5</v>
      </c>
      <c r="E455" s="81">
        <f>E441</f>
        <v/>
      </c>
      <c r="F455" s="81">
        <f>F441</f>
        <v/>
      </c>
      <c r="G455" s="81" t="n">
        <v>1.05</v>
      </c>
      <c r="H455" s="81" t="n">
        <v>1</v>
      </c>
      <c r="I455" s="81" t="n">
        <v>2</v>
      </c>
      <c r="L455" s="81" t="n">
        <v>1</v>
      </c>
      <c r="M455" s="81" t="inlineStr">
        <is>
          <t>Fire Mountain</t>
        </is>
      </c>
      <c r="CI455" s="81" t="inlineStr">
        <is>
          <t>C</t>
        </is>
      </c>
      <c r="CJ455" s="81" t="inlineStr">
        <is>
          <t>Eruptions twice as big</t>
        </is>
      </c>
      <c r="GB455" s="81" t="n">
        <v>2</v>
      </c>
    </row>
    <row r="456">
      <c r="A456" s="81" t="inlineStr">
        <is>
          <t>Volcano Vent</t>
        </is>
      </c>
      <c r="B456" s="81" t="inlineStr">
        <is>
          <t>Pressure</t>
        </is>
      </c>
      <c r="C456" s="81" t="inlineStr">
        <is>
          <t>damage</t>
        </is>
      </c>
      <c r="D456" s="81" t="n">
        <v>4</v>
      </c>
      <c r="E456" s="81">
        <f>E445</f>
        <v/>
      </c>
      <c r="F456" s="81">
        <f>F445</f>
        <v/>
      </c>
      <c r="G456" s="81" t="n">
        <v>1.75</v>
      </c>
      <c r="H456" s="81" t="n">
        <v>1</v>
      </c>
      <c r="I456" s="81" t="n">
        <v>1</v>
      </c>
      <c r="L456" s="81" t="n">
        <v>1</v>
      </c>
      <c r="M456" s="81" t="inlineStr">
        <is>
          <t>Rumble</t>
        </is>
      </c>
      <c r="AE456" s="81" t="n">
        <v>20</v>
      </c>
      <c r="CI456" s="81" t="inlineStr">
        <is>
          <t>B</t>
        </is>
      </c>
      <c r="CJ456" s="81" t="inlineStr">
        <is>
          <t>Dinos nearby stumble: −20% speed</t>
        </is>
      </c>
    </row>
    <row r="457">
      <c r="A457" s="81" t="inlineStr">
        <is>
          <t>Volcano Vent</t>
        </is>
      </c>
      <c r="B457" s="81" t="inlineStr">
        <is>
          <t>Pressure</t>
        </is>
      </c>
      <c r="C457" s="81" t="inlineStr">
        <is>
          <t>damage</t>
        </is>
      </c>
      <c r="D457" s="81" t="n">
        <v>4</v>
      </c>
      <c r="E457" s="81">
        <f>E445</f>
        <v/>
      </c>
      <c r="F457" s="81">
        <f>F445</f>
        <v/>
      </c>
      <c r="G457" s="81" t="n">
        <v>1.85</v>
      </c>
      <c r="H457" s="81" t="n">
        <v>1</v>
      </c>
      <c r="I457" s="81" t="n">
        <v>1</v>
      </c>
      <c r="L457" s="81" t="n">
        <v>1</v>
      </c>
      <c r="M457" s="81" t="inlineStr">
        <is>
          <t>Pressure Valve</t>
        </is>
      </c>
      <c r="CI457" s="81" t="inlineStr">
        <is>
          <t>C</t>
        </is>
      </c>
      <c r="CJ457" s="81" t="inlineStr">
        <is>
          <t>Erupts early when a boss comes</t>
        </is>
      </c>
      <c r="GG457" s="81" t="inlineStr">
        <is>
          <t>Yes</t>
        </is>
      </c>
    </row>
    <row r="458">
      <c r="A458" s="81" t="inlineStr">
        <is>
          <t>Volcano Vent</t>
        </is>
      </c>
      <c r="B458" s="81" t="inlineStr">
        <is>
          <t>Pressure</t>
        </is>
      </c>
      <c r="C458" s="81" t="inlineStr">
        <is>
          <t>damage</t>
        </is>
      </c>
      <c r="D458" s="81" t="n">
        <v>5</v>
      </c>
      <c r="E458" s="81">
        <f>E446</f>
        <v/>
      </c>
      <c r="F458" s="81">
        <f>F446</f>
        <v/>
      </c>
      <c r="G458" s="81" t="n">
        <v>0.8</v>
      </c>
      <c r="H458" s="81" t="n">
        <v>2.5</v>
      </c>
      <c r="I458" s="81" t="n">
        <v>1</v>
      </c>
      <c r="L458" s="81" t="n">
        <v>1</v>
      </c>
      <c r="M458" s="81" t="inlineStr">
        <is>
          <t>Old Faithful</t>
        </is>
      </c>
      <c r="CI458" s="81" t="inlineStr">
        <is>
          <t>B</t>
        </is>
      </c>
      <c r="CJ458" s="81" t="inlineStr">
        <is>
          <t>Erupts 2.5× as often, smaller</t>
        </is>
      </c>
    </row>
    <row r="459">
      <c r="A459" s="81" t="inlineStr">
        <is>
          <t>Volcano Vent</t>
        </is>
      </c>
      <c r="B459" s="81" t="inlineStr">
        <is>
          <t>Pressure</t>
        </is>
      </c>
      <c r="C459" s="81" t="inlineStr">
        <is>
          <t>damage</t>
        </is>
      </c>
      <c r="D459" s="81" t="n">
        <v>5</v>
      </c>
      <c r="E459" s="81">
        <f>E446</f>
        <v/>
      </c>
      <c r="F459" s="81">
        <f>F446</f>
        <v/>
      </c>
      <c r="G459" s="81" t="n">
        <v>1.9</v>
      </c>
      <c r="H459" s="81" t="n">
        <v>1</v>
      </c>
      <c r="I459" s="81" t="n">
        <v>1</v>
      </c>
      <c r="L459" s="81" t="n">
        <v>1</v>
      </c>
      <c r="M459" s="81" t="inlineStr">
        <is>
          <t>Ash Blanket</t>
        </is>
      </c>
      <c r="CI459" s="81" t="inlineStr">
        <is>
          <t>C</t>
        </is>
      </c>
      <c r="CJ459" s="81" t="inlineStr">
        <is>
          <t>Ash makes dinos miss 30% of throws</t>
        </is>
      </c>
      <c r="GH459" s="81" t="n">
        <v>30</v>
      </c>
    </row>
    <row r="460">
      <c r="A460" s="81" t="inlineStr">
        <is>
          <t>Volcano Vent</t>
        </is>
      </c>
      <c r="B460" s="81" t="inlineStr">
        <is>
          <t>Obsidian</t>
        </is>
      </c>
      <c r="C460" s="81" t="inlineStr">
        <is>
          <t>control</t>
        </is>
      </c>
      <c r="D460" s="81" t="n">
        <v>4</v>
      </c>
      <c r="E460" s="81">
        <f>E450</f>
        <v/>
      </c>
      <c r="F460" s="81">
        <f>F450</f>
        <v/>
      </c>
      <c r="G460" s="81" t="n">
        <v>1</v>
      </c>
      <c r="H460" s="81" t="n">
        <v>1</v>
      </c>
      <c r="I460" s="81" t="n">
        <v>1</v>
      </c>
      <c r="L460" s="81" t="n">
        <v>1</v>
      </c>
      <c r="M460" s="81" t="inlineStr">
        <is>
          <t>Black Glass</t>
        </is>
      </c>
      <c r="CI460" s="81" t="inlineStr">
        <is>
          <t>B</t>
        </is>
      </c>
      <c r="CJ460" s="81" t="inlineStr">
        <is>
          <t>Nearby towers see 15% further</t>
        </is>
      </c>
      <c r="FA460" s="81" t="n">
        <v>15</v>
      </c>
      <c r="GK460" s="81" t="n">
        <v>15</v>
      </c>
    </row>
    <row r="461">
      <c r="A461" s="81" t="inlineStr">
        <is>
          <t>Volcano Vent</t>
        </is>
      </c>
      <c r="B461" s="81" t="inlineStr">
        <is>
          <t>Obsidian</t>
        </is>
      </c>
      <c r="C461" s="81" t="inlineStr">
        <is>
          <t>control</t>
        </is>
      </c>
      <c r="D461" s="81" t="n">
        <v>4</v>
      </c>
      <c r="E461" s="81">
        <f>E450</f>
        <v/>
      </c>
      <c r="F461" s="81">
        <f>F450</f>
        <v/>
      </c>
      <c r="G461" s="81" t="n">
        <v>1</v>
      </c>
      <c r="H461" s="81" t="n">
        <v>1</v>
      </c>
      <c r="I461" s="81" t="n">
        <v>1</v>
      </c>
      <c r="L461" s="81" t="n">
        <v>1</v>
      </c>
      <c r="M461" s="81" t="inlineStr">
        <is>
          <t>Heat Shimmer</t>
        </is>
      </c>
      <c r="CI461" s="81" t="inlineStr">
        <is>
          <t>C</t>
        </is>
      </c>
      <c r="CJ461" s="81" t="inlineStr">
        <is>
          <t>Dinos on the crust can't throw</t>
        </is>
      </c>
      <c r="FH461" s="81" t="n">
        <v>100</v>
      </c>
      <c r="GK461" s="81" t="n">
        <v>10</v>
      </c>
    </row>
    <row r="462">
      <c r="A462" s="81" t="inlineStr">
        <is>
          <t>Volcano Vent</t>
        </is>
      </c>
      <c r="B462" s="81" t="inlineStr">
        <is>
          <t>Obsidian</t>
        </is>
      </c>
      <c r="C462" s="81" t="inlineStr">
        <is>
          <t>control</t>
        </is>
      </c>
      <c r="D462" s="81" t="n">
        <v>5</v>
      </c>
      <c r="E462" s="81">
        <f>E451</f>
        <v/>
      </c>
      <c r="F462" s="81">
        <f>F451</f>
        <v/>
      </c>
      <c r="G462" s="81" t="n">
        <v>1</v>
      </c>
      <c r="H462" s="81" t="n">
        <v>1</v>
      </c>
      <c r="I462" s="81" t="n">
        <v>1</v>
      </c>
      <c r="L462" s="81" t="n">
        <v>1</v>
      </c>
      <c r="M462" s="81" t="inlineStr">
        <is>
          <t>Obsidian Armour</t>
        </is>
      </c>
      <c r="CI462" s="81" t="inlineStr">
        <is>
          <t>B</t>
        </is>
      </c>
      <c r="CJ462" s="81" t="inlineStr">
        <is>
          <t>Nearby towers take 30% less from throws</t>
        </is>
      </c>
      <c r="GK462" s="81" t="n">
        <v>15</v>
      </c>
      <c r="GN462" s="81" t="n">
        <v>30</v>
      </c>
    </row>
    <row r="463">
      <c r="A463" s="81" t="inlineStr">
        <is>
          <t>Volcano Vent</t>
        </is>
      </c>
      <c r="B463" s="81" t="inlineStr">
        <is>
          <t>Obsidian</t>
        </is>
      </c>
      <c r="C463" s="81" t="inlineStr">
        <is>
          <t>control</t>
        </is>
      </c>
      <c r="D463" s="81" t="n">
        <v>5</v>
      </c>
      <c r="E463" s="81">
        <f>E451</f>
        <v/>
      </c>
      <c r="F463" s="81">
        <f>F451</f>
        <v/>
      </c>
      <c r="G463" s="81" t="n">
        <v>1</v>
      </c>
      <c r="H463" s="81" t="n">
        <v>1</v>
      </c>
      <c r="I463" s="81" t="n">
        <v>1</v>
      </c>
      <c r="L463" s="81" t="n">
        <v>1</v>
      </c>
      <c r="M463" s="81" t="inlineStr">
        <is>
          <t>Frozen Fire</t>
        </is>
      </c>
      <c r="CI463" s="81" t="inlineStr">
        <is>
          <t>C</t>
        </is>
      </c>
      <c r="CJ463" s="81" t="inlineStr">
        <is>
          <t>The whole flow hardens: 2 s stop</t>
        </is>
      </c>
      <c r="GM463" s="81" t="n">
        <v>2</v>
      </c>
    </row>
    <row r="464">
      <c r="A464" s="81" t="inlineStr">
        <is>
          <t>Ranger Station</t>
        </is>
      </c>
      <c r="B464" s="81" t="inlineStr">
        <is>
          <t>Riflemen</t>
        </is>
      </c>
      <c r="C464" s="81" t="inlineStr">
        <is>
          <t>damage</t>
        </is>
      </c>
      <c r="D464" s="81" t="n">
        <v>1</v>
      </c>
      <c r="E464" s="81">
        <f>ROUND('Towers'!$C$25*POWER('Tuning'!$B$12,D464),0)</f>
        <v/>
      </c>
      <c r="F464" s="81">
        <f>'Towers'!$C$25+E464</f>
        <v/>
      </c>
      <c r="G464" s="81" t="n">
        <v>1</v>
      </c>
      <c r="H464" s="81" t="n">
        <v>1</v>
      </c>
      <c r="I464" s="81" t="n">
        <v>1</v>
      </c>
      <c r="J464" s="81">
        <f>'Towers'!$G$25*G464*H464*I464</f>
        <v/>
      </c>
      <c r="K464" s="81">
        <f>IF(J464=0,0,F464/J464)</f>
        <v/>
      </c>
      <c r="L464" s="81" t="n">
        <v>1</v>
      </c>
      <c r="M464" s="81" t="inlineStr">
        <is>
          <t>Recruit</t>
        </is>
      </c>
      <c r="DN464" s="81" t="n">
        <v>2</v>
      </c>
    </row>
    <row r="465">
      <c r="A465" s="81" t="inlineStr">
        <is>
          <t>Ranger Station</t>
        </is>
      </c>
      <c r="B465" s="81" t="inlineStr">
        <is>
          <t>Riflemen</t>
        </is>
      </c>
      <c r="C465" s="81" t="inlineStr">
        <is>
          <t>damage</t>
        </is>
      </c>
      <c r="D465" s="81" t="n">
        <v>2</v>
      </c>
      <c r="E465" s="81">
        <f>ROUND('Towers'!$C$25*POWER('Tuning'!$B$12,D465),0)</f>
        <v/>
      </c>
      <c r="F465" s="81">
        <f>F464+E465</f>
        <v/>
      </c>
      <c r="G465" s="81" t="n">
        <v>1.8</v>
      </c>
      <c r="H465" s="81" t="n">
        <v>1</v>
      </c>
      <c r="I465" s="81" t="n">
        <v>1</v>
      </c>
      <c r="J465" s="81">
        <f>'Towers'!$G$25*G465*H465*I465</f>
        <v/>
      </c>
      <c r="K465" s="81">
        <f>IF(J465=0,0,F465/J465)</f>
        <v/>
      </c>
      <c r="L465" s="81" t="n">
        <v>1.2</v>
      </c>
      <c r="M465" s="81" t="inlineStr">
        <is>
          <t>Sharpshooter</t>
        </is>
      </c>
      <c r="DN465" s="81" t="n">
        <v>2</v>
      </c>
    </row>
    <row r="466">
      <c r="A466" s="81" t="inlineStr">
        <is>
          <t>Ranger Station</t>
        </is>
      </c>
      <c r="B466" s="81" t="inlineStr">
        <is>
          <t>Riflemen</t>
        </is>
      </c>
      <c r="C466" s="81" t="inlineStr">
        <is>
          <t>damage</t>
        </is>
      </c>
      <c r="D466" s="81" t="n">
        <v>3</v>
      </c>
      <c r="E466" s="81">
        <f>ROUND('Towers'!$C$25*POWER('Tuning'!$B$12,D466),0)</f>
        <v/>
      </c>
      <c r="F466" s="81">
        <f>F465+E466</f>
        <v/>
      </c>
      <c r="G466" s="81" t="n">
        <v>2.8</v>
      </c>
      <c r="H466" s="81" t="n">
        <v>1</v>
      </c>
      <c r="I466" s="81" t="n">
        <v>1</v>
      </c>
      <c r="J466" s="81">
        <f>'Towers'!$G$25*G466*H466*I466</f>
        <v/>
      </c>
      <c r="K466" s="81">
        <f>IF(J466=0,0,F466/J466)</f>
        <v/>
      </c>
      <c r="L466" s="81" t="n">
        <v>1.2</v>
      </c>
      <c r="M466" s="81" t="inlineStr">
        <is>
          <t>Squad</t>
        </is>
      </c>
      <c r="DN466" s="81" t="n">
        <v>3</v>
      </c>
    </row>
    <row r="467">
      <c r="A467" s="81" t="inlineStr">
        <is>
          <t>Ranger Station</t>
        </is>
      </c>
      <c r="B467" s="81" t="inlineStr">
        <is>
          <t>Riflemen</t>
        </is>
      </c>
      <c r="C467" s="81" t="inlineStr">
        <is>
          <t>damage</t>
        </is>
      </c>
      <c r="D467" s="81" t="n">
        <v>4</v>
      </c>
      <c r="E467" s="81">
        <f>ROUND('Towers'!$C$25*POWER('Tuning'!$B$12,D467),0)</f>
        <v/>
      </c>
      <c r="F467" s="81">
        <f>F466+E467</f>
        <v/>
      </c>
      <c r="G467" s="81" t="n">
        <v>1.75</v>
      </c>
      <c r="H467" s="81" t="n">
        <v>1</v>
      </c>
      <c r="I467" s="81" t="n">
        <v>1</v>
      </c>
      <c r="J467" s="81">
        <f>J466*G467*H467*I467</f>
        <v/>
      </c>
      <c r="K467" s="81">
        <f>IF(J467=0,0,F467/J467)</f>
        <v/>
      </c>
      <c r="L467" s="81" t="n">
        <v>1</v>
      </c>
      <c r="M467" s="81" t="inlineStr">
        <is>
          <t>Elite Squad</t>
        </is>
      </c>
      <c r="N467" s="81" t="inlineStr">
        <is>
          <t>Yes</t>
        </is>
      </c>
      <c r="CI467" s="81" t="inlineStr">
        <is>
          <t>A</t>
        </is>
      </c>
      <c r="CJ467" s="81" t="inlineStr">
        <is>
          <t>Rangers shoot through armour</t>
        </is>
      </c>
    </row>
    <row r="468">
      <c r="A468" s="81" t="inlineStr">
        <is>
          <t>Ranger Station</t>
        </is>
      </c>
      <c r="B468" s="81" t="inlineStr">
        <is>
          <t>Riflemen</t>
        </is>
      </c>
      <c r="C468" s="81" t="inlineStr">
        <is>
          <t>damage</t>
        </is>
      </c>
      <c r="D468" s="81" t="n">
        <v>5</v>
      </c>
      <c r="E468" s="81">
        <f>ROUND('Towers'!$C$25*POWER('Tuning'!$B$12,D468),0)</f>
        <v/>
      </c>
      <c r="F468" s="81">
        <f>F467+E468</f>
        <v/>
      </c>
      <c r="G468" s="81" t="n">
        <v>1.2</v>
      </c>
      <c r="H468" s="81" t="n">
        <v>1</v>
      </c>
      <c r="I468" s="81" t="n">
        <v>1</v>
      </c>
      <c r="J468" s="81">
        <f>J467*G468*H468*I468</f>
        <v/>
      </c>
      <c r="K468" s="81">
        <f>IF(J468=0,0,F468/J468)</f>
        <v/>
      </c>
      <c r="L468" s="81" t="n">
        <v>1</v>
      </c>
      <c r="M468" s="81" t="inlineStr">
        <is>
          <t>Ranger Troop</t>
        </is>
      </c>
      <c r="CI468" s="81" t="inlineStr">
        <is>
          <t>A</t>
        </is>
      </c>
      <c r="CJ468" s="81" t="inlineStr">
        <is>
          <t>5 rangers in formation</t>
        </is>
      </c>
      <c r="DN468" s="81" t="n">
        <v>5</v>
      </c>
    </row>
    <row r="469">
      <c r="A469" s="81" t="inlineStr">
        <is>
          <t>Ranger Station</t>
        </is>
      </c>
      <c r="B469" s="81" t="inlineStr">
        <is>
          <t>Trackers</t>
        </is>
      </c>
      <c r="C469" s="81" t="inlineStr">
        <is>
          <t>control</t>
        </is>
      </c>
      <c r="D469" s="81" t="n">
        <v>1</v>
      </c>
      <c r="E469" s="81">
        <f>ROUND('Towers'!$C$25*POWER('Tuning'!$B$12,D469),0)</f>
        <v/>
      </c>
      <c r="F469" s="81">
        <f>'Towers'!$C$25+E469</f>
        <v/>
      </c>
      <c r="G469" s="81" t="n">
        <v>1</v>
      </c>
      <c r="H469" s="81" t="n">
        <v>1</v>
      </c>
      <c r="I469" s="81" t="n">
        <v>1</v>
      </c>
      <c r="J469" s="81">
        <f>'Towers'!$G$25*G469*H469*I469</f>
        <v/>
      </c>
      <c r="K469" s="81">
        <f>IF(J469=0,0,F469/J469)</f>
        <v/>
      </c>
      <c r="L469" s="81" t="n">
        <v>1</v>
      </c>
      <c r="M469" s="81" t="inlineStr">
        <is>
          <t>Snare Kit</t>
        </is>
      </c>
      <c r="GS469" s="81" t="inlineStr">
        <is>
          <t>Yes</t>
        </is>
      </c>
    </row>
    <row r="470">
      <c r="A470" s="81" t="inlineStr">
        <is>
          <t>Ranger Station</t>
        </is>
      </c>
      <c r="B470" s="81" t="inlineStr">
        <is>
          <t>Trackers</t>
        </is>
      </c>
      <c r="C470" s="81" t="inlineStr">
        <is>
          <t>control</t>
        </is>
      </c>
      <c r="D470" s="81" t="n">
        <v>2</v>
      </c>
      <c r="E470" s="81">
        <f>ROUND('Towers'!$C$25*POWER('Tuning'!$B$12,D470),0)</f>
        <v/>
      </c>
      <c r="F470" s="81">
        <f>F469+E470</f>
        <v/>
      </c>
      <c r="G470" s="81" t="n">
        <v>1.3</v>
      </c>
      <c r="H470" s="81" t="n">
        <v>1</v>
      </c>
      <c r="I470" s="81" t="n">
        <v>1</v>
      </c>
      <c r="J470" s="81">
        <f>'Towers'!$G$25*G470*H470*I470</f>
        <v/>
      </c>
      <c r="K470" s="81">
        <f>IF(J470=0,0,F470/J470)</f>
        <v/>
      </c>
      <c r="L470" s="81" t="n">
        <v>1</v>
      </c>
      <c r="M470" s="81" t="inlineStr">
        <is>
          <t>Bait</t>
        </is>
      </c>
      <c r="GS470" s="81" t="inlineStr">
        <is>
          <t>Yes</t>
        </is>
      </c>
      <c r="GT470" s="81" t="n">
        <v>5</v>
      </c>
    </row>
    <row r="471">
      <c r="A471" s="81" t="inlineStr">
        <is>
          <t>Ranger Station</t>
        </is>
      </c>
      <c r="B471" s="81" t="inlineStr">
        <is>
          <t>Trackers</t>
        </is>
      </c>
      <c r="C471" s="81" t="inlineStr">
        <is>
          <t>control</t>
        </is>
      </c>
      <c r="D471" s="81" t="n">
        <v>3</v>
      </c>
      <c r="E471" s="81">
        <f>ROUND('Towers'!$C$25*POWER('Tuning'!$B$12,D471),0)</f>
        <v/>
      </c>
      <c r="F471" s="81">
        <f>F470+E471</f>
        <v/>
      </c>
      <c r="G471" s="81" t="n">
        <v>1.6</v>
      </c>
      <c r="H471" s="81" t="n">
        <v>1</v>
      </c>
      <c r="I471" s="81" t="n">
        <v>1</v>
      </c>
      <c r="J471" s="81">
        <f>'Towers'!$G$25*G471*H471*I471</f>
        <v/>
      </c>
      <c r="K471" s="81">
        <f>IF(J471=0,0,F471/J471)</f>
        <v/>
      </c>
      <c r="L471" s="81" t="n">
        <v>1</v>
      </c>
      <c r="M471" s="81" t="inlineStr">
        <is>
          <t>Snap Traps</t>
        </is>
      </c>
      <c r="DN471" s="81" t="n">
        <v>2</v>
      </c>
      <c r="GS471" s="81" t="inlineStr">
        <is>
          <t>Yes</t>
        </is>
      </c>
      <c r="GT471" s="81" t="n">
        <v>5</v>
      </c>
      <c r="GU471" s="81" t="n">
        <v>0.6</v>
      </c>
    </row>
    <row r="472">
      <c r="A472" s="81" t="inlineStr">
        <is>
          <t>Ranger Station</t>
        </is>
      </c>
      <c r="B472" s="81" t="inlineStr">
        <is>
          <t>Trackers</t>
        </is>
      </c>
      <c r="C472" s="81" t="inlineStr">
        <is>
          <t>control</t>
        </is>
      </c>
      <c r="D472" s="81" t="n">
        <v>4</v>
      </c>
      <c r="E472" s="81">
        <f>ROUND('Towers'!$C$25*POWER('Tuning'!$B$12,D472),0)</f>
        <v/>
      </c>
      <c r="F472" s="81">
        <f>F471+E472</f>
        <v/>
      </c>
      <c r="G472" s="81" t="n">
        <v>1</v>
      </c>
      <c r="H472" s="81" t="n">
        <v>1</v>
      </c>
      <c r="I472" s="81" t="n">
        <v>1</v>
      </c>
      <c r="J472" s="81">
        <f>J471*G472*H472*I472</f>
        <v/>
      </c>
      <c r="K472" s="81">
        <f>IF(J472=0,0,F472/J472)</f>
        <v/>
      </c>
      <c r="L472" s="81" t="n">
        <v>1</v>
      </c>
      <c r="M472" s="81" t="inlineStr">
        <is>
          <t>Pit Traps</t>
        </is>
      </c>
      <c r="CI472" s="81" t="inlineStr">
        <is>
          <t>A</t>
        </is>
      </c>
      <c r="CJ472" s="81" t="inlineStr">
        <is>
          <t>Traps hold a dino 1.5 s</t>
        </is>
      </c>
      <c r="GU472" s="81" t="n">
        <v>1.5</v>
      </c>
    </row>
    <row r="473">
      <c r="A473" s="81" t="inlineStr">
        <is>
          <t>Ranger Station</t>
        </is>
      </c>
      <c r="B473" s="81" t="inlineStr">
        <is>
          <t>Trackers</t>
        </is>
      </c>
      <c r="C473" s="81" t="inlineStr">
        <is>
          <t>control</t>
        </is>
      </c>
      <c r="D473" s="81" t="n">
        <v>5</v>
      </c>
      <c r="E473" s="81">
        <f>ROUND('Towers'!$C$25*POWER('Tuning'!$B$12,D473),0)</f>
        <v/>
      </c>
      <c r="F473" s="81">
        <f>F472+E473</f>
        <v/>
      </c>
      <c r="G473" s="81" t="n">
        <v>1</v>
      </c>
      <c r="H473" s="81" t="n">
        <v>1</v>
      </c>
      <c r="I473" s="81" t="n">
        <v>1</v>
      </c>
      <c r="J473" s="81">
        <f>J472*G473*H473*I473</f>
        <v/>
      </c>
      <c r="K473" s="81">
        <f>IF(J473=0,0,F473/J473)</f>
        <v/>
      </c>
      <c r="L473" s="81" t="n">
        <v>1</v>
      </c>
      <c r="M473" s="81" t="inlineStr">
        <is>
          <t>Master Trapper</t>
        </is>
      </c>
      <c r="CI473" s="81" t="inlineStr">
        <is>
          <t>A</t>
        </is>
      </c>
      <c r="CJ473" s="81" t="inlineStr">
        <is>
          <t>Traps along your whole track each round</t>
        </is>
      </c>
      <c r="GV473" s="81" t="inlineStr">
        <is>
          <t>Yes</t>
        </is>
      </c>
    </row>
    <row r="474">
      <c r="A474" s="81" t="inlineStr">
        <is>
          <t>Ranger Station</t>
        </is>
      </c>
      <c r="B474" s="81" t="inlineStr">
        <is>
          <t>Wardens</t>
        </is>
      </c>
      <c r="C474" s="81" t="inlineStr">
        <is>
          <t>support</t>
        </is>
      </c>
      <c r="D474" s="81" t="n">
        <v>1</v>
      </c>
      <c r="E474" s="81">
        <f>ROUND('Towers'!$C$25*POWER('Tuning'!$B$12,D474),0)</f>
        <v/>
      </c>
      <c r="F474" s="81">
        <f>'Towers'!$C$25+E474</f>
        <v/>
      </c>
      <c r="G474" s="81" t="n">
        <v>1.3</v>
      </c>
      <c r="H474" s="81" t="n">
        <v>1</v>
      </c>
      <c r="I474" s="81" t="n">
        <v>1</v>
      </c>
      <c r="J474" s="81">
        <f>'Towers'!$G$25*G474*H474*I474</f>
        <v/>
      </c>
      <c r="K474" s="81">
        <f>IF(J474=0,0,F474/J474)</f>
        <v/>
      </c>
      <c r="L474" s="81" t="n">
        <v>1</v>
      </c>
      <c r="M474" s="81" t="inlineStr">
        <is>
          <t>Leather Coats</t>
        </is>
      </c>
      <c r="DO474" s="81" t="n">
        <v>1.5</v>
      </c>
    </row>
    <row r="475">
      <c r="A475" s="81" t="inlineStr">
        <is>
          <t>Ranger Station</t>
        </is>
      </c>
      <c r="B475" s="81" t="inlineStr">
        <is>
          <t>Wardens</t>
        </is>
      </c>
      <c r="C475" s="81" t="inlineStr">
        <is>
          <t>support</t>
        </is>
      </c>
      <c r="D475" s="81" t="n">
        <v>2</v>
      </c>
      <c r="E475" s="81">
        <f>ROUND('Towers'!$C$25*POWER('Tuning'!$B$12,D475),0)</f>
        <v/>
      </c>
      <c r="F475" s="81">
        <f>F474+E475</f>
        <v/>
      </c>
      <c r="G475" s="81" t="n">
        <v>1.5</v>
      </c>
      <c r="H475" s="81" t="n">
        <v>1</v>
      </c>
      <c r="I475" s="81" t="n">
        <v>1</v>
      </c>
      <c r="J475" s="81">
        <f>'Towers'!$G$25*G475*H475*I475</f>
        <v/>
      </c>
      <c r="K475" s="81">
        <f>IF(J475=0,0,F475/J475)</f>
        <v/>
      </c>
      <c r="L475" s="81" t="n">
        <v>1</v>
      </c>
      <c r="M475" s="81" t="inlineStr">
        <is>
          <t>Medic Bag</t>
        </is>
      </c>
      <c r="DN475" s="81" t="n">
        <v>2</v>
      </c>
      <c r="DO475" s="81" t="n">
        <v>1.5</v>
      </c>
      <c r="GO475" s="81" t="n">
        <v>5</v>
      </c>
    </row>
    <row r="476">
      <c r="A476" s="81" t="inlineStr">
        <is>
          <t>Ranger Station</t>
        </is>
      </c>
      <c r="B476" s="81" t="inlineStr">
        <is>
          <t>Wardens</t>
        </is>
      </c>
      <c r="C476" s="81" t="inlineStr">
        <is>
          <t>support</t>
        </is>
      </c>
      <c r="D476" s="81" t="n">
        <v>3</v>
      </c>
      <c r="E476" s="81">
        <f>ROUND('Towers'!$C$25*POWER('Tuning'!$B$12,D476),0)</f>
        <v/>
      </c>
      <c r="F476" s="81">
        <f>F475+E476</f>
        <v/>
      </c>
      <c r="G476" s="81" t="n">
        <v>2</v>
      </c>
      <c r="H476" s="81" t="n">
        <v>1</v>
      </c>
      <c r="I476" s="81" t="n">
        <v>1</v>
      </c>
      <c r="J476" s="81">
        <f>'Towers'!$G$25*G476*H476*I476</f>
        <v/>
      </c>
      <c r="K476" s="81">
        <f>IF(J476=0,0,F476/J476)</f>
        <v/>
      </c>
      <c r="L476" s="81" t="n">
        <v>1</v>
      </c>
      <c r="M476" s="81" t="inlineStr">
        <is>
          <t>Shield Wall</t>
        </is>
      </c>
      <c r="DN476" s="81" t="n">
        <v>2</v>
      </c>
      <c r="DO476" s="81" t="n">
        <v>1.5</v>
      </c>
      <c r="DQ476" s="81" t="n">
        <v>40</v>
      </c>
      <c r="GO476" s="81" t="n">
        <v>5</v>
      </c>
    </row>
    <row r="477">
      <c r="A477" s="81" t="inlineStr">
        <is>
          <t>Ranger Station</t>
        </is>
      </c>
      <c r="B477" s="81" t="inlineStr">
        <is>
          <t>Wardens</t>
        </is>
      </c>
      <c r="C477" s="81" t="inlineStr">
        <is>
          <t>support</t>
        </is>
      </c>
      <c r="D477" s="81" t="n">
        <v>4</v>
      </c>
      <c r="E477" s="81">
        <f>ROUND('Towers'!$C$25*POWER('Tuning'!$B$12,D477),0)</f>
        <v/>
      </c>
      <c r="F477" s="81">
        <f>F476+E477</f>
        <v/>
      </c>
      <c r="G477" s="81" t="n">
        <v>1</v>
      </c>
      <c r="H477" s="81" t="n">
        <v>1</v>
      </c>
      <c r="I477" s="81" t="n">
        <v>1</v>
      </c>
      <c r="J477" s="81">
        <f>J476*G477*H477*I477</f>
        <v/>
      </c>
      <c r="K477" s="81">
        <f>IF(J477=0,0,F477/J477)</f>
        <v/>
      </c>
      <c r="L477" s="81" t="n">
        <v>1</v>
      </c>
      <c r="M477" s="81" t="inlineStr">
        <is>
          <t>Field Rations</t>
        </is>
      </c>
      <c r="CI477" s="81" t="inlineStr">
        <is>
          <t>A</t>
        </is>
      </c>
      <c r="CJ477" s="81" t="inlineStr">
        <is>
          <t>Rangers heal fully between rounds</t>
        </is>
      </c>
      <c r="DO477" s="81" t="n">
        <v>1.3</v>
      </c>
      <c r="DX477" s="81" t="inlineStr">
        <is>
          <t>Yes</t>
        </is>
      </c>
    </row>
    <row r="478">
      <c r="A478" s="81" t="inlineStr">
        <is>
          <t>Ranger Station</t>
        </is>
      </c>
      <c r="B478" s="81" t="inlineStr">
        <is>
          <t>Wardens</t>
        </is>
      </c>
      <c r="C478" s="81" t="inlineStr">
        <is>
          <t>support</t>
        </is>
      </c>
      <c r="D478" s="81" t="n">
        <v>5</v>
      </c>
      <c r="E478" s="81">
        <f>ROUND('Towers'!$C$25*POWER('Tuning'!$B$12,D478),0)</f>
        <v/>
      </c>
      <c r="F478" s="81">
        <f>F477+E478</f>
        <v/>
      </c>
      <c r="G478" s="81" t="n">
        <v>1</v>
      </c>
      <c r="H478" s="81" t="n">
        <v>1</v>
      </c>
      <c r="I478" s="81" t="n">
        <v>1</v>
      </c>
      <c r="J478" s="81">
        <f>J477*G478*H478*I478</f>
        <v/>
      </c>
      <c r="K478" s="81">
        <f>IF(J478=0,0,F478/J478)</f>
        <v/>
      </c>
      <c r="L478" s="81" t="n">
        <v>1</v>
      </c>
      <c r="M478" s="81" t="inlineStr">
        <is>
          <t>Hold the Line</t>
        </is>
      </c>
      <c r="CI478" s="81" t="inlineStr">
        <is>
          <t>A</t>
        </is>
      </c>
      <c r="CJ478" s="81" t="inlineStr">
        <is>
          <t>Rangers can't fall while a boss is out</t>
        </is>
      </c>
      <c r="GY478" s="81" t="inlineStr">
        <is>
          <t>Yes</t>
        </is>
      </c>
    </row>
    <row r="479">
      <c r="A479" s="81" t="inlineStr">
        <is>
          <t>Ranger Station</t>
        </is>
      </c>
      <c r="B479" s="81" t="inlineStr">
        <is>
          <t>Riflemen</t>
        </is>
      </c>
      <c r="C479" s="81" t="inlineStr">
        <is>
          <t>damage</t>
        </is>
      </c>
      <c r="D479" s="81" t="n">
        <v>4</v>
      </c>
      <c r="E479" s="81">
        <f>E467</f>
        <v/>
      </c>
      <c r="F479" s="81">
        <f>F467</f>
        <v/>
      </c>
      <c r="G479" s="81" t="n">
        <v>1.1</v>
      </c>
      <c r="H479" s="81" t="n">
        <v>1</v>
      </c>
      <c r="I479" s="81" t="n">
        <v>1</v>
      </c>
      <c r="L479" s="81" t="n">
        <v>1</v>
      </c>
      <c r="M479" s="81" t="inlineStr">
        <is>
          <t>Heavy Rifle</t>
        </is>
      </c>
      <c r="CI479" s="81" t="inlineStr">
        <is>
          <t>B</t>
        </is>
      </c>
      <c r="CJ479" s="81" t="inlineStr">
        <is>
          <t>One ranger gets a heavy rifle: ×3, breaks 3</t>
        </is>
      </c>
      <c r="GP479" s="81" t="inlineStr">
        <is>
          <t>Yes</t>
        </is>
      </c>
    </row>
    <row r="480">
      <c r="A480" s="81" t="inlineStr">
        <is>
          <t>Ranger Station</t>
        </is>
      </c>
      <c r="B480" s="81" t="inlineStr">
        <is>
          <t>Riflemen</t>
        </is>
      </c>
      <c r="C480" s="81" t="inlineStr">
        <is>
          <t>damage</t>
        </is>
      </c>
      <c r="D480" s="81" t="n">
        <v>4</v>
      </c>
      <c r="E480" s="81">
        <f>E467</f>
        <v/>
      </c>
      <c r="F480" s="81">
        <f>F467</f>
        <v/>
      </c>
      <c r="G480" s="81" t="n">
        <v>1.9</v>
      </c>
      <c r="H480" s="81" t="n">
        <v>1</v>
      </c>
      <c r="I480" s="81" t="n">
        <v>1</v>
      </c>
      <c r="L480" s="81" t="n">
        <v>1</v>
      </c>
      <c r="M480" s="81" t="inlineStr">
        <is>
          <t>Flare Rounds</t>
        </is>
      </c>
      <c r="CI480" s="81" t="inlineStr">
        <is>
          <t>C</t>
        </is>
      </c>
      <c r="CJ480" s="81" t="inlineStr">
        <is>
          <t>Rangers can hit low flyers</t>
        </is>
      </c>
      <c r="DW480" s="81" t="inlineStr">
        <is>
          <t>Yes</t>
        </is>
      </c>
    </row>
    <row r="481">
      <c r="A481" s="81" t="inlineStr">
        <is>
          <t>Ranger Station</t>
        </is>
      </c>
      <c r="B481" s="81" t="inlineStr">
        <is>
          <t>Riflemen</t>
        </is>
      </c>
      <c r="C481" s="81" t="inlineStr">
        <is>
          <t>damage</t>
        </is>
      </c>
      <c r="D481" s="81" t="n">
        <v>5</v>
      </c>
      <c r="E481" s="81">
        <f>E468</f>
        <v/>
      </c>
      <c r="F481" s="81">
        <f>F468</f>
        <v/>
      </c>
      <c r="G481" s="81" t="n">
        <v>1.2</v>
      </c>
      <c r="H481" s="81" t="n">
        <v>1</v>
      </c>
      <c r="I481" s="81" t="n">
        <v>1</v>
      </c>
      <c r="L481" s="81" t="n">
        <v>1</v>
      </c>
      <c r="M481" s="81" t="inlineStr">
        <is>
          <t>Legend Ranger</t>
        </is>
      </c>
      <c r="CI481" s="81" t="inlineStr">
        <is>
          <t>B</t>
        </is>
      </c>
      <c r="CJ481" s="81" t="inlineStr">
        <is>
          <t>One hero-strong ranger with its own dart</t>
        </is>
      </c>
      <c r="GQ481" s="81" t="inlineStr">
        <is>
          <t>Yes</t>
        </is>
      </c>
    </row>
    <row r="482">
      <c r="A482" s="81" t="inlineStr">
        <is>
          <t>Ranger Station</t>
        </is>
      </c>
      <c r="B482" s="81" t="inlineStr">
        <is>
          <t>Riflemen</t>
        </is>
      </c>
      <c r="C482" s="81" t="inlineStr">
        <is>
          <t>damage</t>
        </is>
      </c>
      <c r="D482" s="81" t="n">
        <v>5</v>
      </c>
      <c r="E482" s="81">
        <f>E468</f>
        <v/>
      </c>
      <c r="F482" s="81">
        <f>F468</f>
        <v/>
      </c>
      <c r="G482" s="81" t="n">
        <v>2.25</v>
      </c>
      <c r="H482" s="81" t="n">
        <v>1</v>
      </c>
      <c r="I482" s="81" t="n">
        <v>1</v>
      </c>
      <c r="L482" s="81" t="n">
        <v>1</v>
      </c>
      <c r="M482" s="81" t="inlineStr">
        <is>
          <t>Patrol Jeep</t>
        </is>
      </c>
      <c r="CI482" s="81" t="inlineStr">
        <is>
          <t>C</t>
        </is>
      </c>
      <c r="CJ482" s="81" t="inlineStr">
        <is>
          <t>Rangers drive the track, firing</t>
        </is>
      </c>
      <c r="GR482" s="81" t="inlineStr">
        <is>
          <t>Yes</t>
        </is>
      </c>
    </row>
    <row r="483">
      <c r="A483" s="81" t="inlineStr">
        <is>
          <t>Ranger Station</t>
        </is>
      </c>
      <c r="B483" s="81" t="inlineStr">
        <is>
          <t>Trackers</t>
        </is>
      </c>
      <c r="C483" s="81" t="inlineStr">
        <is>
          <t>control</t>
        </is>
      </c>
      <c r="D483" s="81" t="n">
        <v>4</v>
      </c>
      <c r="E483" s="81">
        <f>E472</f>
        <v/>
      </c>
      <c r="F483" s="81">
        <f>F472</f>
        <v/>
      </c>
      <c r="G483" s="81" t="n">
        <v>1</v>
      </c>
      <c r="H483" s="81" t="n">
        <v>1</v>
      </c>
      <c r="I483" s="81" t="n">
        <v>1</v>
      </c>
      <c r="L483" s="81" t="n">
        <v>1</v>
      </c>
      <c r="M483" s="81" t="inlineStr">
        <is>
          <t>Decoy Calls</t>
        </is>
      </c>
      <c r="CI483" s="81" t="inlineStr">
        <is>
          <t>B</t>
        </is>
      </c>
      <c r="CJ483" s="81" t="inlineStr">
        <is>
          <t>Dinos stop to fight rangers</t>
        </is>
      </c>
      <c r="GW483" s="81" t="n">
        <v>1</v>
      </c>
    </row>
    <row r="484">
      <c r="A484" s="81" t="inlineStr">
        <is>
          <t>Ranger Station</t>
        </is>
      </c>
      <c r="B484" s="81" t="inlineStr">
        <is>
          <t>Trackers</t>
        </is>
      </c>
      <c r="C484" s="81" t="inlineStr">
        <is>
          <t>control</t>
        </is>
      </c>
      <c r="D484" s="81" t="n">
        <v>4</v>
      </c>
      <c r="E484" s="81">
        <f>E472</f>
        <v/>
      </c>
      <c r="F484" s="81">
        <f>F472</f>
        <v/>
      </c>
      <c r="G484" s="81" t="n">
        <v>1</v>
      </c>
      <c r="H484" s="81" t="n">
        <v>1</v>
      </c>
      <c r="I484" s="81" t="n">
        <v>1</v>
      </c>
      <c r="L484" s="81" t="n">
        <v>1</v>
      </c>
      <c r="M484" s="81" t="inlineStr">
        <is>
          <t>Tripwire</t>
        </is>
      </c>
      <c r="W484" s="81" t="n">
        <v>4</v>
      </c>
      <c r="CI484" s="81" t="inlineStr">
        <is>
          <t>C</t>
        </is>
      </c>
      <c r="CJ484" s="81" t="inlineStr">
        <is>
          <t>Traps knock dinos 4 studs back</t>
        </is>
      </c>
    </row>
    <row r="485">
      <c r="A485" s="81" t="inlineStr">
        <is>
          <t>Ranger Station</t>
        </is>
      </c>
      <c r="B485" s="81" t="inlineStr">
        <is>
          <t>Trackers</t>
        </is>
      </c>
      <c r="C485" s="81" t="inlineStr">
        <is>
          <t>control</t>
        </is>
      </c>
      <c r="D485" s="81" t="n">
        <v>5</v>
      </c>
      <c r="E485" s="81">
        <f>E473</f>
        <v/>
      </c>
      <c r="F485" s="81">
        <f>F473</f>
        <v/>
      </c>
      <c r="G485" s="81" t="n">
        <v>1.3</v>
      </c>
      <c r="H485" s="81" t="n">
        <v>1</v>
      </c>
      <c r="I485" s="81" t="n">
        <v>1</v>
      </c>
      <c r="L485" s="81" t="n">
        <v>1</v>
      </c>
      <c r="M485" s="81" t="inlineStr">
        <is>
          <t>Net Launchers</t>
        </is>
      </c>
      <c r="CI485" s="81" t="inlineStr">
        <is>
          <t>B</t>
        </is>
      </c>
      <c r="CJ485" s="81" t="inlineStr">
        <is>
          <t>Rangers net a boss for 2 s</t>
        </is>
      </c>
      <c r="DT485" s="81" t="n">
        <v>2</v>
      </c>
    </row>
    <row r="486">
      <c r="A486" s="81" t="inlineStr">
        <is>
          <t>Ranger Station</t>
        </is>
      </c>
      <c r="B486" s="81" t="inlineStr">
        <is>
          <t>Trackers</t>
        </is>
      </c>
      <c r="C486" s="81" t="inlineStr">
        <is>
          <t>control</t>
        </is>
      </c>
      <c r="D486" s="81" t="n">
        <v>5</v>
      </c>
      <c r="E486" s="81">
        <f>E473</f>
        <v/>
      </c>
      <c r="F486" s="81">
        <f>F473</f>
        <v/>
      </c>
      <c r="G486" s="81" t="n">
        <v>1.2</v>
      </c>
      <c r="H486" s="81" t="n">
        <v>1</v>
      </c>
      <c r="I486" s="81" t="n">
        <v>1</v>
      </c>
      <c r="L486" s="81" t="n">
        <v>1</v>
      </c>
      <c r="M486" s="81" t="inlineStr">
        <is>
          <t>Head Ranger</t>
        </is>
      </c>
      <c r="CI486" s="81" t="inlineStr">
        <is>
          <t>C</t>
        </is>
      </c>
      <c r="CJ486" s="81" t="inlineStr">
        <is>
          <t>Ranger take-downs mark nearby dinos +20%</t>
        </is>
      </c>
      <c r="DM486" s="81" t="n">
        <v>20</v>
      </c>
    </row>
    <row r="487">
      <c r="A487" s="81" t="inlineStr">
        <is>
          <t>Ranger Station</t>
        </is>
      </c>
      <c r="B487" s="81" t="inlineStr">
        <is>
          <t>Wardens</t>
        </is>
      </c>
      <c r="C487" s="81" t="inlineStr">
        <is>
          <t>support</t>
        </is>
      </c>
      <c r="D487" s="81" t="n">
        <v>4</v>
      </c>
      <c r="E487" s="81">
        <f>E477</f>
        <v/>
      </c>
      <c r="F487" s="81">
        <f>F477</f>
        <v/>
      </c>
      <c r="G487" s="81" t="n">
        <v>1</v>
      </c>
      <c r="H487" s="81" t="n">
        <v>1</v>
      </c>
      <c r="I487" s="81" t="n">
        <v>1</v>
      </c>
      <c r="L487" s="81" t="n">
        <v>1</v>
      </c>
      <c r="M487" s="81" t="inlineStr">
        <is>
          <t>Rally Point</t>
        </is>
      </c>
      <c r="CI487" s="81" t="inlineStr">
        <is>
          <t>B</t>
        </is>
      </c>
      <c r="CJ487" s="81" t="inlineStr">
        <is>
          <t>Rangers come back 2× faster</t>
        </is>
      </c>
      <c r="DR487" s="81" t="n">
        <v>0.5</v>
      </c>
    </row>
    <row r="488">
      <c r="A488" s="81" t="inlineStr">
        <is>
          <t>Ranger Station</t>
        </is>
      </c>
      <c r="B488" s="81" t="inlineStr">
        <is>
          <t>Wardens</t>
        </is>
      </c>
      <c r="C488" s="81" t="inlineStr">
        <is>
          <t>support</t>
        </is>
      </c>
      <c r="D488" s="81" t="n">
        <v>4</v>
      </c>
      <c r="E488" s="81">
        <f>E477</f>
        <v/>
      </c>
      <c r="F488" s="81">
        <f>F477</f>
        <v/>
      </c>
      <c r="G488" s="81" t="n">
        <v>1</v>
      </c>
      <c r="H488" s="81" t="n">
        <v>1</v>
      </c>
      <c r="I488" s="81" t="n">
        <v>1</v>
      </c>
      <c r="L488" s="81" t="n">
        <v>1</v>
      </c>
      <c r="M488" s="81" t="inlineStr">
        <is>
          <t>Sandbags</t>
        </is>
      </c>
      <c r="BH488" s="81" t="n">
        <v>10</v>
      </c>
      <c r="CI488" s="81" t="inlineStr">
        <is>
          <t>C</t>
        </is>
      </c>
      <c r="CJ488" s="81" t="inlineStr">
        <is>
          <t>Towers near a post get 10% more HP</t>
        </is>
      </c>
      <c r="GX488" s="81" t="inlineStr">
        <is>
          <t>Yes</t>
        </is>
      </c>
    </row>
    <row r="489">
      <c r="A489" s="81" t="inlineStr">
        <is>
          <t>Ranger Station</t>
        </is>
      </c>
      <c r="B489" s="81" t="inlineStr">
        <is>
          <t>Wardens</t>
        </is>
      </c>
      <c r="C489" s="81" t="inlineStr">
        <is>
          <t>support</t>
        </is>
      </c>
      <c r="D489" s="81" t="n">
        <v>5</v>
      </c>
      <c r="E489" s="81">
        <f>E478</f>
        <v/>
      </c>
      <c r="F489" s="81">
        <f>F478</f>
        <v/>
      </c>
      <c r="G489" s="81" t="n">
        <v>1</v>
      </c>
      <c r="H489" s="81" t="n">
        <v>1</v>
      </c>
      <c r="I489" s="81" t="n">
        <v>1</v>
      </c>
      <c r="L489" s="81" t="n">
        <v>1</v>
      </c>
      <c r="M489" s="81" t="inlineStr">
        <is>
          <t>Bodyguards</t>
        </is>
      </c>
      <c r="CI489" s="81" t="inlineStr">
        <is>
          <t>B</t>
        </is>
      </c>
      <c r="CJ489" s="81" t="inlineStr">
        <is>
          <t>Rangers take bites for towers</t>
        </is>
      </c>
      <c r="EC489" s="81" t="inlineStr">
        <is>
          <t>Yes</t>
        </is>
      </c>
    </row>
    <row r="490">
      <c r="A490" s="81" t="inlineStr">
        <is>
          <t>Ranger Station</t>
        </is>
      </c>
      <c r="B490" s="81" t="inlineStr">
        <is>
          <t>Wardens</t>
        </is>
      </c>
      <c r="C490" s="81" t="inlineStr">
        <is>
          <t>support</t>
        </is>
      </c>
      <c r="D490" s="81" t="n">
        <v>5</v>
      </c>
      <c r="E490" s="81">
        <f>E478</f>
        <v/>
      </c>
      <c r="F490" s="81">
        <f>F478</f>
        <v/>
      </c>
      <c r="G490" s="81" t="n">
        <v>1</v>
      </c>
      <c r="H490" s="81" t="n">
        <v>1</v>
      </c>
      <c r="I490" s="81" t="n">
        <v>1</v>
      </c>
      <c r="L490" s="81" t="n">
        <v>1</v>
      </c>
      <c r="M490" s="81" t="inlineStr">
        <is>
          <t>Hunter's Lodge</t>
        </is>
      </c>
      <c r="BG490" s="81" t="n">
        <v>0.5</v>
      </c>
      <c r="CI490" s="81" t="inlineStr">
        <is>
          <t>C</t>
        </is>
      </c>
      <c r="CJ490" s="81" t="inlineStr">
        <is>
          <t>Hunters come back twice as fast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75000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75000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75000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ROUND('Tuning'!$B$27/'Tuning'!$B$307*POWER('Tuning'!$B$28,A5-1),0)*'Tuning'!$B$307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ROUND('Tuning'!$B$27/'Tuning'!$B$307*POWER('Tuning'!$B$28,A6-1),0)*'Tuning'!$B$307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ROUND('Tuning'!$B$27/'Tuning'!$B$307*POWER('Tuning'!$B$28,A7-1),0)*'Tuning'!$B$307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ROUND('Tuning'!$B$27/'Tuning'!$B$307*POWER('Tuning'!$B$28,A8-1),0)*'Tuning'!$B$307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ROUND('Tuning'!$B$27/'Tuning'!$B$307*POWER('Tuning'!$B$28,A9-1),0)*'Tuning'!$B$307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ROUND('Tuning'!$B$27/'Tuning'!$B$307*POWER('Tuning'!$B$28,A10-1),0)*'Tuning'!$B$307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ROUND('Tuning'!$B$27/'Tuning'!$B$307*POWER('Tuning'!$B$28,A11-1),0)*'Tuning'!$B$307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ROUND('Tuning'!$B$27/'Tuning'!$B$307*POWER('Tuning'!$B$28,A12-1),0)*'Tuning'!$B$307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ROUND('Tuning'!$B$27/'Tuning'!$B$307*POWER('Tuning'!$B$28,A13-1),0)*'Tuning'!$B$307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ROUND('Tuning'!$B$27/'Tuning'!$B$307*POWER('Tuning'!$B$28,A14-1),0)*'Tuning'!$B$307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ROUND('Tuning'!$B$27/'Tuning'!$B$307*POWER('Tuning'!$B$28,A15-1),0)*'Tuning'!$B$307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ROUND('Tuning'!$B$27/'Tuning'!$B$307*POWER('Tuning'!$B$28,A16-1),0)*'Tuning'!$B$307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ROUND('Tuning'!$B$27/'Tuning'!$B$307*POWER('Tuning'!$B$28,A17-1),0)*'Tuning'!$B$307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ROUND('Tuning'!$B$27/'Tuning'!$B$307*POWER('Tuning'!$B$28,A18-1),0)*'Tuning'!$B$307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ROUND('Tuning'!$B$27/'Tuning'!$B$307*POWER('Tuning'!$B$28,A19-1),0)*'Tuning'!$B$307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ROUND('Tuning'!$B$27/'Tuning'!$B$307*POWER('Tuning'!$B$28,A20-1),0)*'Tuning'!$B$307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ROUND('Tuning'!$B$27/'Tuning'!$B$307*POWER('Tuning'!$B$28,A21-1),0)*'Tuning'!$B$307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ROUND('Tuning'!$B$27/'Tuning'!$B$307*POWER('Tuning'!$B$28,A22-1),0)*'Tuning'!$B$307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ROUND('Tuning'!$B$27/'Tuning'!$B$307*POWER('Tuning'!$B$28,A23-1),0)*'Tuning'!$B$307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ROUND('Tuning'!$B$27/'Tuning'!$B$307*POWER('Tuning'!$B$28,A24-1),0)*'Tuning'!$B$307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50000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100000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150000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200000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5000</v>
      </c>
      <c r="C5" s="47" t="n"/>
    </row>
    <row r="6">
      <c r="A6" s="27" t="n">
        <v>2</v>
      </c>
      <c r="B6" s="27" t="n">
        <v>5000</v>
      </c>
      <c r="C6" s="47" t="n"/>
    </row>
    <row r="7">
      <c r="A7" s="27" t="n">
        <v>3</v>
      </c>
      <c r="B7" s="27" t="n">
        <v>10000</v>
      </c>
      <c r="C7" s="47" t="n"/>
    </row>
    <row r="8">
      <c r="A8" s="27" t="n">
        <v>4</v>
      </c>
      <c r="B8" s="27" t="n">
        <v>10000</v>
      </c>
      <c r="C8" s="47" t="n"/>
    </row>
    <row r="9">
      <c r="A9" s="27" t="n">
        <v>5</v>
      </c>
      <c r="B9" s="27" t="n">
        <v>15000</v>
      </c>
      <c r="C9" s="47" t="n"/>
    </row>
    <row r="10">
      <c r="A10" s="27" t="n">
        <v>6</v>
      </c>
      <c r="B10" s="27" t="n">
        <v>15000</v>
      </c>
      <c r="C10" s="47" t="n"/>
    </row>
    <row r="11">
      <c r="A11" s="27" t="n">
        <v>7</v>
      </c>
      <c r="B11" s="27" t="n">
        <v>40000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10000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10000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10000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10000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10000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15000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15000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15000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15000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15000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20000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20000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20000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20000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40000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40000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40000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60000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60000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60000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60000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80000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80000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80000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</cols>
  <sheetData>
    <row r="1">
      <c r="A1" s="115" t="inlineStr">
        <is>
          <t>HUNTER STATS — each hunter's body (PLAN 10a T135, DECISIONS #364/#365)</t>
        </is>
      </c>
    </row>
    <row r="2">
      <c r="A2" s="81" t="inlineStr">
        <is>
          <t>Max HP and Walk speed per hunter. Body score = HP/Player max health x (speed/Player walk speed)^Body speed weight; the exporter refuses best/worst above Body parity max. Slows and trained bonuses multiply these.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Max HP</t>
        </is>
      </c>
      <c r="D4" s="116" t="inlineStr">
        <is>
          <t>Walk speed</t>
        </is>
      </c>
      <c r="E4" s="116" t="inlineStr">
        <is>
          <t>Body score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n">
        <v>95</v>
      </c>
      <c r="D5" s="81" t="n">
        <v>17</v>
      </c>
      <c r="E5" s="81">
        <f>ROUND(C5/Tuning!$B$68*POWER(D5/Tuning!$B$309,Tuning!$B$310),3)</f>
        <v/>
      </c>
    </row>
    <row r="6">
      <c r="A6" s="81" t="inlineStr">
        <is>
          <t>RIFLE</t>
        </is>
      </c>
      <c r="B6" s="81" t="inlineStr">
        <is>
          <t>Big Game Hunter</t>
        </is>
      </c>
      <c r="C6" s="81" t="n">
        <v>110</v>
      </c>
      <c r="D6" s="81" t="n">
        <v>15</v>
      </c>
      <c r="E6" s="81">
        <f>ROUND(C6/Tuning!$B$68*POWER(D6/Tuning!$B$309,Tuning!$B$310),3)</f>
        <v/>
      </c>
    </row>
    <row r="7">
      <c r="A7" s="81" t="inlineStr">
        <is>
          <t>SHOTGUN</t>
        </is>
      </c>
      <c r="B7" s="81" t="inlineStr">
        <is>
          <t>Brush Beater</t>
        </is>
      </c>
      <c r="C7" s="81" t="n">
        <v>115</v>
      </c>
      <c r="D7" s="81" t="n">
        <v>15.5</v>
      </c>
      <c r="E7" s="81">
        <f>ROUND(C7/Tuning!$B$68*POWER(D7/Tuning!$B$309,Tuning!$B$310),3)</f>
        <v/>
      </c>
    </row>
    <row r="8">
      <c r="A8" s="81" t="inlineStr">
        <is>
          <t>MEDIC</t>
        </is>
      </c>
      <c r="B8" s="81" t="inlineStr">
        <is>
          <t>Field Medic</t>
        </is>
      </c>
      <c r="C8" s="81" t="n">
        <v>100</v>
      </c>
      <c r="D8" s="81" t="n">
        <v>16.5</v>
      </c>
      <c r="E8" s="81">
        <f>ROUND(C8/Tuning!$B$68*POWER(D8/Tuning!$B$309,Tuning!$B$310),3)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  <col width="16" customWidth="1" style="90" min="3" max="3"/>
  </cols>
  <sheetData>
    <row r="1">
      <c r="A1" s="115" t="inlineStr">
        <is>
          <t>HUNTER KIT — each hunter's melee and grenade (PLAN 10b T136/T137, DECISIONS #366-#369; names DINO_REVIEW Round 20)</t>
        </is>
      </c>
    </row>
    <row r="2">
      <c r="A2" s="81" t="inlineStr">
        <is>
          <t>Melee: free, short reach, server-checked like shots; damage scales with the hunter level like the gun. Dino effect: none / slow / amp (dinos take +% damage). Hunter effect: none or slow only (no stun or knockback on hunters, #368; at most Kit hunter slow max % for Kit hunter slow max (s)). Hits break at most 1 size; flying dinos aren't hit. PvP x Tuning PvP hunter damage; no friendly fire.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Melee</t>
        </is>
      </c>
      <c r="D4" s="116" t="inlineStr">
        <is>
          <t>Melee damage</t>
        </is>
      </c>
      <c r="E4" s="116" t="inlineStr">
        <is>
          <t>Swing time (s)</t>
        </is>
      </c>
      <c r="F4" s="116" t="inlineStr">
        <is>
          <t>Reach (studs)</t>
        </is>
      </c>
      <c r="G4" s="116" t="inlineStr">
        <is>
          <t>Arc (deg)</t>
        </is>
      </c>
      <c r="H4" s="116" t="inlineStr">
        <is>
          <t>Melee targets</t>
        </is>
      </c>
      <c r="I4" s="116" t="inlineStr">
        <is>
          <t>Melee pierces armour</t>
        </is>
      </c>
      <c r="J4" s="116" t="inlineStr">
        <is>
          <t>Melee dino effect</t>
        </is>
      </c>
      <c r="K4" s="116" t="inlineStr">
        <is>
          <t>Melee effect %</t>
        </is>
      </c>
      <c r="L4" s="116" t="inlineStr">
        <is>
          <t>Melee effect (s)</t>
        </is>
      </c>
      <c r="M4" s="116" t="inlineStr">
        <is>
          <t>Melee hunter effect</t>
        </is>
      </c>
      <c r="N4" s="116" t="inlineStr">
        <is>
          <t>Melee hunter %</t>
        </is>
      </c>
      <c r="O4" s="116" t="inlineStr">
        <is>
          <t>Melee hunter (s)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inlineStr">
        <is>
          <t>Hunting Knife</t>
        </is>
      </c>
      <c r="D5" s="81" t="n">
        <v>2</v>
      </c>
      <c r="E5" s="81" t="n">
        <v>0.4</v>
      </c>
      <c r="F5" s="81" t="n">
        <v>6</v>
      </c>
      <c r="G5" s="81" t="n">
        <v>50</v>
      </c>
      <c r="H5" s="81" t="n">
        <v>1</v>
      </c>
      <c r="I5" s="81" t="inlineStr">
        <is>
          <t>No</t>
        </is>
      </c>
      <c r="J5" s="81" t="inlineStr">
        <is>
          <t>none</t>
        </is>
      </c>
      <c r="K5" s="81" t="n">
        <v>0</v>
      </c>
      <c r="L5" s="81" t="n">
        <v>0</v>
      </c>
      <c r="M5" s="81" t="inlineStr">
        <is>
          <t>none</t>
        </is>
      </c>
      <c r="N5" s="81" t="n">
        <v>0</v>
      </c>
      <c r="O5" s="81" t="n">
        <v>0</v>
      </c>
    </row>
    <row r="6">
      <c r="A6" s="81" t="inlineStr">
        <is>
          <t>RIFLE</t>
        </is>
      </c>
      <c r="B6" s="81" t="inlineStr">
        <is>
          <t>Big Game Hunter</t>
        </is>
      </c>
      <c r="C6" s="81" t="inlineStr">
        <is>
          <t>Stock Swing</t>
        </is>
      </c>
      <c r="D6" s="81" t="n">
        <v>5</v>
      </c>
      <c r="E6" s="81" t="n">
        <v>1</v>
      </c>
      <c r="F6" s="81" t="n">
        <v>7</v>
      </c>
      <c r="G6" s="81" t="n">
        <v>60</v>
      </c>
      <c r="H6" s="81" t="n">
        <v>1</v>
      </c>
      <c r="I6" s="81" t="inlineStr">
        <is>
          <t>No</t>
        </is>
      </c>
      <c r="J6" s="81" t="inlineStr">
        <is>
          <t>none</t>
        </is>
      </c>
      <c r="K6" s="81" t="n">
        <v>0</v>
      </c>
      <c r="L6" s="81" t="n">
        <v>0</v>
      </c>
      <c r="M6" s="81" t="inlineStr">
        <is>
          <t>none</t>
        </is>
      </c>
      <c r="N6" s="81" t="n">
        <v>0</v>
      </c>
      <c r="O6" s="81" t="n">
        <v>0</v>
      </c>
    </row>
    <row r="7">
      <c r="A7" s="81" t="inlineStr">
        <is>
          <t>SHOTGUN</t>
        </is>
      </c>
      <c r="B7" s="81" t="inlineStr">
        <is>
          <t>Brush Beater</t>
        </is>
      </c>
      <c r="C7" s="81" t="inlineStr">
        <is>
          <t>Brush Machete</t>
        </is>
      </c>
      <c r="D7" s="81" t="n">
        <v>2.5</v>
      </c>
      <c r="E7" s="81" t="n">
        <v>0.75</v>
      </c>
      <c r="F7" s="81" t="n">
        <v>7</v>
      </c>
      <c r="G7" s="81" t="n">
        <v>120</v>
      </c>
      <c r="H7" s="81" t="n">
        <v>3</v>
      </c>
      <c r="I7" s="81" t="inlineStr">
        <is>
          <t>No</t>
        </is>
      </c>
      <c r="J7" s="81" t="inlineStr">
        <is>
          <t>none</t>
        </is>
      </c>
      <c r="K7" s="81" t="n">
        <v>0</v>
      </c>
      <c r="L7" s="81" t="n">
        <v>0</v>
      </c>
      <c r="M7" s="81" t="inlineStr">
        <is>
          <t>none</t>
        </is>
      </c>
      <c r="N7" s="81" t="n">
        <v>0</v>
      </c>
      <c r="O7" s="81" t="n">
        <v>0</v>
      </c>
    </row>
    <row r="8">
      <c r="A8" s="81" t="inlineStr">
        <is>
          <t>MEDIC</t>
        </is>
      </c>
      <c r="B8" s="81" t="inlineStr">
        <is>
          <t>Field Medic</t>
        </is>
      </c>
      <c r="C8" s="81" t="inlineStr">
        <is>
          <t>Splint Stick</t>
        </is>
      </c>
      <c r="D8" s="81" t="n">
        <v>1.5</v>
      </c>
      <c r="E8" s="81" t="n">
        <v>0.6</v>
      </c>
      <c r="F8" s="81" t="n">
        <v>6</v>
      </c>
      <c r="G8" s="81" t="n">
        <v>60</v>
      </c>
      <c r="H8" s="81" t="n">
        <v>1</v>
      </c>
      <c r="I8" s="81" t="inlineStr">
        <is>
          <t>No</t>
        </is>
      </c>
      <c r="J8" s="81" t="inlineStr">
        <is>
          <t>slow</t>
        </is>
      </c>
      <c r="K8" s="81" t="n">
        <v>30</v>
      </c>
      <c r="L8" s="81" t="n">
        <v>1.5</v>
      </c>
      <c r="M8" s="81" t="inlineStr">
        <is>
          <t>none</t>
        </is>
      </c>
      <c r="N8" s="81" t="n">
        <v>0</v>
      </c>
      <c r="O8" s="8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2026-10-21T06:56:07Z</dcterms:modified>
</cp:coreProperties>
</file>