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1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39"/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4"/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3"/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7"/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2"/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6"/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7"/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6"/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3"/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6"/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99"/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3"/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09"/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3"/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8"/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0"/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1"/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0"/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29"/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3"/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2"/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t="inlineStr">
        <is>
          <t>VOLCANO VENT</t>
        </is>
      </c>
    </row>
    <row r="269">
      <c r="A269" t="inlineStr">
        <is>
          <t>Flow length (studs)</t>
        </is>
      </c>
      <c r="B269" t="n">
        <v>24</v>
      </c>
      <c r="C269" t="inlineStr">
        <is>
          <t>studs of track a Volcano Vent's lava covers, centred on the track point nearest it (x Flow length x; Shared/Vent)</t>
        </is>
      </c>
    </row>
    <row r="270">
      <c r="A270" t="inlineStr">
        <is>
          <t>Flow (s)</t>
        </is>
      </c>
      <c r="B270" t="n">
        <v>6</v>
      </c>
      <c r="C270" t="inlineStr">
        <is>
          <t>s the lava stays down when the build sets no Flow (s)</t>
        </is>
      </c>
    </row>
    <row r="271">
      <c r="A271" t="inlineStr">
        <is>
          <t>Flow burn DPS</t>
        </is>
      </c>
      <c r="B271" t="n">
        <v>8</v>
      </c>
      <c r="C271" t="inlineStr">
        <is>
          <t>lava burn a second on each dino in it (x Damage x x the team's level)</t>
        </is>
      </c>
    </row>
    <row r="272">
      <c r="A272" t="inlineStr">
        <is>
          <t>Flow shove (studs/s)</t>
        </is>
      </c>
      <c r="B272" t="n">
        <v>3</v>
      </c>
      <c r="C272" t="inlineStr">
        <is>
          <t>studs a second the lava shoves a dino off its path (not a slow; bosses aren't shoved)</t>
        </is>
      </c>
    </row>
    <row r="273">
      <c r="A273" t="inlineStr">
        <is>
          <t>Shove max (studs)</t>
        </is>
      </c>
      <c r="B273" t="n">
        <v>4</v>
      </c>
      <c r="C273" t="inlineStr">
        <is>
          <t>the furthest the lava shoves a dino off its path (it walks back after the flow)</t>
        </is>
      </c>
    </row>
    <row r="274">
      <c r="A274" t="inlineStr">
        <is>
          <t>Geyser x</t>
        </is>
      </c>
      <c r="B274" t="n">
        <v>0.3</v>
      </c>
      <c r="C274" t="inlineStr">
        <is>
          <t>x the eruption's damage for a Geyser burst between eruptions</t>
        </is>
      </c>
    </row>
    <row r="275">
      <c r="A275" t="inlineStr">
        <is>
          <t>Crust (s)</t>
        </is>
      </c>
      <c r="B275" t="n">
        <v>6</v>
      </c>
      <c r="C275" t="inlineStr">
        <is>
          <t>s a flow's stretch stays crust after the lava (Obsidian)</t>
        </is>
      </c>
    </row>
    <row r="276">
      <c r="A276" t="inlineStr">
        <is>
          <t>Crust slow %</t>
        </is>
      </c>
      <c r="B276" t="n">
        <v>30</v>
      </c>
      <c r="C276" t="inlineStr">
        <is>
          <t>dinos on the crust are slowed this much</t>
        </is>
      </c>
    </row>
    <row r="277">
      <c r="A277" t="inlineStr">
        <is>
          <t>Lava bomb x</t>
        </is>
      </c>
      <c r="B277" t="n">
        <v>0.5</v>
      </c>
      <c r="C277" t="inlineStr">
        <is>
          <t>x the eruption's damage for each Lava Bombs bomb</t>
        </is>
      </c>
    </row>
    <row r="278">
      <c r="A278" t="inlineStr">
        <is>
          <t>Lava bombs</t>
        </is>
      </c>
      <c r="B278" t="n">
        <v>6</v>
      </c>
      <c r="C278" t="inlineStr">
        <is>
          <t>bombs Lava Bombs throws at the biggest dinos in range each eruption</t>
        </is>
      </c>
    </row>
    <row r="279">
      <c r="A279" t="inlineStr">
        <is>
          <t>Extra vent x</t>
        </is>
      </c>
      <c r="B279" t="n">
        <v>0.5</v>
      </c>
      <c r="C279" t="inlineStr">
        <is>
          <t>Ring of Fire: each small vent's eruption, x the main one's size</t>
        </is>
      </c>
    </row>
    <row r="280">
      <c r="A280" t="inlineStr">
        <is>
          <t>Supervolcano (s)</t>
        </is>
      </c>
      <c r="B280" t="n">
        <v>4</v>
      </c>
      <c r="C280" t="inlineStr">
        <is>
          <t>Supervolcano: once per round played every dino on your side is in lava this long</t>
        </is>
      </c>
    </row>
    <row r="281">
      <c r="A281" t="inlineStr">
        <is>
          <t>Ash (s)</t>
        </is>
      </c>
      <c r="B281" t="n">
        <v>5</v>
      </c>
      <c r="C281" t="inlineStr">
        <is>
          <t>Ash Blanket: s the ash after each eruption makes dinos on your side miss throws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4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t="inlineStr">
        <is>
          <t>Volcano Vent</t>
        </is>
      </c>
      <c r="B24" t="inlineStr">
        <is>
          <t>Lava on one stretch of track: burns, shoves, crust</t>
        </is>
      </c>
      <c r="C24" t="n">
        <v>600</v>
      </c>
      <c r="D24" t="n">
        <v>30</v>
      </c>
      <c r="E24" t="n">
        <v>0.0833</v>
      </c>
      <c r="F24" t="n">
        <v>4</v>
      </c>
      <c r="G24">
        <f>D24*E24*F24</f>
        <v/>
      </c>
      <c r="H24" t="n">
        <v>20</v>
      </c>
      <c r="I24" t="inlineStr">
        <is>
          <t>No</t>
        </is>
      </c>
      <c r="J24" t="n">
        <v>0</v>
      </c>
      <c r="K24" t="inlineStr">
        <is>
          <t>Erupts every 12 s: lava floods its stretch of track for 6 s; dinos burn and are shoved aside.</t>
        </is>
      </c>
      <c r="L24" t="n">
        <v>0</v>
      </c>
      <c r="M24" t="n">
        <v>0</v>
      </c>
      <c r="N24" t="n">
        <v>600</v>
      </c>
      <c r="O24" t="inlineStr">
        <is>
          <t>VENT</t>
        </is>
      </c>
      <c r="P24" t="n">
        <v>200</v>
      </c>
      <c r="Q24" t="n">
        <v>0</v>
      </c>
      <c r="R24" t="n">
        <v>0</v>
      </c>
      <c r="AA24" t="n">
        <v>8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N46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t="inlineStr">
        <is>
          <t>Flow (s)</t>
        </is>
      </c>
      <c r="GB4" t="inlineStr">
        <is>
          <t>Flow length x</t>
        </is>
      </c>
      <c r="GC4" t="inlineStr">
        <is>
          <t>Burn breaks</t>
        </is>
      </c>
      <c r="GD4" t="inlineStr">
        <is>
          <t>Geyser every (s)</t>
        </is>
      </c>
      <c r="GE4" t="inlineStr">
        <is>
          <t>Extra vents</t>
        </is>
      </c>
      <c r="GF4" t="inlineStr">
        <is>
          <t>Lava bombs</t>
        </is>
      </c>
      <c r="GG4" t="inlineStr">
        <is>
          <t>Boss erupt</t>
        </is>
      </c>
      <c r="GH4" t="inlineStr">
        <is>
          <t>Side throw miss %</t>
        </is>
      </c>
      <c r="GI4" t="inlineStr">
        <is>
          <t>Supervolcano</t>
        </is>
      </c>
      <c r="GJ4" t="inlineStr">
        <is>
          <t>Crust</t>
        </is>
      </c>
      <c r="GK4" t="inlineStr">
        <is>
          <t>Crust DPS</t>
        </is>
      </c>
      <c r="GL4" t="inlineStr">
        <is>
          <t>Maze (studs)</t>
        </is>
      </c>
      <c r="GM4" t="inlineStr">
        <is>
          <t>Freeze flow (s)</t>
        </is>
      </c>
      <c r="GN4" t="inlineStr">
        <is>
          <t>Throw resist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t="inlineStr">
        <is>
          <t>Volcano Vent</t>
        </is>
      </c>
      <c r="B437" t="inlineStr">
        <is>
          <t>Magma</t>
        </is>
      </c>
      <c r="C437" t="inlineStr">
        <is>
          <t>damage</t>
        </is>
      </c>
      <c r="D437" t="n">
        <v>1</v>
      </c>
      <c r="E437">
        <f>ROUND('Towers'!$C$24*POWER('Tuning'!$B$12,D437),0)</f>
        <v/>
      </c>
      <c r="F437">
        <f>'Towers'!$C$24+E437</f>
        <v/>
      </c>
      <c r="G437" t="n">
        <v>1.6</v>
      </c>
      <c r="H437" t="n">
        <v>1</v>
      </c>
      <c r="I437" t="n">
        <v>1</v>
      </c>
      <c r="J437">
        <f>'Towers'!$G$24*G437*H437*I437</f>
        <v/>
      </c>
      <c r="K437">
        <f>IF(J437=0,0,F437/J437)</f>
        <v/>
      </c>
      <c r="L437" t="n">
        <v>1</v>
      </c>
      <c r="M437" t="inlineStr">
        <is>
          <t>Hot Rock</t>
        </is>
      </c>
    </row>
    <row r="438">
      <c r="A438" t="inlineStr">
        <is>
          <t>Volcano Vent</t>
        </is>
      </c>
      <c r="B438" t="inlineStr">
        <is>
          <t>Magma</t>
        </is>
      </c>
      <c r="C438" t="inlineStr">
        <is>
          <t>damage</t>
        </is>
      </c>
      <c r="D438" t="n">
        <v>2</v>
      </c>
      <c r="E438">
        <f>ROUND('Towers'!$C$24*POWER('Tuning'!$B$12,D438),0)</f>
        <v/>
      </c>
      <c r="F438">
        <f>F437+E438</f>
        <v/>
      </c>
      <c r="G438" t="n">
        <v>3</v>
      </c>
      <c r="H438" t="n">
        <v>1</v>
      </c>
      <c r="I438" t="n">
        <v>1</v>
      </c>
      <c r="J438">
        <f>'Towers'!$G$24*G438*H438*I438</f>
        <v/>
      </c>
      <c r="K438">
        <f>IF(J438=0,0,F438/J438)</f>
        <v/>
      </c>
      <c r="L438" t="n">
        <v>1</v>
      </c>
      <c r="M438" t="inlineStr">
        <is>
          <t>Searing Flow</t>
        </is>
      </c>
    </row>
    <row r="439">
      <c r="A439" t="inlineStr">
        <is>
          <t>Volcano Vent</t>
        </is>
      </c>
      <c r="B439" t="inlineStr">
        <is>
          <t>Magma</t>
        </is>
      </c>
      <c r="C439" t="inlineStr">
        <is>
          <t>damage</t>
        </is>
      </c>
      <c r="D439" t="n">
        <v>3</v>
      </c>
      <c r="E439">
        <f>ROUND('Towers'!$C$24*POWER('Tuning'!$B$12,D439),0)</f>
        <v/>
      </c>
      <c r="F439">
        <f>F438+E439</f>
        <v/>
      </c>
      <c r="G439" t="n">
        <v>5.4</v>
      </c>
      <c r="H439" t="n">
        <v>1</v>
      </c>
      <c r="I439" t="n">
        <v>1</v>
      </c>
      <c r="J439">
        <f>'Towers'!$G$24*G439*H439*I439</f>
        <v/>
      </c>
      <c r="K439">
        <f>IF(J439=0,0,F439/J439)</f>
        <v/>
      </c>
      <c r="L439" t="n">
        <v>1</v>
      </c>
      <c r="M439" t="inlineStr">
        <is>
          <t>Lava Lake</t>
        </is>
      </c>
      <c r="GA439" t="n">
        <v>10</v>
      </c>
      <c r="GC439" t="inlineStr">
        <is>
          <t>Yes</t>
        </is>
      </c>
    </row>
    <row r="440">
      <c r="A440" t="inlineStr">
        <is>
          <t>Volcano Vent</t>
        </is>
      </c>
      <c r="B440" t="inlineStr">
        <is>
          <t>Magma</t>
        </is>
      </c>
      <c r="C440" t="inlineStr">
        <is>
          <t>damage</t>
        </is>
      </c>
      <c r="D440" t="n">
        <v>4</v>
      </c>
      <c r="E440">
        <f>ROUND('Towers'!$C$24*POWER('Tuning'!$B$12,D440),0)</f>
        <v/>
      </c>
      <c r="F440">
        <f>F439+E440</f>
        <v/>
      </c>
      <c r="G440" t="n">
        <v>1.75</v>
      </c>
      <c r="H440" t="n">
        <v>1</v>
      </c>
      <c r="I440" t="n">
        <v>1</v>
      </c>
      <c r="J440">
        <f>J439*G440*H440*I440</f>
        <v/>
      </c>
      <c r="K440">
        <f>IF(J440=0,0,F440/J440)</f>
        <v/>
      </c>
      <c r="L440" t="n">
        <v>1</v>
      </c>
      <c r="M440" t="inlineStr">
        <is>
          <t>White Hot</t>
        </is>
      </c>
      <c r="N440" t="inlineStr">
        <is>
          <t>Yes</t>
        </is>
      </c>
      <c r="CI440" t="inlineStr">
        <is>
          <t>A</t>
        </is>
      </c>
      <c r="CJ440" t="inlineStr">
        <is>
          <t>Lava melts armour</t>
        </is>
      </c>
    </row>
    <row r="441">
      <c r="A441" t="inlineStr">
        <is>
          <t>Volcano Vent</t>
        </is>
      </c>
      <c r="B441" t="inlineStr">
        <is>
          <t>Magma</t>
        </is>
      </c>
      <c r="C441" t="inlineStr">
        <is>
          <t>damage</t>
        </is>
      </c>
      <c r="D441" t="n">
        <v>5</v>
      </c>
      <c r="E441">
        <f>ROUND('Towers'!$C$24*POWER('Tuning'!$B$12,D441),0)</f>
        <v/>
      </c>
      <c r="F441">
        <f>F440+E441</f>
        <v/>
      </c>
      <c r="G441" t="n">
        <v>1.5</v>
      </c>
      <c r="H441" t="n">
        <v>1</v>
      </c>
      <c r="I441" t="n">
        <v>1</v>
      </c>
      <c r="J441">
        <f>J440*G441*H441*I441</f>
        <v/>
      </c>
      <c r="K441">
        <f>IF(J441=0,0,F441/J441)</f>
        <v/>
      </c>
      <c r="L441" t="n">
        <v>1</v>
      </c>
      <c r="M441" t="inlineStr">
        <is>
          <t>Supervolcano</t>
        </is>
      </c>
      <c r="CI441" t="inlineStr">
        <is>
          <t>A</t>
        </is>
      </c>
      <c r="CJ441" t="inlineStr">
        <is>
          <t>Floods the whole track once a round</t>
        </is>
      </c>
      <c r="GI441" t="inlineStr">
        <is>
          <t>Yes</t>
        </is>
      </c>
    </row>
    <row r="442">
      <c r="A442" t="inlineStr">
        <is>
          <t>Volcano Vent</t>
        </is>
      </c>
      <c r="B442" t="inlineStr">
        <is>
          <t>Pressure</t>
        </is>
      </c>
      <c r="C442" t="inlineStr">
        <is>
          <t>damage</t>
        </is>
      </c>
      <c r="D442" t="n">
        <v>1</v>
      </c>
      <c r="E442">
        <f>ROUND('Towers'!$C$24*POWER('Tuning'!$B$12,D442),0)</f>
        <v/>
      </c>
      <c r="F442">
        <f>'Towers'!$C$24+E442</f>
        <v/>
      </c>
      <c r="G442" t="n">
        <v>1.2</v>
      </c>
      <c r="H442" t="n">
        <v>1.33</v>
      </c>
      <c r="I442" t="n">
        <v>1</v>
      </c>
      <c r="J442">
        <f>'Towers'!$G$24*G442*H442*I442</f>
        <v/>
      </c>
      <c r="K442">
        <f>IF(J442=0,0,F442/J442)</f>
        <v/>
      </c>
      <c r="L442" t="n">
        <v>1</v>
      </c>
      <c r="M442" t="inlineStr">
        <is>
          <t>Shorter Fuse</t>
        </is>
      </c>
    </row>
    <row r="443">
      <c r="A443" t="inlineStr">
        <is>
          <t>Volcano Vent</t>
        </is>
      </c>
      <c r="B443" t="inlineStr">
        <is>
          <t>Pressure</t>
        </is>
      </c>
      <c r="C443" t="inlineStr">
        <is>
          <t>damage</t>
        </is>
      </c>
      <c r="D443" t="n">
        <v>2</v>
      </c>
      <c r="E443">
        <f>ROUND('Towers'!$C$24*POWER('Tuning'!$B$12,D443),0)</f>
        <v/>
      </c>
      <c r="F443">
        <f>F442+E443</f>
        <v/>
      </c>
      <c r="G443" t="n">
        <v>1.5</v>
      </c>
      <c r="H443" t="n">
        <v>2</v>
      </c>
      <c r="I443" t="n">
        <v>1</v>
      </c>
      <c r="J443">
        <f>'Towers'!$G$24*G443*H443*I443</f>
        <v/>
      </c>
      <c r="K443">
        <f>IF(J443=0,0,F443/J443)</f>
        <v/>
      </c>
      <c r="L443" t="n">
        <v>1</v>
      </c>
      <c r="M443" t="inlineStr">
        <is>
          <t>Twin Vents</t>
        </is>
      </c>
    </row>
    <row r="444">
      <c r="A444" t="inlineStr">
        <is>
          <t>Volcano Vent</t>
        </is>
      </c>
      <c r="B444" t="inlineStr">
        <is>
          <t>Pressure</t>
        </is>
      </c>
      <c r="C444" t="inlineStr">
        <is>
          <t>damage</t>
        </is>
      </c>
      <c r="D444" t="n">
        <v>3</v>
      </c>
      <c r="E444">
        <f>ROUND('Towers'!$C$24*POWER('Tuning'!$B$12,D444),0)</f>
        <v/>
      </c>
      <c r="F444">
        <f>F443+E444</f>
        <v/>
      </c>
      <c r="G444" t="n">
        <v>2.5</v>
      </c>
      <c r="H444" t="n">
        <v>2</v>
      </c>
      <c r="I444" t="n">
        <v>1</v>
      </c>
      <c r="J444">
        <f>'Towers'!$G$24*G444*H444*I444</f>
        <v/>
      </c>
      <c r="K444">
        <f>IF(J444=0,0,F444/J444)</f>
        <v/>
      </c>
      <c r="L444" t="n">
        <v>1</v>
      </c>
      <c r="M444" t="inlineStr">
        <is>
          <t>Geyser</t>
        </is>
      </c>
      <c r="GD444" t="n">
        <v>5</v>
      </c>
    </row>
    <row r="445">
      <c r="A445" t="inlineStr">
        <is>
          <t>Volcano Vent</t>
        </is>
      </c>
      <c r="B445" t="inlineStr">
        <is>
          <t>Pressure</t>
        </is>
      </c>
      <c r="C445" t="inlineStr">
        <is>
          <t>damage</t>
        </is>
      </c>
      <c r="D445" t="n">
        <v>4</v>
      </c>
      <c r="E445">
        <f>ROUND('Towers'!$C$24*POWER('Tuning'!$B$12,D445),0)</f>
        <v/>
      </c>
      <c r="F445">
        <f>F444+E445</f>
        <v/>
      </c>
      <c r="G445" t="n">
        <v>1.75</v>
      </c>
      <c r="H445" t="n">
        <v>1</v>
      </c>
      <c r="I445" t="n">
        <v>1</v>
      </c>
      <c r="J445">
        <f>J444*G445*H445*I445</f>
        <v/>
      </c>
      <c r="K445">
        <f>IF(J445=0,0,F445/J445)</f>
        <v/>
      </c>
      <c r="L445" t="n">
        <v>1</v>
      </c>
      <c r="M445" t="inlineStr">
        <is>
          <t>Steam Burst</t>
        </is>
      </c>
      <c r="W445" t="n">
        <v>6</v>
      </c>
      <c r="CI445" t="inlineStr">
        <is>
          <t>A</t>
        </is>
      </c>
      <c r="CJ445" t="inlineStr">
        <is>
          <t>Eruptions knock small dinos back</t>
        </is>
      </c>
    </row>
    <row r="446">
      <c r="A446" t="inlineStr">
        <is>
          <t>Volcano Vent</t>
        </is>
      </c>
      <c r="B446" t="inlineStr">
        <is>
          <t>Pressure</t>
        </is>
      </c>
      <c r="C446" t="inlineStr">
        <is>
          <t>damage</t>
        </is>
      </c>
      <c r="D446" t="n">
        <v>5</v>
      </c>
      <c r="E446">
        <f>ROUND('Towers'!$C$24*POWER('Tuning'!$B$12,D446),0)</f>
        <v/>
      </c>
      <c r="F446">
        <f>F445+E446</f>
        <v/>
      </c>
      <c r="G446" t="n">
        <v>0.85</v>
      </c>
      <c r="H446" t="n">
        <v>1</v>
      </c>
      <c r="I446" t="n">
        <v>1</v>
      </c>
      <c r="J446">
        <f>J445*G446*H446*I446</f>
        <v/>
      </c>
      <c r="K446">
        <f>IF(J446=0,0,F446/J446)</f>
        <v/>
      </c>
      <c r="L446" t="n">
        <v>1</v>
      </c>
      <c r="M446" t="inlineStr">
        <is>
          <t>Ring of Fire</t>
        </is>
      </c>
      <c r="CI446" t="inlineStr">
        <is>
          <t>A</t>
        </is>
      </c>
      <c r="CJ446" t="inlineStr">
        <is>
          <t>3 small vents erupt in turn</t>
        </is>
      </c>
      <c r="GE446" t="n">
        <v>3</v>
      </c>
    </row>
    <row r="447">
      <c r="A447" t="inlineStr">
        <is>
          <t>Volcano Vent</t>
        </is>
      </c>
      <c r="B447" t="inlineStr">
        <is>
          <t>Obsidian</t>
        </is>
      </c>
      <c r="C447" t="inlineStr">
        <is>
          <t>control</t>
        </is>
      </c>
      <c r="D447" t="n">
        <v>1</v>
      </c>
      <c r="E447">
        <f>ROUND('Towers'!$C$24*POWER('Tuning'!$B$12,D447),0)</f>
        <v/>
      </c>
      <c r="F447">
        <f>'Towers'!$C$24+E447</f>
        <v/>
      </c>
      <c r="G447" t="n">
        <v>1</v>
      </c>
      <c r="H447" t="n">
        <v>1</v>
      </c>
      <c r="I447" t="n">
        <v>1</v>
      </c>
      <c r="J447">
        <f>'Towers'!$G$24*G447*H447*I447</f>
        <v/>
      </c>
      <c r="K447">
        <f>IF(J447=0,0,F447/J447)</f>
        <v/>
      </c>
      <c r="L447" t="n">
        <v>1</v>
      </c>
      <c r="M447" t="inlineStr">
        <is>
          <t>Cooling Crust</t>
        </is>
      </c>
      <c r="GJ447" t="inlineStr">
        <is>
          <t>Yes</t>
        </is>
      </c>
    </row>
    <row r="448">
      <c r="A448" t="inlineStr">
        <is>
          <t>Volcano Vent</t>
        </is>
      </c>
      <c r="B448" t="inlineStr">
        <is>
          <t>Obsidian</t>
        </is>
      </c>
      <c r="C448" t="inlineStr">
        <is>
          <t>control</t>
        </is>
      </c>
      <c r="D448" t="n">
        <v>2</v>
      </c>
      <c r="E448">
        <f>ROUND('Towers'!$C$24*POWER('Tuning'!$B$12,D448),0)</f>
        <v/>
      </c>
      <c r="F448">
        <f>F447+E448</f>
        <v/>
      </c>
      <c r="G448" t="n">
        <v>1</v>
      </c>
      <c r="H448" t="n">
        <v>1</v>
      </c>
      <c r="I448" t="n">
        <v>1</v>
      </c>
      <c r="J448">
        <f>'Towers'!$G$24*G448*H448*I448</f>
        <v/>
      </c>
      <c r="K448">
        <f>IF(J448=0,0,F448/J448)</f>
        <v/>
      </c>
      <c r="L448" t="n">
        <v>1</v>
      </c>
      <c r="M448" t="inlineStr">
        <is>
          <t>Sharp Glass</t>
        </is>
      </c>
      <c r="AM448" t="inlineStr">
        <is>
          <t>Yes</t>
        </is>
      </c>
      <c r="GJ448" t="inlineStr">
        <is>
          <t>Yes</t>
        </is>
      </c>
    </row>
    <row r="449">
      <c r="A449" t="inlineStr">
        <is>
          <t>Volcano Vent</t>
        </is>
      </c>
      <c r="B449" t="inlineStr">
        <is>
          <t>Obsidian</t>
        </is>
      </c>
      <c r="C449" t="inlineStr">
        <is>
          <t>control</t>
        </is>
      </c>
      <c r="D449" t="n">
        <v>3</v>
      </c>
      <c r="E449">
        <f>ROUND('Towers'!$C$24*POWER('Tuning'!$B$12,D449),0)</f>
        <v/>
      </c>
      <c r="F449">
        <f>F448+E449</f>
        <v/>
      </c>
      <c r="G449" t="n">
        <v>1</v>
      </c>
      <c r="H449" t="n">
        <v>1</v>
      </c>
      <c r="I449" t="n">
        <v>1</v>
      </c>
      <c r="J449">
        <f>'Towers'!$G$24*G449*H449*I449</f>
        <v/>
      </c>
      <c r="K449">
        <f>IF(J449=0,0,F449/J449)</f>
        <v/>
      </c>
      <c r="L449" t="n">
        <v>1</v>
      </c>
      <c r="M449" t="inlineStr">
        <is>
          <t>Obsidian Wall</t>
        </is>
      </c>
      <c r="AM449" t="inlineStr">
        <is>
          <t>Yes</t>
        </is>
      </c>
      <c r="DL449" t="n">
        <v>2</v>
      </c>
      <c r="GJ449" t="inlineStr">
        <is>
          <t>Yes</t>
        </is>
      </c>
    </row>
    <row r="450">
      <c r="A450" t="inlineStr">
        <is>
          <t>Volcano Vent</t>
        </is>
      </c>
      <c r="B450" t="inlineStr">
        <is>
          <t>Obsidian</t>
        </is>
      </c>
      <c r="C450" t="inlineStr">
        <is>
          <t>control</t>
        </is>
      </c>
      <c r="D450" t="n">
        <v>4</v>
      </c>
      <c r="E450">
        <f>ROUND('Towers'!$C$24*POWER('Tuning'!$B$12,D450),0)</f>
        <v/>
      </c>
      <c r="F450">
        <f>F449+E450</f>
        <v/>
      </c>
      <c r="G450" t="n">
        <v>1</v>
      </c>
      <c r="H450" t="n">
        <v>1</v>
      </c>
      <c r="I450" t="n">
        <v>1</v>
      </c>
      <c r="J450">
        <f>J449*G450*H450*I450</f>
        <v/>
      </c>
      <c r="K450">
        <f>IF(J450=0,0,F450/J450)</f>
        <v/>
      </c>
      <c r="L450" t="n">
        <v>1</v>
      </c>
      <c r="M450" t="inlineStr">
        <is>
          <t>Jagged Crust</t>
        </is>
      </c>
      <c r="CI450" t="inlineStr">
        <is>
          <t>A</t>
        </is>
      </c>
      <c r="CJ450" t="inlineStr">
        <is>
          <t>The crust cuts dinos</t>
        </is>
      </c>
      <c r="GK450" t="n">
        <v>35</v>
      </c>
    </row>
    <row r="451">
      <c r="A451" t="inlineStr">
        <is>
          <t>Volcano Vent</t>
        </is>
      </c>
      <c r="B451" t="inlineStr">
        <is>
          <t>Obsidian</t>
        </is>
      </c>
      <c r="C451" t="inlineStr">
        <is>
          <t>control</t>
        </is>
      </c>
      <c r="D451" t="n">
        <v>5</v>
      </c>
      <c r="E451">
        <f>ROUND('Towers'!$C$24*POWER('Tuning'!$B$12,D451),0)</f>
        <v/>
      </c>
      <c r="F451">
        <f>F450+E451</f>
        <v/>
      </c>
      <c r="G451" t="n">
        <v>1</v>
      </c>
      <c r="H451" t="n">
        <v>1</v>
      </c>
      <c r="I451" t="n">
        <v>1</v>
      </c>
      <c r="J451">
        <f>J450*G451*H451*I451</f>
        <v/>
      </c>
      <c r="K451">
        <f>IF(J451=0,0,F451/J451)</f>
        <v/>
      </c>
      <c r="L451" t="n">
        <v>1</v>
      </c>
      <c r="M451" t="inlineStr">
        <is>
          <t>Glass Maze</t>
        </is>
      </c>
      <c r="CI451" t="inlineStr">
        <is>
          <t>A</t>
        </is>
      </c>
      <c r="CJ451" t="inlineStr">
        <is>
          <t>The crust makes dinos walk 12 studs further</t>
        </is>
      </c>
      <c r="GL451" t="n">
        <v>12</v>
      </c>
    </row>
    <row r="452">
      <c r="A452" t="inlineStr">
        <is>
          <t>Volcano Vent</t>
        </is>
      </c>
      <c r="B452" t="inlineStr">
        <is>
          <t>Magma</t>
        </is>
      </c>
      <c r="C452" t="inlineStr">
        <is>
          <t>damage</t>
        </is>
      </c>
      <c r="D452" t="n">
        <v>4</v>
      </c>
      <c r="E452">
        <f>E440</f>
        <v/>
      </c>
      <c r="F452">
        <f>F440</f>
        <v/>
      </c>
      <c r="G452" t="n">
        <v>1.3</v>
      </c>
      <c r="H452" t="n">
        <v>1</v>
      </c>
      <c r="I452" t="n">
        <v>1</v>
      </c>
      <c r="L452" t="n">
        <v>1</v>
      </c>
      <c r="M452" t="inlineStr">
        <is>
          <t>Rivers of Fire</t>
        </is>
      </c>
      <c r="CI452" t="inlineStr">
        <is>
          <t>B</t>
        </is>
      </c>
      <c r="CJ452" t="inlineStr">
        <is>
          <t>The lava runs 20 studs further</t>
        </is>
      </c>
      <c r="GB452" t="n">
        <v>1.8</v>
      </c>
    </row>
    <row r="453">
      <c r="A453" t="inlineStr">
        <is>
          <t>Volcano Vent</t>
        </is>
      </c>
      <c r="B453" t="inlineStr">
        <is>
          <t>Magma</t>
        </is>
      </c>
      <c r="C453" t="inlineStr">
        <is>
          <t>damage</t>
        </is>
      </c>
      <c r="D453" t="n">
        <v>4</v>
      </c>
      <c r="E453">
        <f>E440</f>
        <v/>
      </c>
      <c r="F453">
        <f>F440</f>
        <v/>
      </c>
      <c r="G453" t="n">
        <v>1.85</v>
      </c>
      <c r="H453" t="n">
        <v>1</v>
      </c>
      <c r="I453" t="n">
        <v>1</v>
      </c>
      <c r="L453" t="n">
        <v>1</v>
      </c>
      <c r="M453" t="inlineStr">
        <is>
          <t>Ember Rain</t>
        </is>
      </c>
      <c r="CI453" t="inlineStr">
        <is>
          <t>C</t>
        </is>
      </c>
      <c r="CJ453" t="inlineStr">
        <is>
          <t>Embers hit low flyers</t>
        </is>
      </c>
      <c r="DW453" t="inlineStr">
        <is>
          <t>Yes</t>
        </is>
      </c>
    </row>
    <row r="454">
      <c r="A454" t="inlineStr">
        <is>
          <t>Volcano Vent</t>
        </is>
      </c>
      <c r="B454" t="inlineStr">
        <is>
          <t>Magma</t>
        </is>
      </c>
      <c r="C454" t="inlineStr">
        <is>
          <t>damage</t>
        </is>
      </c>
      <c r="D454" t="n">
        <v>5</v>
      </c>
      <c r="E454">
        <f>E441</f>
        <v/>
      </c>
      <c r="F454">
        <f>F441</f>
        <v/>
      </c>
      <c r="G454" t="n">
        <v>1.5</v>
      </c>
      <c r="H454" t="n">
        <v>1</v>
      </c>
      <c r="I454" t="n">
        <v>1</v>
      </c>
      <c r="L454" t="n">
        <v>1</v>
      </c>
      <c r="M454" t="inlineStr">
        <is>
          <t>Lava Bombs</t>
        </is>
      </c>
      <c r="CI454" t="inlineStr">
        <is>
          <t>B</t>
        </is>
      </c>
      <c r="CJ454" t="inlineStr">
        <is>
          <t>Throws 6 lava bombs at big dinos</t>
        </is>
      </c>
      <c r="GF454" t="inlineStr">
        <is>
          <t>Yes</t>
        </is>
      </c>
    </row>
    <row r="455">
      <c r="A455" t="inlineStr">
        <is>
          <t>Volcano Vent</t>
        </is>
      </c>
      <c r="B455" t="inlineStr">
        <is>
          <t>Magma</t>
        </is>
      </c>
      <c r="C455" t="inlineStr">
        <is>
          <t>damage</t>
        </is>
      </c>
      <c r="D455" t="n">
        <v>5</v>
      </c>
      <c r="E455">
        <f>E441</f>
        <v/>
      </c>
      <c r="F455">
        <f>F441</f>
        <v/>
      </c>
      <c r="G455" t="n">
        <v>1.05</v>
      </c>
      <c r="H455" t="n">
        <v>1</v>
      </c>
      <c r="I455" t="n">
        <v>2</v>
      </c>
      <c r="L455" t="n">
        <v>1</v>
      </c>
      <c r="M455" t="inlineStr">
        <is>
          <t>Fire Mountain</t>
        </is>
      </c>
      <c r="CI455" t="inlineStr">
        <is>
          <t>C</t>
        </is>
      </c>
      <c r="CJ455" t="inlineStr">
        <is>
          <t>Eruptions twice as big</t>
        </is>
      </c>
      <c r="GB455" t="n">
        <v>2</v>
      </c>
    </row>
    <row r="456">
      <c r="A456" t="inlineStr">
        <is>
          <t>Volcano Vent</t>
        </is>
      </c>
      <c r="B456" t="inlineStr">
        <is>
          <t>Pressure</t>
        </is>
      </c>
      <c r="C456" t="inlineStr">
        <is>
          <t>damage</t>
        </is>
      </c>
      <c r="D456" t="n">
        <v>4</v>
      </c>
      <c r="E456">
        <f>E445</f>
        <v/>
      </c>
      <c r="F456">
        <f>F445</f>
        <v/>
      </c>
      <c r="G456" t="n">
        <v>1.75</v>
      </c>
      <c r="H456" t="n">
        <v>1</v>
      </c>
      <c r="I456" t="n">
        <v>1</v>
      </c>
      <c r="L456" t="n">
        <v>1</v>
      </c>
      <c r="M456" t="inlineStr">
        <is>
          <t>Rumble</t>
        </is>
      </c>
      <c r="AE456" t="n">
        <v>20</v>
      </c>
      <c r="CI456" t="inlineStr">
        <is>
          <t>B</t>
        </is>
      </c>
      <c r="CJ456" t="inlineStr">
        <is>
          <t>Dinos nearby stumble: −20% speed</t>
        </is>
      </c>
    </row>
    <row r="457">
      <c r="A457" t="inlineStr">
        <is>
          <t>Volcano Vent</t>
        </is>
      </c>
      <c r="B457" t="inlineStr">
        <is>
          <t>Pressure</t>
        </is>
      </c>
      <c r="C457" t="inlineStr">
        <is>
          <t>damage</t>
        </is>
      </c>
      <c r="D457" t="n">
        <v>4</v>
      </c>
      <c r="E457">
        <f>E445</f>
        <v/>
      </c>
      <c r="F457">
        <f>F445</f>
        <v/>
      </c>
      <c r="G457" t="n">
        <v>1.85</v>
      </c>
      <c r="H457" t="n">
        <v>1</v>
      </c>
      <c r="I457" t="n">
        <v>1</v>
      </c>
      <c r="L457" t="n">
        <v>1</v>
      </c>
      <c r="M457" t="inlineStr">
        <is>
          <t>Pressure Valve</t>
        </is>
      </c>
      <c r="CI457" t="inlineStr">
        <is>
          <t>C</t>
        </is>
      </c>
      <c r="CJ457" t="inlineStr">
        <is>
          <t>Erupts early when a boss comes</t>
        </is>
      </c>
      <c r="GG457" t="inlineStr">
        <is>
          <t>Yes</t>
        </is>
      </c>
    </row>
    <row r="458">
      <c r="A458" t="inlineStr">
        <is>
          <t>Volcano Vent</t>
        </is>
      </c>
      <c r="B458" t="inlineStr">
        <is>
          <t>Pressure</t>
        </is>
      </c>
      <c r="C458" t="inlineStr">
        <is>
          <t>damage</t>
        </is>
      </c>
      <c r="D458" t="n">
        <v>5</v>
      </c>
      <c r="E458">
        <f>E446</f>
        <v/>
      </c>
      <c r="F458">
        <f>F446</f>
        <v/>
      </c>
      <c r="G458" t="n">
        <v>0.8</v>
      </c>
      <c r="H458" t="n">
        <v>2.5</v>
      </c>
      <c r="I458" t="n">
        <v>1</v>
      </c>
      <c r="L458" t="n">
        <v>1</v>
      </c>
      <c r="M458" t="inlineStr">
        <is>
          <t>Old Faithful</t>
        </is>
      </c>
      <c r="CI458" t="inlineStr">
        <is>
          <t>B</t>
        </is>
      </c>
      <c r="CJ458" t="inlineStr">
        <is>
          <t>Erupts 2.5× as often, smaller</t>
        </is>
      </c>
    </row>
    <row r="459">
      <c r="A459" t="inlineStr">
        <is>
          <t>Volcano Vent</t>
        </is>
      </c>
      <c r="B459" t="inlineStr">
        <is>
          <t>Pressure</t>
        </is>
      </c>
      <c r="C459" t="inlineStr">
        <is>
          <t>damage</t>
        </is>
      </c>
      <c r="D459" t="n">
        <v>5</v>
      </c>
      <c r="E459">
        <f>E446</f>
        <v/>
      </c>
      <c r="F459">
        <f>F446</f>
        <v/>
      </c>
      <c r="G459" t="n">
        <v>1.9</v>
      </c>
      <c r="H459" t="n">
        <v>1</v>
      </c>
      <c r="I459" t="n">
        <v>1</v>
      </c>
      <c r="L459" t="n">
        <v>1</v>
      </c>
      <c r="M459" t="inlineStr">
        <is>
          <t>Ash Blanket</t>
        </is>
      </c>
      <c r="CI459" t="inlineStr">
        <is>
          <t>C</t>
        </is>
      </c>
      <c r="CJ459" t="inlineStr">
        <is>
          <t>Ash makes dinos miss 30% of throws</t>
        </is>
      </c>
      <c r="GH459" t="n">
        <v>30</v>
      </c>
    </row>
    <row r="460">
      <c r="A460" t="inlineStr">
        <is>
          <t>Volcano Vent</t>
        </is>
      </c>
      <c r="B460" t="inlineStr">
        <is>
          <t>Obsidian</t>
        </is>
      </c>
      <c r="C460" t="inlineStr">
        <is>
          <t>control</t>
        </is>
      </c>
      <c r="D460" t="n">
        <v>4</v>
      </c>
      <c r="E460">
        <f>E450</f>
        <v/>
      </c>
      <c r="F460">
        <f>F450</f>
        <v/>
      </c>
      <c r="G460" t="n">
        <v>1</v>
      </c>
      <c r="H460" t="n">
        <v>1</v>
      </c>
      <c r="I460" t="n">
        <v>1</v>
      </c>
      <c r="L460" t="n">
        <v>1</v>
      </c>
      <c r="M460" t="inlineStr">
        <is>
          <t>Black Glass</t>
        </is>
      </c>
      <c r="CI460" t="inlineStr">
        <is>
          <t>B</t>
        </is>
      </c>
      <c r="CJ460" t="inlineStr">
        <is>
          <t>Nearby towers see 15% further</t>
        </is>
      </c>
      <c r="FA460" t="n">
        <v>15</v>
      </c>
      <c r="GK460" t="n">
        <v>15</v>
      </c>
    </row>
    <row r="461">
      <c r="A461" t="inlineStr">
        <is>
          <t>Volcano Vent</t>
        </is>
      </c>
      <c r="B461" t="inlineStr">
        <is>
          <t>Obsidian</t>
        </is>
      </c>
      <c r="C461" t="inlineStr">
        <is>
          <t>control</t>
        </is>
      </c>
      <c r="D461" t="n">
        <v>4</v>
      </c>
      <c r="E461">
        <f>E450</f>
        <v/>
      </c>
      <c r="F461">
        <f>F450</f>
        <v/>
      </c>
      <c r="G461" t="n">
        <v>1</v>
      </c>
      <c r="H461" t="n">
        <v>1</v>
      </c>
      <c r="I461" t="n">
        <v>1</v>
      </c>
      <c r="L461" t="n">
        <v>1</v>
      </c>
      <c r="M461" t="inlineStr">
        <is>
          <t>Heat Shimmer</t>
        </is>
      </c>
      <c r="CI461" t="inlineStr">
        <is>
          <t>C</t>
        </is>
      </c>
      <c r="CJ461" t="inlineStr">
        <is>
          <t>Dinos on the crust can't throw</t>
        </is>
      </c>
      <c r="FH461" t="n">
        <v>100</v>
      </c>
      <c r="GK461" t="n">
        <v>10</v>
      </c>
    </row>
    <row r="462">
      <c r="A462" t="inlineStr">
        <is>
          <t>Volcano Vent</t>
        </is>
      </c>
      <c r="B462" t="inlineStr">
        <is>
          <t>Obsidian</t>
        </is>
      </c>
      <c r="C462" t="inlineStr">
        <is>
          <t>control</t>
        </is>
      </c>
      <c r="D462" t="n">
        <v>5</v>
      </c>
      <c r="E462">
        <f>E451</f>
        <v/>
      </c>
      <c r="F462">
        <f>F451</f>
        <v/>
      </c>
      <c r="G462" t="n">
        <v>1</v>
      </c>
      <c r="H462" t="n">
        <v>1</v>
      </c>
      <c r="I462" t="n">
        <v>1</v>
      </c>
      <c r="L462" t="n">
        <v>1</v>
      </c>
      <c r="M462" t="inlineStr">
        <is>
          <t>Obsidian Armour</t>
        </is>
      </c>
      <c r="CI462" t="inlineStr">
        <is>
          <t>B</t>
        </is>
      </c>
      <c r="CJ462" t="inlineStr">
        <is>
          <t>Nearby towers take 30% less from throws</t>
        </is>
      </c>
      <c r="GK462" t="n">
        <v>15</v>
      </c>
      <c r="GN462" t="n">
        <v>30</v>
      </c>
    </row>
    <row r="463">
      <c r="A463" t="inlineStr">
        <is>
          <t>Volcano Vent</t>
        </is>
      </c>
      <c r="B463" t="inlineStr">
        <is>
          <t>Obsidian</t>
        </is>
      </c>
      <c r="C463" t="inlineStr">
        <is>
          <t>control</t>
        </is>
      </c>
      <c r="D463" t="n">
        <v>5</v>
      </c>
      <c r="E463">
        <f>E451</f>
        <v/>
      </c>
      <c r="F463">
        <f>F451</f>
        <v/>
      </c>
      <c r="G463" t="n">
        <v>1</v>
      </c>
      <c r="H463" t="n">
        <v>1</v>
      </c>
      <c r="I463" t="n">
        <v>1</v>
      </c>
      <c r="L463" t="n">
        <v>1</v>
      </c>
      <c r="M463" t="inlineStr">
        <is>
          <t>Frozen Fire</t>
        </is>
      </c>
      <c r="CI463" t="inlineStr">
        <is>
          <t>C</t>
        </is>
      </c>
      <c r="CJ463" t="inlineStr">
        <is>
          <t>The whole flow hardens: 2 s stop</t>
        </is>
      </c>
      <c r="GM463" t="n">
        <v>2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2026-10-15T22:39:42Z</dcterms:modified>
</cp:coreProperties>
</file>